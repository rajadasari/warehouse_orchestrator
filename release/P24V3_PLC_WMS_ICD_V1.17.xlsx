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drawings/drawing1.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showObjects="none" hidePivotFieldList="1"/>
  <mc:AlternateContent xmlns:mc="http://schemas.openxmlformats.org/markup-compatibility/2006">
    <mc:Choice Requires="x15">
      <x15ac:absPath xmlns:x15ac="http://schemas.microsoft.com/office/spreadsheetml/2010/11/ac" url="https://parirobotics-my.sharepoint.com/personal/raja_dasari_wipropari_com/Documents/Desktop/P24V3 - Project Himalaya/Controls/ICD/"/>
    </mc:Choice>
  </mc:AlternateContent>
  <xr:revisionPtr revIDLastSave="1070" documentId="8_{16FC3CB5-3B85-4CE6-A71D-E86B769F5D6A}" xr6:coauthVersionLast="47" xr6:coauthVersionMax="47" xr10:uidLastSave="{19C2E46C-FAFD-4915-9503-9A634FEF6C24}"/>
  <bookViews>
    <workbookView xWindow="-110" yWindow="-110" windowWidth="19420" windowHeight="10300" tabRatio="825" activeTab="4" xr2:uid="{00000000-000D-0000-FFFF-FFFF00000000}"/>
  </bookViews>
  <sheets>
    <sheet name="Pivot" sheetId="25" r:id="rId1"/>
    <sheet name="Revision" sheetId="20" r:id="rId2"/>
    <sheet name="Redundancy" sheetId="22" r:id="rId3"/>
    <sheet name="Note" sheetId="1" r:id="rId4"/>
    <sheet name="PLC ↔ WCS ICD" sheetId="19" r:id="rId5"/>
    <sheet name="Station Details" sheetId="21" r:id="rId6"/>
    <sheet name="EZ1 Inbound" sheetId="2" r:id="rId7"/>
    <sheet name="EZ2 ASRS" sheetId="5" r:id="rId8"/>
    <sheet name="EZ17 OB to Man Unwrapping" sheetId="6" r:id="rId9"/>
    <sheet name="EZ10 GTP" sheetId="7" r:id="rId10"/>
    <sheet name="EZ3 Outbound" sheetId="8" r:id="rId11"/>
    <sheet name="EZ4 Flammable" sheetId="10" r:id="rId12"/>
    <sheet name="EZ5 Prod G AMB" sheetId="11" r:id="rId13"/>
    <sheet name="EZ7 Prod G Cold" sheetId="12" r:id="rId14"/>
    <sheet name="EZ6 Prod G floor" sheetId="14" r:id="rId15"/>
    <sheet name="EZ8 Prod G+1&amp;2 AMB" sheetId="15" r:id="rId16"/>
    <sheet name="EZ9 Prod G+1&amp;2 Cold" sheetId="16" r:id="rId17"/>
    <sheet name="EZ15 Prod G 10M AMB" sheetId="17" r:id="rId18"/>
    <sheet name="EZ16 Prod G+1 10M AMB" sheetId="18" r:id="rId19"/>
    <sheet name="E mail Comm. for ICD Queries" sheetId="23" r:id="rId20"/>
    <sheet name="Pallet Type" sheetId="3" r:id="rId21"/>
    <sheet name="PLC PC IP list" sheetId="4" r:id="rId22"/>
  </sheets>
  <externalReferences>
    <externalReference r:id="rId23"/>
    <externalReference r:id="rId24"/>
  </externalReferences>
  <definedNames>
    <definedName name="_xlnm._FilterDatabase" localSheetId="4" hidden="1">'PLC ↔ WCS ICD'!$A$1:$IR$593</definedName>
    <definedName name="_xlnm._FilterDatabase" localSheetId="2" hidden="1">Redundancy!$B$2:$F$6</definedName>
    <definedName name="ConveyorType">#REF!</definedName>
    <definedName name="StationType">[1]!Table6[Description]</definedName>
  </definedNames>
  <calcPr calcId="191028"/>
  <pivotCaches>
    <pivotCache cacheId="0" r:id="rId2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5" i="16" l="1"/>
  <c r="E64" i="15"/>
  <c r="E17" i="14"/>
  <c r="E49" i="12"/>
  <c r="E47" i="11"/>
  <c r="E7" i="10"/>
  <c r="E41" i="8"/>
  <c r="E29" i="7"/>
  <c r="E36" i="6"/>
  <c r="E51" i="5"/>
  <c r="E43" i="2"/>
  <c r="A42" i="2"/>
  <c r="E12" i="14" l="1"/>
  <c r="H8" i="21" l="1"/>
  <c r="H9" i="21"/>
  <c r="H10" i="21"/>
  <c r="H11" i="21"/>
  <c r="T16" i="10"/>
  <c r="T15" i="10"/>
  <c r="T14" i="10"/>
  <c r="T13" i="10"/>
  <c r="T12" i="10"/>
  <c r="T11" i="10"/>
  <c r="T10" i="10"/>
  <c r="U10" i="10" s="1"/>
  <c r="T9" i="10"/>
  <c r="U9" i="10" s="1"/>
  <c r="H7" i="21" s="1"/>
  <c r="T8" i="10"/>
  <c r="U8" i="10" s="1"/>
  <c r="T7" i="10"/>
  <c r="U7" i="10" s="1"/>
  <c r="S9" i="14" l="1"/>
  <c r="T19" i="16" l="1"/>
  <c r="U19" i="16" s="1"/>
  <c r="S11" i="16"/>
  <c r="S9" i="16"/>
  <c r="E64" i="16"/>
  <c r="E63" i="16"/>
  <c r="T18" i="7"/>
  <c r="U18" i="7" s="1"/>
  <c r="F17" i="21" s="1"/>
  <c r="P17" i="21" l="1"/>
  <c r="O12" i="21"/>
  <c r="O16" i="21"/>
  <c r="N11" i="21"/>
  <c r="N12" i="21"/>
  <c r="N13" i="21"/>
  <c r="N14" i="21"/>
  <c r="N16" i="21"/>
  <c r="M11" i="21"/>
  <c r="M12" i="21"/>
  <c r="M13" i="21"/>
  <c r="M15" i="21"/>
  <c r="M16" i="21"/>
  <c r="L11" i="21"/>
  <c r="L12" i="21"/>
  <c r="L15" i="21"/>
  <c r="L16" i="21"/>
  <c r="K11" i="21"/>
  <c r="K12" i="21"/>
  <c r="K13" i="21"/>
  <c r="K15" i="21"/>
  <c r="J11" i="21"/>
  <c r="J12" i="21"/>
  <c r="J13" i="21"/>
  <c r="J16" i="21"/>
  <c r="I11" i="21"/>
  <c r="I12" i="21"/>
  <c r="I13" i="21"/>
  <c r="I14" i="21"/>
  <c r="I16" i="21"/>
  <c r="H6" i="21"/>
  <c r="H12" i="21"/>
  <c r="H13" i="21"/>
  <c r="H14" i="21"/>
  <c r="H15" i="21"/>
  <c r="H16" i="21"/>
  <c r="G11" i="21"/>
  <c r="G15" i="21"/>
  <c r="G16" i="21"/>
  <c r="F10" i="21"/>
  <c r="F11" i="21"/>
  <c r="F12" i="21"/>
  <c r="F13" i="21"/>
  <c r="F15" i="21"/>
  <c r="F16" i="21"/>
  <c r="E7" i="21"/>
  <c r="E9" i="21"/>
  <c r="E10" i="21"/>
  <c r="E12" i="21"/>
  <c r="E13" i="21"/>
  <c r="E14" i="21"/>
  <c r="E15" i="21"/>
  <c r="E16" i="21"/>
  <c r="D9" i="21"/>
  <c r="D10" i="21"/>
  <c r="D11" i="21"/>
  <c r="D12" i="21"/>
  <c r="D13" i="21"/>
  <c r="D14" i="21"/>
  <c r="D15" i="21"/>
  <c r="D16" i="21"/>
  <c r="C11" i="21"/>
  <c r="C14" i="21"/>
  <c r="C15" i="21"/>
  <c r="C16" i="21"/>
  <c r="T17" i="14"/>
  <c r="U17" i="14" s="1"/>
  <c r="K14" i="21" s="1"/>
  <c r="A43" i="12"/>
  <c r="A44" i="12"/>
  <c r="A45" i="12"/>
  <c r="A46" i="12"/>
  <c r="A47" i="12"/>
  <c r="A48" i="12"/>
  <c r="A49" i="12"/>
  <c r="A36" i="12"/>
  <c r="A37" i="12"/>
  <c r="A38" i="12"/>
  <c r="A39" i="12"/>
  <c r="A40" i="12"/>
  <c r="A41" i="12"/>
  <c r="A42" i="12"/>
  <c r="A29" i="12"/>
  <c r="A30" i="12"/>
  <c r="A31" i="12"/>
  <c r="A32" i="12"/>
  <c r="A33" i="12"/>
  <c r="A34" i="12"/>
  <c r="A35" i="12"/>
  <c r="T18" i="18"/>
  <c r="T17" i="18"/>
  <c r="T16" i="18"/>
  <c r="T14"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A36" i="18"/>
  <c r="A37" i="18"/>
  <c r="A38" i="18"/>
  <c r="A39" i="18"/>
  <c r="A40" i="18"/>
  <c r="A41" i="18"/>
  <c r="A42" i="18"/>
  <c r="A35" i="18"/>
  <c r="A29" i="18"/>
  <c r="A30" i="18"/>
  <c r="A31" i="18"/>
  <c r="A32" i="18"/>
  <c r="A33" i="18"/>
  <c r="A34" i="18"/>
  <c r="A28" i="18"/>
  <c r="A27" i="18"/>
  <c r="A26" i="18"/>
  <c r="A25" i="18"/>
  <c r="A24" i="18"/>
  <c r="A23" i="18"/>
  <c r="A22" i="18"/>
  <c r="A21" i="18"/>
  <c r="A20" i="18"/>
  <c r="A19" i="18"/>
  <c r="A18" i="18"/>
  <c r="A17" i="18"/>
  <c r="A16" i="18"/>
  <c r="A15" i="18"/>
  <c r="A14" i="18"/>
  <c r="T13" i="18"/>
  <c r="A13" i="18"/>
  <c r="T12" i="18"/>
  <c r="A12" i="18"/>
  <c r="T11" i="18"/>
  <c r="A11" i="18"/>
  <c r="T10" i="18"/>
  <c r="A10" i="18"/>
  <c r="T9" i="18"/>
  <c r="A9" i="18"/>
  <c r="T8" i="18"/>
  <c r="E8" i="18"/>
  <c r="A8" i="18"/>
  <c r="T7" i="18"/>
  <c r="E7" i="18"/>
  <c r="A7" i="18"/>
  <c r="E6" i="18"/>
  <c r="A6" i="18"/>
  <c r="E5" i="18"/>
  <c r="A5" i="18"/>
  <c r="E4" i="18"/>
  <c r="A4" i="18"/>
  <c r="E3" i="18"/>
  <c r="A3" i="18"/>
  <c r="E2" i="18"/>
  <c r="A2" i="18"/>
  <c r="T18" i="17" l="1"/>
  <c r="U18" i="18" s="1"/>
  <c r="O15" i="21" s="1"/>
  <c r="E28" i="17"/>
  <c r="A28" i="17"/>
  <c r="E27" i="17"/>
  <c r="A27" i="17"/>
  <c r="E26" i="17"/>
  <c r="A26" i="17"/>
  <c r="E25" i="17"/>
  <c r="A25" i="17"/>
  <c r="E24" i="17"/>
  <c r="A24" i="17"/>
  <c r="E23" i="17"/>
  <c r="A23" i="17"/>
  <c r="E22" i="17"/>
  <c r="A22" i="17"/>
  <c r="E21" i="17"/>
  <c r="A21" i="17"/>
  <c r="E20" i="17"/>
  <c r="A20" i="17"/>
  <c r="E19" i="17"/>
  <c r="A19" i="17"/>
  <c r="E18" i="17"/>
  <c r="A18" i="17"/>
  <c r="E17" i="17"/>
  <c r="A17" i="17"/>
  <c r="E16" i="17"/>
  <c r="A16" i="17"/>
  <c r="E15" i="17"/>
  <c r="A15" i="17"/>
  <c r="E14" i="17"/>
  <c r="A14" i="17"/>
  <c r="T13" i="17"/>
  <c r="U13" i="18" s="1"/>
  <c r="O10" i="21" s="1"/>
  <c r="E13" i="17"/>
  <c r="A13" i="17"/>
  <c r="T12" i="17"/>
  <c r="U12" i="18" s="1"/>
  <c r="O9" i="21" s="1"/>
  <c r="E12" i="17"/>
  <c r="A12" i="17"/>
  <c r="T11" i="17"/>
  <c r="U11" i="18" s="1"/>
  <c r="O8" i="21" s="1"/>
  <c r="E11" i="17"/>
  <c r="A11" i="17"/>
  <c r="T10" i="17"/>
  <c r="U10" i="18" s="1"/>
  <c r="O7" i="21" s="1"/>
  <c r="E10" i="17"/>
  <c r="A10" i="17"/>
  <c r="T9" i="17"/>
  <c r="U9" i="18" s="1"/>
  <c r="O6" i="21" s="1"/>
  <c r="E9" i="17"/>
  <c r="A9" i="17"/>
  <c r="T8" i="17"/>
  <c r="U8" i="18" s="1"/>
  <c r="O5" i="21" s="1"/>
  <c r="E8" i="17"/>
  <c r="A8" i="17"/>
  <c r="T7" i="17"/>
  <c r="U7" i="18" s="1"/>
  <c r="O4" i="21" s="1"/>
  <c r="E7" i="17"/>
  <c r="A7" i="17"/>
  <c r="E6" i="17"/>
  <c r="A6" i="17"/>
  <c r="E5" i="17"/>
  <c r="A5" i="17"/>
  <c r="E4" i="17"/>
  <c r="A4" i="17"/>
  <c r="E3" i="17"/>
  <c r="A3" i="17"/>
  <c r="E2" i="17"/>
  <c r="A2" i="17"/>
  <c r="A63" i="16"/>
  <c r="E62" i="16"/>
  <c r="A62" i="16"/>
  <c r="E61" i="16"/>
  <c r="A61" i="16"/>
  <c r="E60" i="16"/>
  <c r="A60" i="16"/>
  <c r="E59" i="16"/>
  <c r="A59" i="16"/>
  <c r="E58" i="16"/>
  <c r="A58" i="16"/>
  <c r="E57" i="16"/>
  <c r="A57" i="16"/>
  <c r="E56" i="16"/>
  <c r="A56" i="16"/>
  <c r="E55" i="16"/>
  <c r="A55" i="16"/>
  <c r="E54" i="16"/>
  <c r="A54" i="16"/>
  <c r="E53" i="16"/>
  <c r="A53" i="16"/>
  <c r="E52" i="16"/>
  <c r="A52" i="16"/>
  <c r="E51" i="16"/>
  <c r="A51" i="16"/>
  <c r="E50" i="16"/>
  <c r="A50" i="16"/>
  <c r="E49" i="16"/>
  <c r="A49" i="16"/>
  <c r="E48" i="16"/>
  <c r="A48" i="16"/>
  <c r="E47" i="16"/>
  <c r="A47" i="16"/>
  <c r="E46" i="16"/>
  <c r="A46" i="16"/>
  <c r="E45" i="16"/>
  <c r="A45" i="16"/>
  <c r="E44" i="16"/>
  <c r="A44" i="16"/>
  <c r="E43" i="16"/>
  <c r="A43" i="16"/>
  <c r="E42" i="16"/>
  <c r="A42" i="16"/>
  <c r="E41" i="16"/>
  <c r="A41" i="16"/>
  <c r="E40" i="16"/>
  <c r="A40" i="16"/>
  <c r="E39" i="16"/>
  <c r="A39" i="16"/>
  <c r="E38" i="16"/>
  <c r="A38" i="16"/>
  <c r="E37" i="16"/>
  <c r="A37" i="16"/>
  <c r="E36" i="16"/>
  <c r="A36" i="16"/>
  <c r="E35" i="16"/>
  <c r="A35" i="16"/>
  <c r="E34" i="16"/>
  <c r="A34" i="16"/>
  <c r="E33" i="16"/>
  <c r="A33" i="16"/>
  <c r="E32" i="16"/>
  <c r="A32" i="16"/>
  <c r="E31" i="16"/>
  <c r="A31" i="16"/>
  <c r="E30" i="16"/>
  <c r="A30" i="16"/>
  <c r="E29" i="16"/>
  <c r="A29" i="16"/>
  <c r="E28" i="16"/>
  <c r="A28" i="16"/>
  <c r="E27" i="16"/>
  <c r="A27" i="16"/>
  <c r="E26" i="16"/>
  <c r="A26" i="16"/>
  <c r="E25" i="16"/>
  <c r="A25" i="16"/>
  <c r="E24" i="16"/>
  <c r="A24" i="16"/>
  <c r="E23" i="16"/>
  <c r="A23" i="16"/>
  <c r="E22" i="16"/>
  <c r="A22" i="16"/>
  <c r="E21" i="16"/>
  <c r="A21" i="16"/>
  <c r="E20" i="16"/>
  <c r="A20" i="16"/>
  <c r="E19" i="16"/>
  <c r="A19" i="16"/>
  <c r="E18" i="16"/>
  <c r="A18" i="16"/>
  <c r="T17" i="16"/>
  <c r="T17" i="17" s="1"/>
  <c r="U17" i="18" s="1"/>
  <c r="O14" i="21" s="1"/>
  <c r="E17" i="16"/>
  <c r="A17" i="16"/>
  <c r="E16" i="16"/>
  <c r="A16" i="16"/>
  <c r="E15" i="16"/>
  <c r="A15" i="16"/>
  <c r="E14" i="16"/>
  <c r="A14" i="16"/>
  <c r="T13" i="16"/>
  <c r="E13" i="16"/>
  <c r="A13" i="16"/>
  <c r="T12" i="16"/>
  <c r="E12" i="16"/>
  <c r="A12" i="16"/>
  <c r="T11" i="16"/>
  <c r="E11" i="16"/>
  <c r="A11" i="16"/>
  <c r="T10" i="16"/>
  <c r="E10" i="16"/>
  <c r="A10" i="16"/>
  <c r="T9" i="16"/>
  <c r="E9" i="16"/>
  <c r="A9" i="16"/>
  <c r="T8" i="16"/>
  <c r="E8" i="16"/>
  <c r="A8" i="16"/>
  <c r="T7" i="16"/>
  <c r="E7" i="16"/>
  <c r="A7" i="16"/>
  <c r="E6" i="16"/>
  <c r="A6" i="16"/>
  <c r="E5" i="16"/>
  <c r="A5" i="16"/>
  <c r="E4" i="16"/>
  <c r="A4" i="16"/>
  <c r="E3" i="16"/>
  <c r="A3" i="16"/>
  <c r="E2" i="16"/>
  <c r="A2" i="16"/>
  <c r="E63" i="15"/>
  <c r="A64" i="15"/>
  <c r="E55" i="15"/>
  <c r="E56" i="15"/>
  <c r="E57" i="15"/>
  <c r="E58" i="15"/>
  <c r="E59" i="15"/>
  <c r="E60" i="15"/>
  <c r="E61" i="15"/>
  <c r="E62" i="15"/>
  <c r="A63" i="15"/>
  <c r="A62" i="15"/>
  <c r="A61" i="15"/>
  <c r="A57" i="15"/>
  <c r="A58" i="15"/>
  <c r="A59" i="15"/>
  <c r="A60" i="15"/>
  <c r="A56" i="15"/>
  <c r="E53" i="15"/>
  <c r="E54" i="15"/>
  <c r="A55" i="15"/>
  <c r="A54" i="15"/>
  <c r="E51" i="15"/>
  <c r="E52" i="15"/>
  <c r="A53" i="15"/>
  <c r="A52" i="15"/>
  <c r="E44" i="15"/>
  <c r="E45" i="15"/>
  <c r="E46" i="15"/>
  <c r="E47" i="15"/>
  <c r="E48" i="15"/>
  <c r="E49" i="15"/>
  <c r="E50" i="15"/>
  <c r="A51" i="15"/>
  <c r="A50" i="15"/>
  <c r="A49" i="15"/>
  <c r="A46" i="15"/>
  <c r="A47" i="15"/>
  <c r="A48" i="15"/>
  <c r="A45" i="15"/>
  <c r="E43" i="15"/>
  <c r="A44" i="15"/>
  <c r="T17" i="15"/>
  <c r="T16" i="15"/>
  <c r="T16" i="16" s="1"/>
  <c r="T16" i="17" s="1"/>
  <c r="U16" i="18" s="1"/>
  <c r="O13" i="21" s="1"/>
  <c r="E3" i="15"/>
  <c r="E4" i="15"/>
  <c r="E5" i="15"/>
  <c r="E6" i="15"/>
  <c r="E7" i="15"/>
  <c r="E8" i="15"/>
  <c r="E9" i="15"/>
  <c r="E10" i="15"/>
  <c r="E11" i="15"/>
  <c r="E12" i="15"/>
  <c r="E13" i="15"/>
  <c r="E14" i="15"/>
  <c r="E15" i="15"/>
  <c r="E16" i="15"/>
  <c r="E17" i="15"/>
  <c r="E18" i="15"/>
  <c r="E19" i="15"/>
  <c r="E20" i="15"/>
  <c r="E21" i="15"/>
  <c r="E22" i="15"/>
  <c r="E23" i="15"/>
  <c r="E24" i="15"/>
  <c r="E25" i="15"/>
  <c r="E26" i="15"/>
  <c r="E27" i="15"/>
  <c r="E28" i="15"/>
  <c r="E29" i="15"/>
  <c r="E30" i="15"/>
  <c r="E31" i="15"/>
  <c r="E32" i="15"/>
  <c r="E33" i="15"/>
  <c r="E34" i="15"/>
  <c r="E35" i="15"/>
  <c r="E36" i="15"/>
  <c r="E37" i="15"/>
  <c r="E38" i="15"/>
  <c r="E39" i="15"/>
  <c r="E40" i="15"/>
  <c r="E41" i="15"/>
  <c r="E42" i="15"/>
  <c r="A43" i="15"/>
  <c r="A42" i="15"/>
  <c r="A38" i="15"/>
  <c r="A39" i="15"/>
  <c r="A40" i="15"/>
  <c r="A41" i="15"/>
  <c r="A37" i="15"/>
  <c r="T19" i="15"/>
  <c r="T19" i="17" s="1"/>
  <c r="T19" i="18" s="1"/>
  <c r="A36" i="15"/>
  <c r="A29" i="15"/>
  <c r="A30" i="15"/>
  <c r="A31" i="15"/>
  <c r="A32" i="15"/>
  <c r="A33" i="15"/>
  <c r="A34" i="15"/>
  <c r="A35" i="15"/>
  <c r="A28" i="15"/>
  <c r="T17" i="12"/>
  <c r="A26" i="15"/>
  <c r="A27" i="15"/>
  <c r="A19" i="15"/>
  <c r="A20" i="15"/>
  <c r="A21" i="15"/>
  <c r="A22" i="15"/>
  <c r="A23" i="15"/>
  <c r="A24" i="15"/>
  <c r="A25" i="15"/>
  <c r="A18" i="15"/>
  <c r="A16" i="15"/>
  <c r="A17" i="15"/>
  <c r="A15" i="15"/>
  <c r="A14" i="15"/>
  <c r="T13" i="15"/>
  <c r="A13" i="15"/>
  <c r="T12" i="15"/>
  <c r="A12" i="15"/>
  <c r="T11" i="15"/>
  <c r="A11" i="15"/>
  <c r="T10" i="15"/>
  <c r="A10" i="15"/>
  <c r="T9" i="15"/>
  <c r="A9" i="15"/>
  <c r="T8" i="15"/>
  <c r="A8" i="15"/>
  <c r="T7" i="15"/>
  <c r="A7" i="15"/>
  <c r="A6" i="15"/>
  <c r="A5" i="15"/>
  <c r="A4" i="15"/>
  <c r="A3" i="15"/>
  <c r="E2" i="15"/>
  <c r="A2" i="15"/>
  <c r="U19" i="14"/>
  <c r="V19" i="14" s="1"/>
  <c r="K16" i="21" s="1"/>
  <c r="E16" i="14"/>
  <c r="E15" i="14"/>
  <c r="A15" i="14"/>
  <c r="E14" i="14"/>
  <c r="A14" i="14"/>
  <c r="T13" i="14"/>
  <c r="E13" i="14"/>
  <c r="A13" i="14"/>
  <c r="T12" i="14"/>
  <c r="A12" i="14"/>
  <c r="T11" i="14"/>
  <c r="E11" i="14"/>
  <c r="A11" i="14"/>
  <c r="T10" i="14"/>
  <c r="E10" i="14"/>
  <c r="A10" i="14"/>
  <c r="T9" i="14"/>
  <c r="E9" i="14"/>
  <c r="A9" i="14"/>
  <c r="T8" i="14"/>
  <c r="E8" i="14"/>
  <c r="A8" i="14"/>
  <c r="T7" i="14"/>
  <c r="E7" i="14"/>
  <c r="A7" i="14"/>
  <c r="E6" i="14"/>
  <c r="A6" i="14"/>
  <c r="E5" i="14"/>
  <c r="A5" i="14"/>
  <c r="E4" i="14"/>
  <c r="A4" i="14"/>
  <c r="E3" i="14"/>
  <c r="A3" i="14"/>
  <c r="E2" i="14"/>
  <c r="A2" i="14"/>
  <c r="A10" i="4"/>
  <c r="P16" i="21" l="1"/>
  <c r="U8" i="17"/>
  <c r="N5" i="21" s="1"/>
  <c r="U17" i="16"/>
  <c r="M14" i="21" s="1"/>
  <c r="U11" i="16"/>
  <c r="M8" i="21" s="1"/>
  <c r="U11" i="17"/>
  <c r="N8" i="21" s="1"/>
  <c r="U12" i="17"/>
  <c r="N9" i="21" s="1"/>
  <c r="U10" i="17"/>
  <c r="N7" i="21" s="1"/>
  <c r="U9" i="17"/>
  <c r="N6" i="21" s="1"/>
  <c r="U13" i="17"/>
  <c r="N10" i="21" s="1"/>
  <c r="U7" i="17"/>
  <c r="N4" i="21" s="1"/>
  <c r="U13" i="16"/>
  <c r="M10" i="21" s="1"/>
  <c r="U7" i="16"/>
  <c r="M4" i="21" s="1"/>
  <c r="U8" i="16"/>
  <c r="M5" i="21" s="1"/>
  <c r="U12" i="16"/>
  <c r="M9" i="21" s="1"/>
  <c r="U9" i="16"/>
  <c r="M6" i="21" s="1"/>
  <c r="U10" i="16"/>
  <c r="M7" i="21" s="1"/>
  <c r="U12" i="15"/>
  <c r="L9" i="21" s="1"/>
  <c r="U8" i="15"/>
  <c r="L5" i="21" s="1"/>
  <c r="U9" i="15"/>
  <c r="L6" i="21" s="1"/>
  <c r="U13" i="15"/>
  <c r="L10" i="21" s="1"/>
  <c r="U10" i="15"/>
  <c r="L7" i="21" s="1"/>
  <c r="U17" i="15"/>
  <c r="L14" i="21" s="1"/>
  <c r="U11" i="15"/>
  <c r="L8" i="21" s="1"/>
  <c r="U7" i="15"/>
  <c r="L4" i="21" s="1"/>
  <c r="E47" i="12"/>
  <c r="E48" i="12"/>
  <c r="E46" i="12"/>
  <c r="E45" i="12"/>
  <c r="E44" i="12"/>
  <c r="E43" i="12"/>
  <c r="E42" i="12"/>
  <c r="E41" i="12"/>
  <c r="E40" i="12"/>
  <c r="E39" i="12"/>
  <c r="E38" i="12"/>
  <c r="E37" i="12"/>
  <c r="E36" i="12"/>
  <c r="E35" i="12"/>
  <c r="E34" i="12"/>
  <c r="E33" i="12"/>
  <c r="E32" i="12"/>
  <c r="E31" i="12"/>
  <c r="E30" i="12"/>
  <c r="E29" i="12"/>
  <c r="E28" i="12"/>
  <c r="A28" i="12"/>
  <c r="E27" i="12"/>
  <c r="A27" i="12"/>
  <c r="E26" i="12"/>
  <c r="A26" i="12"/>
  <c r="E25" i="12"/>
  <c r="A25" i="12"/>
  <c r="E24" i="12"/>
  <c r="A24" i="12"/>
  <c r="E23" i="12"/>
  <c r="A23" i="12"/>
  <c r="E22" i="12"/>
  <c r="A22" i="12"/>
  <c r="E21" i="12"/>
  <c r="A21" i="12"/>
  <c r="E20" i="12"/>
  <c r="A20" i="12"/>
  <c r="E19" i="12"/>
  <c r="A19" i="12"/>
  <c r="T18" i="12"/>
  <c r="E18" i="12"/>
  <c r="A18" i="12"/>
  <c r="E17" i="12"/>
  <c r="A17" i="12"/>
  <c r="E16" i="12"/>
  <c r="A16" i="12"/>
  <c r="E15" i="12"/>
  <c r="A15" i="12"/>
  <c r="E14" i="12"/>
  <c r="A14" i="12"/>
  <c r="T13" i="12"/>
  <c r="E13" i="12"/>
  <c r="A13" i="12"/>
  <c r="T12" i="12"/>
  <c r="E12" i="12"/>
  <c r="A12" i="12"/>
  <c r="T11" i="12"/>
  <c r="E11" i="12"/>
  <c r="A11" i="12"/>
  <c r="T10" i="12"/>
  <c r="E10" i="12"/>
  <c r="A10" i="12"/>
  <c r="T9" i="12"/>
  <c r="E9" i="12"/>
  <c r="A9" i="12"/>
  <c r="T8" i="12"/>
  <c r="E8" i="12"/>
  <c r="A8" i="12"/>
  <c r="T7" i="12"/>
  <c r="E7" i="12"/>
  <c r="A7" i="12"/>
  <c r="E6" i="12"/>
  <c r="A6" i="12"/>
  <c r="E5" i="12"/>
  <c r="A5" i="12"/>
  <c r="E4" i="12"/>
  <c r="A4" i="12"/>
  <c r="E3" i="12"/>
  <c r="A3" i="12"/>
  <c r="E2" i="12"/>
  <c r="A2" i="12"/>
  <c r="T18" i="11"/>
  <c r="T9" i="11"/>
  <c r="T10" i="11"/>
  <c r="T11" i="11"/>
  <c r="U11" i="11" s="1"/>
  <c r="I8" i="21" s="1"/>
  <c r="T12" i="11"/>
  <c r="T13" i="11"/>
  <c r="E7" i="11"/>
  <c r="E40" i="11"/>
  <c r="E41" i="11"/>
  <c r="E42" i="11"/>
  <c r="E43" i="11"/>
  <c r="E44" i="11"/>
  <c r="E45" i="11"/>
  <c r="E46" i="11"/>
  <c r="A40" i="11"/>
  <c r="A41" i="11"/>
  <c r="A42" i="11"/>
  <c r="A43" i="11"/>
  <c r="A44" i="11"/>
  <c r="A45" i="11"/>
  <c r="A46" i="11"/>
  <c r="A47" i="11"/>
  <c r="A39" i="11"/>
  <c r="E39" i="11"/>
  <c r="E36" i="11"/>
  <c r="E37" i="11"/>
  <c r="E38" i="11"/>
  <c r="A36" i="11"/>
  <c r="A37" i="11"/>
  <c r="A38" i="11"/>
  <c r="A8" i="11"/>
  <c r="E8" i="11"/>
  <c r="A9" i="11"/>
  <c r="E9" i="11"/>
  <c r="A10" i="11"/>
  <c r="E10" i="11"/>
  <c r="A11" i="11"/>
  <c r="E11" i="11"/>
  <c r="A12" i="11"/>
  <c r="E12" i="11"/>
  <c r="A13" i="11"/>
  <c r="E13" i="11"/>
  <c r="A14" i="11"/>
  <c r="E14" i="11"/>
  <c r="A15" i="11"/>
  <c r="E15" i="11"/>
  <c r="A16" i="11"/>
  <c r="E16" i="11"/>
  <c r="A17" i="11"/>
  <c r="E17" i="11"/>
  <c r="A18" i="11"/>
  <c r="E18" i="11"/>
  <c r="A19" i="11"/>
  <c r="E19" i="11"/>
  <c r="A20" i="11"/>
  <c r="E20" i="11"/>
  <c r="A21" i="11"/>
  <c r="E21" i="11"/>
  <c r="A22" i="11"/>
  <c r="E22" i="11"/>
  <c r="A23" i="11"/>
  <c r="E23" i="11"/>
  <c r="A24" i="11"/>
  <c r="E24" i="11"/>
  <c r="A25" i="11"/>
  <c r="E25" i="11"/>
  <c r="A26" i="11"/>
  <c r="E26" i="11"/>
  <c r="A27" i="11"/>
  <c r="E27" i="11"/>
  <c r="A28" i="11"/>
  <c r="E28" i="11"/>
  <c r="A29" i="11"/>
  <c r="E29" i="11"/>
  <c r="A30" i="11"/>
  <c r="E30" i="11"/>
  <c r="A31" i="11"/>
  <c r="E31" i="11"/>
  <c r="A32" i="11"/>
  <c r="E32" i="11"/>
  <c r="A33" i="11"/>
  <c r="E33" i="11"/>
  <c r="A34" i="11"/>
  <c r="E34" i="11"/>
  <c r="A35" i="11"/>
  <c r="E35" i="11"/>
  <c r="T8" i="11"/>
  <c r="T7" i="11"/>
  <c r="A7" i="11"/>
  <c r="E6" i="11"/>
  <c r="A6" i="11"/>
  <c r="E5" i="11"/>
  <c r="A5" i="11"/>
  <c r="E4" i="11"/>
  <c r="A4" i="11"/>
  <c r="E3" i="11"/>
  <c r="A3" i="11"/>
  <c r="E2" i="11"/>
  <c r="A2" i="11"/>
  <c r="A7" i="10"/>
  <c r="E6" i="10"/>
  <c r="A6" i="10"/>
  <c r="E5" i="10"/>
  <c r="A5" i="10"/>
  <c r="E4" i="10"/>
  <c r="A4" i="10"/>
  <c r="E3" i="10"/>
  <c r="A3" i="10"/>
  <c r="E2" i="10"/>
  <c r="A2" i="10"/>
  <c r="T17" i="8"/>
  <c r="T16" i="8"/>
  <c r="T16" i="11" s="1"/>
  <c r="T16" i="12" s="1"/>
  <c r="T16" i="14" s="1"/>
  <c r="U16" i="15" s="1"/>
  <c r="L13" i="21" s="1"/>
  <c r="T15" i="8"/>
  <c r="T15" i="11" s="1"/>
  <c r="T15" i="12" s="1"/>
  <c r="T15" i="14" s="1"/>
  <c r="T15" i="15" s="1"/>
  <c r="T15" i="16" s="1"/>
  <c r="T15" i="17" s="1"/>
  <c r="T15" i="18" s="1"/>
  <c r="T13" i="8"/>
  <c r="E27" i="8"/>
  <c r="E28" i="8"/>
  <c r="E29" i="8"/>
  <c r="E30" i="8"/>
  <c r="E31" i="8"/>
  <c r="E32" i="8"/>
  <c r="E33" i="8"/>
  <c r="E34" i="8"/>
  <c r="E35" i="8"/>
  <c r="E36" i="8"/>
  <c r="E37" i="8"/>
  <c r="E38" i="8"/>
  <c r="E39" i="8"/>
  <c r="E40" i="8"/>
  <c r="A41" i="8"/>
  <c r="A40" i="8"/>
  <c r="A37" i="8"/>
  <c r="A38" i="8"/>
  <c r="A39" i="8"/>
  <c r="A36" i="8"/>
  <c r="A34" i="8"/>
  <c r="A35" i="8"/>
  <c r="A33" i="8"/>
  <c r="A30" i="8"/>
  <c r="A31" i="8"/>
  <c r="A32" i="8"/>
  <c r="T16" i="2"/>
  <c r="U16" i="2" s="1"/>
  <c r="C13" i="21" s="1"/>
  <c r="T15" i="2"/>
  <c r="A29" i="8"/>
  <c r="A28" i="8"/>
  <c r="A27" i="8"/>
  <c r="E26" i="8"/>
  <c r="A26" i="8"/>
  <c r="E25" i="8"/>
  <c r="A25" i="8"/>
  <c r="E24" i="8"/>
  <c r="A24" i="8"/>
  <c r="E23" i="8"/>
  <c r="A23" i="8"/>
  <c r="E22" i="8"/>
  <c r="A22" i="8"/>
  <c r="E21" i="8"/>
  <c r="A21" i="8"/>
  <c r="E20" i="8"/>
  <c r="A20" i="8"/>
  <c r="E19" i="8"/>
  <c r="A19" i="8"/>
  <c r="E18" i="8"/>
  <c r="A18" i="8"/>
  <c r="E17" i="8"/>
  <c r="A17" i="8"/>
  <c r="E16" i="8"/>
  <c r="A16" i="8"/>
  <c r="E15" i="8"/>
  <c r="A15" i="8"/>
  <c r="E14" i="8"/>
  <c r="A14" i="8"/>
  <c r="E13" i="8"/>
  <c r="A13" i="8"/>
  <c r="T12" i="8"/>
  <c r="E12" i="8"/>
  <c r="A12" i="8"/>
  <c r="T11" i="8"/>
  <c r="E11" i="8"/>
  <c r="A11" i="8"/>
  <c r="T10" i="8"/>
  <c r="E10" i="8"/>
  <c r="A10" i="8"/>
  <c r="T9" i="8"/>
  <c r="E9" i="8"/>
  <c r="A9" i="8"/>
  <c r="T8" i="8"/>
  <c r="E8" i="8"/>
  <c r="A8" i="8"/>
  <c r="T7" i="8"/>
  <c r="E7" i="8"/>
  <c r="A7" i="8"/>
  <c r="E6" i="8"/>
  <c r="A6" i="8"/>
  <c r="E5" i="8"/>
  <c r="A5" i="8"/>
  <c r="E4" i="8"/>
  <c r="A4" i="8"/>
  <c r="E3" i="8"/>
  <c r="A3" i="8"/>
  <c r="E2" i="8"/>
  <c r="A2" i="8"/>
  <c r="T17" i="7"/>
  <c r="T10" i="7"/>
  <c r="T11" i="7"/>
  <c r="T12" i="7"/>
  <c r="T9" i="7"/>
  <c r="T8" i="7"/>
  <c r="T7" i="7"/>
  <c r="T14" i="6"/>
  <c r="T11" i="6"/>
  <c r="T9" i="6"/>
  <c r="T8" i="6"/>
  <c r="T7" i="6"/>
  <c r="T11" i="5"/>
  <c r="T10" i="5"/>
  <c r="T10" i="6" s="1"/>
  <c r="T9" i="5"/>
  <c r="T8" i="5"/>
  <c r="T7" i="5"/>
  <c r="T8" i="2"/>
  <c r="T9" i="2"/>
  <c r="T10" i="2"/>
  <c r="T11" i="2"/>
  <c r="T12" i="2"/>
  <c r="T13" i="2"/>
  <c r="T7" i="2"/>
  <c r="E2" i="6"/>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 i="7"/>
  <c r="E4" i="7"/>
  <c r="E5" i="7"/>
  <c r="E6" i="7"/>
  <c r="E7" i="7"/>
  <c r="E8" i="7"/>
  <c r="E9" i="7"/>
  <c r="E10" i="7"/>
  <c r="E11" i="7"/>
  <c r="E12" i="7"/>
  <c r="E13" i="7"/>
  <c r="E14" i="7"/>
  <c r="E15" i="7"/>
  <c r="E16" i="7"/>
  <c r="E17" i="7"/>
  <c r="E18" i="7"/>
  <c r="E19" i="7"/>
  <c r="E20" i="7"/>
  <c r="E21" i="7"/>
  <c r="E22" i="7"/>
  <c r="E23" i="7"/>
  <c r="E24" i="7"/>
  <c r="E25" i="7"/>
  <c r="E26" i="7"/>
  <c r="E27" i="7"/>
  <c r="E28" i="7"/>
  <c r="E2" i="7"/>
  <c r="A2" i="6"/>
  <c r="A3" i="6"/>
  <c r="A4" i="6"/>
  <c r="A5" i="6"/>
  <c r="A6" i="6"/>
  <c r="A7" i="6"/>
  <c r="A8" i="6"/>
  <c r="A9" i="6"/>
  <c r="A10" i="6"/>
  <c r="A11" i="6"/>
  <c r="A12" i="6"/>
  <c r="A13" i="6"/>
  <c r="A14" i="6"/>
  <c r="A15" i="6"/>
  <c r="A16" i="6"/>
  <c r="A17" i="6"/>
  <c r="A18" i="6"/>
  <c r="A19" i="6"/>
  <c r="A20" i="6"/>
  <c r="A21" i="6"/>
  <c r="A23" i="6"/>
  <c r="A24" i="6"/>
  <c r="A25" i="6"/>
  <c r="A26" i="6"/>
  <c r="A28" i="6"/>
  <c r="A29" i="6"/>
  <c r="A30" i="6"/>
  <c r="A31" i="6"/>
  <c r="A32" i="6"/>
  <c r="A33" i="6"/>
  <c r="A34" i="6"/>
  <c r="A35" i="6"/>
  <c r="A36" i="6"/>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2" i="5"/>
  <c r="A3" i="5"/>
  <c r="A4" i="5"/>
  <c r="A5" i="5"/>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2" i="5"/>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2"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3" i="2"/>
  <c r="A2" i="2"/>
  <c r="A2" i="7"/>
  <c r="A3" i="7"/>
  <c r="A4" i="7"/>
  <c r="A5" i="7"/>
  <c r="A6" i="7"/>
  <c r="A7" i="7"/>
  <c r="A8" i="7"/>
  <c r="A9" i="7"/>
  <c r="A10" i="7"/>
  <c r="A11" i="7"/>
  <c r="A12" i="7"/>
  <c r="A13" i="7"/>
  <c r="A14" i="7"/>
  <c r="A15" i="7"/>
  <c r="A16" i="7"/>
  <c r="A17" i="7"/>
  <c r="A18" i="7"/>
  <c r="A19" i="7"/>
  <c r="A20" i="7"/>
  <c r="A21" i="7"/>
  <c r="A22" i="7"/>
  <c r="A23" i="7"/>
  <c r="A24" i="7"/>
  <c r="A25" i="7"/>
  <c r="A26" i="7"/>
  <c r="A27" i="7"/>
  <c r="A28" i="7"/>
  <c r="A29" i="7"/>
  <c r="H4" i="21" l="1"/>
  <c r="U7" i="7"/>
  <c r="F4" i="21" s="1"/>
  <c r="U8" i="7"/>
  <c r="F5" i="21" s="1"/>
  <c r="H5" i="21"/>
  <c r="U11" i="8"/>
  <c r="G8" i="21" s="1"/>
  <c r="U9" i="7"/>
  <c r="F6" i="21" s="1"/>
  <c r="U9" i="11"/>
  <c r="I6" i="21" s="1"/>
  <c r="U8" i="12"/>
  <c r="J5" i="21" s="1"/>
  <c r="U8" i="11"/>
  <c r="I5" i="21" s="1"/>
  <c r="U10" i="11"/>
  <c r="I7" i="21" s="1"/>
  <c r="U18" i="11"/>
  <c r="I15" i="21" s="1"/>
  <c r="U7" i="12"/>
  <c r="J4" i="21" s="1"/>
  <c r="U7" i="11"/>
  <c r="I4" i="21" s="1"/>
  <c r="U7" i="8"/>
  <c r="G4" i="21" s="1"/>
  <c r="U8" i="8"/>
  <c r="G5" i="21" s="1"/>
  <c r="U9" i="8"/>
  <c r="G6" i="21" s="1"/>
  <c r="U12" i="8"/>
  <c r="G9" i="21" s="1"/>
  <c r="U10" i="8"/>
  <c r="G7" i="21" s="1"/>
  <c r="U17" i="8"/>
  <c r="G14" i="21" s="1"/>
  <c r="U17" i="7"/>
  <c r="F14" i="21" s="1"/>
  <c r="U10" i="7"/>
  <c r="F7" i="21" s="1"/>
  <c r="U11" i="7"/>
  <c r="F8" i="21" s="1"/>
  <c r="U8" i="6"/>
  <c r="E5" i="21" s="1"/>
  <c r="U11" i="6"/>
  <c r="E8" i="21" s="1"/>
  <c r="U9" i="6"/>
  <c r="E6" i="21" s="1"/>
  <c r="T14" i="7"/>
  <c r="T14" i="8" s="1"/>
  <c r="T14" i="11" s="1"/>
  <c r="T14" i="12" s="1"/>
  <c r="T14" i="14" s="1"/>
  <c r="T14" i="15" s="1"/>
  <c r="T14" i="16" s="1"/>
  <c r="T14" i="17" s="1"/>
  <c r="U14" i="18" s="1"/>
  <c r="O11" i="21" s="1"/>
  <c r="U14" i="6"/>
  <c r="E11" i="21" s="1"/>
  <c r="U11" i="5"/>
  <c r="D8" i="21" s="1"/>
  <c r="U11" i="2"/>
  <c r="C8" i="21" s="1"/>
  <c r="U10" i="5"/>
  <c r="D7" i="21" s="1"/>
  <c r="U10" i="2"/>
  <c r="C7" i="21" s="1"/>
  <c r="U13" i="2"/>
  <c r="C10" i="21" s="1"/>
  <c r="T13" i="5"/>
  <c r="T13" i="6" s="1"/>
  <c r="T13" i="7" s="1"/>
  <c r="U13" i="8" s="1"/>
  <c r="G10" i="21" s="1"/>
  <c r="U12" i="2"/>
  <c r="C9" i="21" s="1"/>
  <c r="T12" i="5"/>
  <c r="T12" i="6" s="1"/>
  <c r="U12" i="7" s="1"/>
  <c r="F9" i="21" s="1"/>
  <c r="U9" i="5"/>
  <c r="D6" i="21" s="1"/>
  <c r="U9" i="2"/>
  <c r="C6" i="21" s="1"/>
  <c r="U7" i="5"/>
  <c r="D4" i="21" s="1"/>
  <c r="U7" i="2"/>
  <c r="C4" i="21" s="1"/>
  <c r="U8" i="5"/>
  <c r="D5" i="21" s="1"/>
  <c r="U8" i="2"/>
  <c r="C5" i="21" s="1"/>
  <c r="U15" i="2"/>
  <c r="C12" i="21" s="1"/>
  <c r="T15" i="5"/>
  <c r="T15" i="6" s="1"/>
  <c r="T15" i="7" s="1"/>
  <c r="U15" i="8" s="1"/>
  <c r="G12" i="21" s="1"/>
  <c r="T16" i="5"/>
  <c r="T16" i="6" s="1"/>
  <c r="T16" i="7" s="1"/>
  <c r="U16" i="8" s="1"/>
  <c r="G13" i="21" s="1"/>
  <c r="U9" i="12"/>
  <c r="J6" i="21" s="1"/>
  <c r="U9" i="14"/>
  <c r="K6" i="21" s="1"/>
  <c r="U13" i="12"/>
  <c r="J10" i="21" s="1"/>
  <c r="U13" i="14"/>
  <c r="K10" i="21" s="1"/>
  <c r="U18" i="12"/>
  <c r="J15" i="21" s="1"/>
  <c r="U18" i="14"/>
  <c r="T18" i="15" s="1"/>
  <c r="T18" i="16" s="1"/>
  <c r="U18" i="17" s="1"/>
  <c r="N15" i="21" s="1"/>
  <c r="U11" i="12"/>
  <c r="J8" i="21" s="1"/>
  <c r="U11" i="14"/>
  <c r="K8" i="21" s="1"/>
  <c r="U8" i="14"/>
  <c r="K5" i="21" s="1"/>
  <c r="U12" i="12"/>
  <c r="J9" i="21" s="1"/>
  <c r="U12" i="14"/>
  <c r="K9" i="21" s="1"/>
  <c r="U7" i="14"/>
  <c r="K4" i="21" s="1"/>
  <c r="U10" i="12"/>
  <c r="J7" i="21" s="1"/>
  <c r="U10" i="14"/>
  <c r="K7" i="21" s="1"/>
  <c r="U7" i="6"/>
  <c r="E4" i="21" s="1"/>
  <c r="U12" i="11"/>
  <c r="I9" i="21" s="1"/>
  <c r="T17" i="11"/>
  <c r="U17" i="12" s="1"/>
  <c r="J14" i="21" s="1"/>
  <c r="U13" i="11"/>
  <c r="I10" i="21" s="1"/>
  <c r="A8" i="4"/>
  <c r="P13" i="21" l="1"/>
  <c r="P14" i="21"/>
  <c r="P15" i="21"/>
  <c r="P11" i="21"/>
  <c r="P6" i="21"/>
  <c r="P4" i="21"/>
  <c r="P12" i="21"/>
  <c r="P9" i="21"/>
  <c r="P5" i="21"/>
  <c r="P10" i="21"/>
  <c r="P7" i="21"/>
  <c r="P8" i="21"/>
  <c r="A7" i="4"/>
  <c r="A6" i="4"/>
  <c r="A5" i="4"/>
  <c r="A4" i="4"/>
  <c r="A3" i="4"/>
  <c r="A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tc={5245CDA0-8A62-4749-A704-6A2E0F408657}</author>
  </authors>
  <commentList>
    <comment ref="B83" authorId="0" shapeId="0" xr:uid="{5245CDA0-8A62-4749-A704-6A2E0F408657}">
      <text>
        <t>[Threaded comment]
Your version of Excel allows you to read this threaded comment; however, any edits to it will get removed if the file is opened in a newer version of Excel. Learn more: https://go.microsoft.com/fwlink/?linkid=870924
Comment:
    Same as ConveyorStation</t>
      </text>
    </comment>
  </commentList>
</comments>
</file>

<file path=xl/sharedStrings.xml><?xml version="1.0" encoding="utf-8"?>
<sst xmlns="http://schemas.openxmlformats.org/spreadsheetml/2006/main" count="6658" uniqueCount="2010">
  <si>
    <t>Sr.No.</t>
  </si>
  <si>
    <t>Date</t>
  </si>
  <si>
    <t>Rev.No.</t>
  </si>
  <si>
    <t>Description</t>
  </si>
  <si>
    <t>Attendee</t>
  </si>
  <si>
    <t>Remark</t>
  </si>
  <si>
    <t>Initial draft</t>
  </si>
  <si>
    <t>Ganesh K</t>
  </si>
  <si>
    <t>as per flow ICD updated in various station</t>
  </si>
  <si>
    <t>Raja, Kautubha, Vishal, Ganesh</t>
  </si>
  <si>
    <t>Below var added
StackDestackStation- Abort, Abort_Ack
LabellingStation- Pallet_Labelling_Status_Ack
WrapUnwrapStation- Wrapping_Status
UnloadingStation- Type_of_Operation</t>
  </si>
  <si>
    <t>All area station master sheets added</t>
  </si>
  <si>
    <t>abort and its ack added in conveyor station and cross transfer station</t>
  </si>
  <si>
    <t>ElevatorStation added</t>
  </si>
  <si>
    <t>Pallet_Status variable added in profile check station</t>
  </si>
  <si>
    <t>Rohit P</t>
  </si>
  <si>
    <t>GTP decision station added</t>
  </si>
  <si>
    <t>Below abbreviation is only for CT and TT</t>
  </si>
  <si>
    <t>Type of entity
1 -  Cross Transfer; 2 -  Turn Table</t>
  </si>
  <si>
    <t>Branch No</t>
  </si>
  <si>
    <t>TT/CT No</t>
  </si>
  <si>
    <t>Source</t>
  </si>
  <si>
    <t>Read_Source</t>
  </si>
  <si>
    <t>Read_Source_Ack</t>
  </si>
  <si>
    <t>Request_For_Destination</t>
  </si>
  <si>
    <t>Destination</t>
  </si>
  <si>
    <t>Request_For_Destination_Ack</t>
  </si>
  <si>
    <t>Pallet_Transferred</t>
  </si>
  <si>
    <t>Conveyor
( x is PLC no)
X= 1 to 2</t>
  </si>
  <si>
    <t>Common Interface</t>
  </si>
  <si>
    <t>Data type</t>
  </si>
  <si>
    <t>Conveyor PLC</t>
  </si>
  <si>
    <t>WCS</t>
  </si>
  <si>
    <t>Comment</t>
  </si>
  <si>
    <t>Recovery Comments</t>
  </si>
  <si>
    <t>PLCPowerOn</t>
  </si>
  <si>
    <t>Byte</t>
  </si>
  <si>
    <t>W</t>
  </si>
  <si>
    <t>R</t>
  </si>
  <si>
    <t>This byte conveys to WCS that PLC is powered on as follow:
Stacker PLC will write in this byte
0= Power Off
1= Power On</t>
  </si>
  <si>
    <t>ConveyorIP[X]</t>
  </si>
  <si>
    <t>HeartBitIP</t>
  </si>
  <si>
    <t>WCS will toggle values in this variable with 1 sec internal i.e. 1 and 2
IF this value change stops for 1 sec then generate error</t>
  </si>
  <si>
    <t>Zone
( x is zone no)
X=1 to 94</t>
  </si>
  <si>
    <t>PLC Zone Interface</t>
  </si>
  <si>
    <t>ZoneOP[X].</t>
  </si>
  <si>
    <t>Mode</t>
  </si>
  <si>
    <t>1: Zone is in auto mode
2: Zone is in manual mode</t>
  </si>
  <si>
    <t>PLC_Error_No</t>
  </si>
  <si>
    <t>Int</t>
  </si>
  <si>
    <t>PLC will write error number in this variable at every stations. 
0= No error 
Greater than 0 = system in fault</t>
  </si>
  <si>
    <t>ZoneIP[X].</t>
  </si>
  <si>
    <t>Function</t>
  </si>
  <si>
    <t>ConveyorNo</t>
  </si>
  <si>
    <t>Read_function</t>
  </si>
  <si>
    <t>BOOL</t>
  </si>
  <si>
    <t>1: After giving function, WCS will set this bit
0: Default OR False After getting "Read_function_Ack"</t>
  </si>
  <si>
    <t>Read_function_Ack</t>
  </si>
  <si>
    <t>1: After getting "Read_Function" this will be set by PLC, if function changed succefully
2: After getting "Read_Function" this will be set by PLC, if function not changed succefully.
0: After getting "Read_Function" OFF this will be made low</t>
  </si>
  <si>
    <t>Station ID
(X is the ID of Station)
X= 1 to 170</t>
  </si>
  <si>
    <t>Loading Station</t>
  </si>
  <si>
    <t>LoadingStationOP[X].</t>
  </si>
  <si>
    <t>0: No Mode
1: Auto
2: Manual</t>
  </si>
  <si>
    <t>State</t>
  </si>
  <si>
    <r>
      <t xml:space="preserve">PLC will always update current state to this byte at every stations and WCS will read.
1 = SP Ready to Receive
2=  Receive in progress
4=  Pallet Present @ fwd end &amp; ready to transfer
</t>
    </r>
    <r>
      <rPr>
        <b/>
        <sz val="10"/>
        <color rgb="FF00B050"/>
        <rFont val="Calibri"/>
        <family val="2"/>
      </rPr>
      <t xml:space="preserve">5=  Pallet Present @ rev end &amp; ready to transfer
6= Pallet move up to end in progress
</t>
    </r>
    <r>
      <rPr>
        <sz val="10"/>
        <rFont val="Calibri"/>
        <family val="2"/>
      </rPr>
      <t xml:space="preserve">8= Transfer in Progress
16 = In error
32 =Un-usable : If any module goes beyond repair then operatoe will mark that module(here conveyor) as not usable from HMI..Same will be shared to WCS. Based on that WCS will give alternate path to pallet. (this facility is optional)
64 = Vendor/Ko Ready to Receive
</t>
    </r>
    <r>
      <rPr>
        <b/>
        <sz val="10"/>
        <color rgb="FF7030A0"/>
        <rFont val="Calibri"/>
        <family val="2"/>
      </rPr>
      <t>128= Data changed in manual mode</t>
    </r>
  </si>
  <si>
    <t>LoadingStationIP[X].</t>
  </si>
  <si>
    <r>
      <rPr>
        <b/>
        <sz val="10"/>
        <rFont val="Calibri"/>
        <family val="2"/>
        <scheme val="minor"/>
      </rPr>
      <t>* If this station is in line---</t>
    </r>
    <r>
      <rPr>
        <sz val="10"/>
        <rFont val="Calibri"/>
        <family val="2"/>
        <scheme val="minor"/>
      </rPr>
      <t xml:space="preserve">
WCS will write Source point as per connected stations   i.e. WCS will write station ID ( Refer Station Master Sheet), same will become zero after "Pallet_Transferred" received from PLC.
</t>
    </r>
    <r>
      <rPr>
        <b/>
        <sz val="10"/>
        <rFont val="Calibri"/>
        <family val="2"/>
        <scheme val="minor"/>
      </rPr>
      <t xml:space="preserve">* If this station is standalone-
</t>
    </r>
    <r>
      <rPr>
        <sz val="10"/>
        <rFont val="Calibri"/>
        <family val="2"/>
        <scheme val="minor"/>
      </rPr>
      <t>WCS will write loadig type based on loading device, same will become zero after "Pallet_Transferred" received from PLC.
0= Deafult/No action
1 = No loading station
2 = Manual Loading
3 = Automatic Loading-AMR
4 =  Automatic Loading-Fork type AGV
5=Automatic Loading-Conveyor Top AMR</t>
    </r>
  </si>
  <si>
    <t>• During handshake, if a power failure, mode change, or error occurs, this value is set to zero by the WCS.
• Once the system is healthy and the handshake is not completed, all handshakes will start from the beginning.
• Once the handshake is completed, this sequence does not need to start again until the next cycle.</t>
  </si>
  <si>
    <t>Type_of_Operation</t>
  </si>
  <si>
    <t>Read_Loading_type</t>
  </si>
  <si>
    <t>1= WCS will write this when it want to load pallet at loading station
99= WCS will set this value when"Read_Loading_type_Ack"=2  received  from PLC.
0 = WCS will set this value when"Read_Loading_type_Ack"=0  received  from PLC.</t>
  </si>
  <si>
    <t>WCS will give "Read_Loading_type" &amp; "Loading_type" signal two time i.e. one for SP Pallet &amp; one for vendor pallet… This is to define whether AMR/Fpork Type AMR is coming to station</t>
  </si>
  <si>
    <t>Read_Loading_type_Ack</t>
  </si>
  <si>
    <t>PLC Will write ACK to WCS.
0=will become zero after"Read_Loading_type" = 99  from WCS.
1= Spare; 
2 = OK;</t>
  </si>
  <si>
    <t>Pallet_ID_From_WCS</t>
  </si>
  <si>
    <t>String(35)</t>
  </si>
  <si>
    <t>1= PLC will write this when Pallet is Received at every station.
99= PLC will set this value when"Request_For_Destination" ACK received  from WCS except ack=1 (Wait).
0= will become zero after Request_For_Destination_Ack=0 from WCS</t>
  </si>
  <si>
    <t>• During handshake, if a power failure, mode change, or error occurs, this value is set to zero by the WCS.
• Once the system is healthy and the handshake is not completed, all handshakes will start from the beginning.
• If the handshake is completed and a power failure, mode change, or error occurs while the state is 4 or 5, then this sequence will repeat.
• This handshake will continue to repeat until the state reaches 8.</t>
  </si>
  <si>
    <t>1. WCS will write Next Destination as per connected stations i.e. WCS will write station ID ( Refer Station Master Sheet), 
2. same will become zero after "Pallet_Transferred"=99 received from PLC.</t>
  </si>
  <si>
    <t>WCS Will write  Next Destination &amp; then give ACK to PLC.
0=will become zero after"Request_For_Destination"  99  from PLC.
1= Wait; 
2 = OK;</t>
  </si>
  <si>
    <t>1= PLC will write this when Pallet is transferred to next station at every stations.
99= PLC will set this value when Pallet Transferred ACK = 1 received  from WCS.
0= will become zero after Pallet_Transferred_Ack=0 from WCS</t>
  </si>
  <si>
    <t>• During handshake, if a power failure, mode change, or error occurs, this value is set to zero by the WCS.
• Once the system is healthy and the handshake is not completed, all handshakes will start from the beginning.
• If the handshake is completed and a power failure, mode change, or error occurs while the state is 4 or 5, then this sequence will repeat.</t>
  </si>
  <si>
    <t>Pallet_Transferred_Ack</t>
  </si>
  <si>
    <t>1= WCS will write when received pallet transferred from PLC.
0= Default OR When Pallet Transferred received 99 from PLC.</t>
  </si>
  <si>
    <t>Station ID
(X is the ID of Station)
X= 1 to 189</t>
  </si>
  <si>
    <t>Unloading Station (Single In)</t>
  </si>
  <si>
    <t>UnloadingStationOP[X].</t>
  </si>
  <si>
    <t>UnloadingStationIP[X].</t>
  </si>
  <si>
    <t>1= WCS will write this when it want to load pallet at loading station
99= WCS will set this value when"Read_Source_Ack"=2  received  from PLC.
0 = WCS will set this value when"Read_Source_Ack"=0  received  from PLC.</t>
  </si>
  <si>
    <t>PLC Will write ACK to WCS.
0=will become zero after"Read_Source" = 99  from WCS.
1= Spare; 
2 = OK;</t>
  </si>
  <si>
    <t>Request_For_Unloading_type</t>
  </si>
  <si>
    <t>1= PLC will write this when Pallet is Received at station
99= PLC will set this value when"Request_For_Unloading_type_ACK"  received  from WCS =2.
0 = PLC will set this value when"Request_For_Unloading_type_ACK"  received  from WCS =0.</t>
  </si>
  <si>
    <t>Name changed</t>
  </si>
  <si>
    <t>New var added on 29/08/2025</t>
  </si>
  <si>
    <t>Reject_Reason</t>
  </si>
  <si>
    <t>12-20 will spares (reference from profile check)
21= WCS_OK will only use in WPLS, will not share to PLC.</t>
  </si>
  <si>
    <t>Unloading_type</t>
  </si>
  <si>
    <t>Request_For_Unloading_type_Ack</t>
  </si>
  <si>
    <t>WCS Will write  Next Unloading_type &amp; then give ACK to PLC.
0=will become zero after"Request_For_Unloading_type"  99  from PLC.
1= Wait; 
2 = OK;</t>
  </si>
  <si>
    <t>After pallet unloaded by fork lift or by AGV, this signal will be given</t>
  </si>
  <si>
    <t>Station ID
(X is the ID of Station)
X= 1 to 94</t>
  </si>
  <si>
    <t>Profile Check Station</t>
  </si>
  <si>
    <t>ProfileCheckStationOP[X].</t>
  </si>
  <si>
    <r>
      <t xml:space="preserve">PLC will always update current state to this byte at every stations and WCS will read.
1 = Ready to Receive
2=  Receive in progress
4=  Pallet Present @end &amp; ready to transfer
</t>
    </r>
    <r>
      <rPr>
        <sz val="10"/>
        <color rgb="FF00B050"/>
        <rFont val="Calibri"/>
        <family val="2"/>
      </rPr>
      <t xml:space="preserve">5=  Pallet Present @ rev end &amp; ready to transfer
6= Pallet move up to end in progress
</t>
    </r>
    <r>
      <rPr>
        <sz val="10"/>
        <color theme="1"/>
        <rFont val="Calibri"/>
        <family val="2"/>
      </rPr>
      <t xml:space="preserve">8= Transfer in Progress
16 = In error
32 =Un-usable : If any module goes beyond repair then operatoe will mark that module(here conveyor) as not usable from HMI..Same will be shared to WCS. Based on that WCS will give alternate path to pallet. (this facility is optional)
64 = spare
</t>
    </r>
    <r>
      <rPr>
        <sz val="10"/>
        <color rgb="FF7030A0"/>
        <rFont val="Calibri"/>
        <family val="2"/>
      </rPr>
      <t>128= Data changed in manual mode</t>
    </r>
  </si>
  <si>
    <t>ProfileCheckStationIP[X].</t>
  </si>
  <si>
    <t>Pallet_ID_From_PLC</t>
  </si>
  <si>
    <t>1. PLC Will Read Barcode &amp; send system pallet ID to WCS
(PalletID will be sent to WCS as per rules defined by customer e.g. if multple barcode read by PLC,  then by concating some barcodes same will be shared to WCS, After writing the pallet ID PLC will write space for remaing character in a string (i.e ASCII 32))
2. If the barcode reader fails to read the pallet ID, then the PLC will send '1111111111' to the WCS. Based on this, the WCS must reject that pallet and route it toward the rejection lane.
3. After pallet transfer PLC will write space pallet ID string 
( WCS will read the variable based on value change)</t>
  </si>
  <si>
    <t>system pallet ID</t>
  </si>
  <si>
    <t>Vendor_Pallet_ID_From_PLC</t>
  </si>
  <si>
    <t>Request_For_Pallet_Type</t>
  </si>
  <si>
    <t>1= PLC will write this when Pallet is Received at every station.
99= PLC will set this value when"Request_For_Pallet_Type_ACK" received  from WCS except ack=1 (Wait).</t>
  </si>
  <si>
    <t>Pallet_Type_To_PLC</t>
  </si>
  <si>
    <t>WCS will send Pallet type to PLC at Profile check station, when PLC sends "Request_For_Pallet_Type" signal
Refer Pallet type sheet.</t>
  </si>
  <si>
    <t>Request_For_Pallet_Type_Ack</t>
  </si>
  <si>
    <t>When WCS receives "Request_For_Pallet_Type" from PLC, then WCS Will write "Pallet_Type_To_PLC" then give ACK to PLC.
0=will become zero after"Request_For_Pallet_Type"  99  from PLC.
1= Wait; 
2 = OK;</t>
  </si>
  <si>
    <t>Profile_Status</t>
  </si>
  <si>
    <t>Weight</t>
  </si>
  <si>
    <t>PLC will send Actual weight (Weight read from weighing scale) of pallet to WCS at Profile check station…. when "Request_For_Destination" signal becomes true from PLC.
(WCS will check weight of pallet with tolerance &amp; decide rejection condition)</t>
  </si>
  <si>
    <t>1. WCS will write Next Destination as per connected stations i.e. WCS will write station ID,  when PLC sends "Request_For_Destination" signal ( Refer Station Master Sheet).
2. same will become zero after "Pallet_Transferred" received from PLC.</t>
  </si>
  <si>
    <t>Pallet_Status</t>
  </si>
  <si>
    <t>0= No action
1= pallet accepted by WCS
2= pallet rejected by WCS</t>
  </si>
  <si>
    <t>WCS Will write  Next Destination, pallet type &amp; then give ACK to PLC.
0=will become zero after"Request_For_Destination"  99  from PLC.
1= Wait; 
2 = OK;</t>
  </si>
  <si>
    <t>1= PLC will write this when Pallet is transferred to next station at every stations.
99= PLC will set this value when Pallet Transferred ACK=1 received  from WCS.
0= will become zero after Pallet_Transferred_Ack=0 from WCS</t>
  </si>
  <si>
    <t>Station ID
(X is the ID of Station)
X=1 to 219</t>
  </si>
  <si>
    <t>Decision Station</t>
  </si>
  <si>
    <t>DecisionOP[X].</t>
  </si>
  <si>
    <r>
      <t xml:space="preserve">PLC will always update current state to this byte at every stations and WCS will read.
1 = Ready to Receive
2=  Receive in progress
4=  Pallet Present @end &amp; ready to transfer
</t>
    </r>
    <r>
      <rPr>
        <sz val="10"/>
        <color rgb="FF00B050"/>
        <rFont val="Calibri"/>
        <family val="2"/>
      </rPr>
      <t xml:space="preserve">5=  Pallet Present @ rev end &amp; ready to transfer
6= Pallet move up to end in progress
</t>
    </r>
    <r>
      <rPr>
        <sz val="10"/>
        <color theme="1"/>
        <rFont val="Calibri"/>
        <family val="2"/>
      </rPr>
      <t xml:space="preserve">8= Transfer in Progress
16 = In error
32 =Un-usable : If any module goes beyond repair then operatoe will mark that module(here conveyor) as not usable from HMI..Same will be shared to WCS. Based on that WCS will give </t>
    </r>
    <r>
      <rPr>
        <sz val="10"/>
        <rFont val="Calibri"/>
        <family val="2"/>
      </rPr>
      <t xml:space="preserve">alternate path to pallet.
64 = spare
</t>
    </r>
    <r>
      <rPr>
        <b/>
        <sz val="10"/>
        <color rgb="FF7030A0"/>
        <rFont val="Calibri"/>
        <family val="2"/>
      </rPr>
      <t>128= Data changed in manual mode</t>
    </r>
  </si>
  <si>
    <t>DecisionIP[X].</t>
  </si>
  <si>
    <t>• During handshake, if a power failure, mode change, or error occurs, this value is set to zero by the WCS.
• Once the system is healthy and the handshake is not completed, all handshakes will start from the beginning.
• If the handshake is completed and a power failure, mode change, or error occurs while the state is 1, then this sequence will repeat. Handshake will not required when state is 2.</t>
  </si>
  <si>
    <t>1. WCS will write Next Destination as per connected stations i.e. WCS will write station ID ( Refer Station Master Sheet).
2. same will become zero after "Pallet_Transferred" received from PLC.</t>
  </si>
  <si>
    <r>
      <t xml:space="preserve">MWCS set </t>
    </r>
    <r>
      <rPr>
        <strike/>
        <sz val="10"/>
        <rFont val="Calibri"/>
        <family val="2"/>
        <scheme val="minor"/>
      </rPr>
      <t>115</t>
    </r>
    <r>
      <rPr>
        <sz val="10"/>
        <rFont val="Calibri"/>
        <family val="2"/>
        <scheme val="minor"/>
      </rPr>
      <t xml:space="preserve"> </t>
    </r>
    <r>
      <rPr>
        <b/>
        <sz val="10"/>
        <rFont val="Calibri"/>
        <family val="2"/>
        <scheme val="minor"/>
      </rPr>
      <t>100</t>
    </r>
    <r>
      <rPr>
        <sz val="10"/>
        <rFont val="Calibri"/>
        <family val="2"/>
        <scheme val="minor"/>
      </rPr>
      <t xml:space="preserve"> for Logiqs. To be updated in station master</t>
    </r>
  </si>
  <si>
    <t>WCS Will write  Next Destination &amp; then give ACK to PLC.
1= Wait; 
2 = OK;
0=will become zero after"Request_For_Destination"  99  from PLC.</t>
  </si>
  <si>
    <t>1= PLC will write this when Pallet is transferred to next station at every stations.
99= PLC will set this value when Pallet Transferred ACK received  from WCS.
0= will become zero after Pallet_Transferred_Ack=0 from WCS</t>
  </si>
  <si>
    <t>Station ID
(X is the ID of Station)
X=1 to 519</t>
  </si>
  <si>
    <t>Conveyor Station</t>
  </si>
  <si>
    <t>ConveyorStationOP[X].</t>
  </si>
  <si>
    <r>
      <t xml:space="preserve">PLC will always update current state to this byte at every stations and WCS will read only incase of Conveyor Station only.
1 = Ready to Receive System/Master pallet
2=  Receive in progress
4=  Pallet Present @ Forward end &amp; ready to transfer
</t>
    </r>
    <r>
      <rPr>
        <sz val="10"/>
        <color rgb="FF00B050"/>
        <rFont val="Calibri"/>
        <family val="2"/>
      </rPr>
      <t xml:space="preserve">5=  Pallet Present @ Reverse end &amp; ready to transfer
6= Pallet move up to end in progress
</t>
    </r>
    <r>
      <rPr>
        <sz val="10"/>
        <rFont val="Calibri"/>
        <family val="2"/>
      </rPr>
      <t xml:space="preserve">8= Transfer in Progress
16 = In error
32 =Un-usable : If any module goes beyond repair then operatoe will mark that module(here conveyor) as not usable from HMI..Same will be shared to WCS. Based on that WCS will give alternate path to pallet. (this facility is optional)
64 = Ready to Receive Vendor pallet
</t>
    </r>
    <r>
      <rPr>
        <b/>
        <sz val="10"/>
        <color rgb="FF7030A0"/>
        <rFont val="Calibri"/>
        <family val="2"/>
      </rPr>
      <t>128= Data changed in manual mode</t>
    </r>
  </si>
  <si>
    <t>Conveyor State will not read by WCS when conveyor is on  Loading, Unloading, Reject, Profile Check, Lift, Drop, Shuttle, Elevator
  9 =PLC will write this value to state while lifter up in progress.Applicable for only PRT94.</t>
  </si>
  <si>
    <t>1. If scanner is available then PLC will send  actual  pallet ID else PLC will send tracked pallet ID to WCS
(PalletID will be sent to WCS as per rules defined by customer e.g. if multple barcode read by PLC,  then by concating some barcodes same will be shared to WCS, After writing the pallet ID PLC will write space for remaing character in a string (i.e ASCII 32))
2. After pallet transfer PLC will write "000....00" pallet ID string (zeros as per length of string)</t>
  </si>
  <si>
    <t>HU123</t>
  </si>
  <si>
    <t>Abort</t>
  </si>
  <si>
    <t>Bool</t>
  </si>
  <si>
    <t>1.Abort Sequence from  PLC
0.When Abort Ack 1 recived from WCS</t>
  </si>
  <si>
    <t>ConveyorStationIP[X].</t>
  </si>
  <si>
    <t>Abort_Ack</t>
  </si>
  <si>
    <t>1.When abort 1 recived from PLC</t>
  </si>
  <si>
    <t>Station ID
(X is the ID of Station)
X=1 to 226</t>
  </si>
  <si>
    <t>Cross Transfer Station</t>
  </si>
  <si>
    <t>CrossTransferStationOP[X].</t>
  </si>
  <si>
    <r>
      <t xml:space="preserve">PLC will always update current state to this byte at every stations and WCS will read only incase of Conveyor Station only.
1 = Ready to Receive
2=  Receive in progress
4=  Pallet Present @ Forward end &amp; ready to transfer
</t>
    </r>
    <r>
      <rPr>
        <sz val="10"/>
        <color rgb="FF00B050"/>
        <rFont val="Calibri"/>
        <family val="2"/>
      </rPr>
      <t xml:space="preserve">5=  Pallet Present @ Reverse end &amp; ready to transfer
6= Pallet move up to end in progress
</t>
    </r>
    <r>
      <rPr>
        <sz val="10"/>
        <rFont val="Calibri"/>
        <family val="2"/>
      </rPr>
      <t xml:space="preserve">8= Transfer in Progress
16 = In error
32 =Un-usable : If any module goes beyond repair then operatoe will mark that module(here conveyor) as not usable from HMI..Same will be shared to WCS. Based on that WCS will give alternate path to pallet. (this facility is optional)
</t>
    </r>
    <r>
      <rPr>
        <strike/>
        <sz val="10"/>
        <rFont val="Calibri"/>
        <family val="2"/>
      </rPr>
      <t>64 = spare</t>
    </r>
    <r>
      <rPr>
        <sz val="10"/>
        <rFont val="Calibri"/>
        <family val="2"/>
      </rPr>
      <t xml:space="preserve">
</t>
    </r>
    <r>
      <rPr>
        <b/>
        <sz val="10"/>
        <color rgb="FF7030A0"/>
        <rFont val="Calibri"/>
        <family val="2"/>
      </rPr>
      <t>128= Data changed in manual mode</t>
    </r>
  </si>
  <si>
    <t>1. If scanner is available then PLC will send  actual  pallet ID else PLC will send tracked pallet ID to WCS
(PalletID will be sent to WCS as per rules defined by customer e.g. if multple barcode read by PLC,  then by concating some barcodes same will be shared to WCS, After writing the pallet ID PLC will write space for remaing character in a string (i.e ASCII 32))
2. If the barcode reader fails to read the pallet ID at profile station, then the PLC will send '1111111111' to the WCS. Based on this, the WCS must reject that pallet and route it toward the rejection lane. If the barcode reader fails to read the pallet ID, then the PLC will send trached pallet id to WCS.
3. After pallet transfer PLC will write space pallet ID string 
( WCS will read the variable based on value change)</t>
  </si>
  <si>
    <t>CrossTransferStationIP[X].</t>
  </si>
  <si>
    <t>Station ID
(X is the ID of Station)
X= 1 to 115</t>
  </si>
  <si>
    <t>Stack Destack Station</t>
  </si>
  <si>
    <t>StackDestackStationOP[X].</t>
  </si>
  <si>
    <t>Stack_Status</t>
  </si>
  <si>
    <t>PLC will share this stations status based on pallets availibilty
1 = No pallet ( Stack-Destack station is empty)
2 = Partial stack (Stack-Destack station have pallets &lt; Full pallet stack)
3 = Full stack
4 = Warning level (Stack-Destack station have pallets = warining level ie. may be 1 or 2 no of pallets available)</t>
  </si>
  <si>
    <t>StackDestackStationIP[X].</t>
  </si>
  <si>
    <t>1= MWCS will write when stacker to receive single system/KO pallet
2= MWCS will write when stacker to receive full SP/KO stack
3 = Single pass through
4 = Stack pass through
5 = MWCS will write when stacker to receive SP + KO pallet
same will become zero after "State=4 or 5" received from PLC.</t>
  </si>
  <si>
    <t>Added for receiving the single pallet or stack pallet</t>
  </si>
  <si>
    <t>Release_Pallet_Request</t>
  </si>
  <si>
    <t>1=WCS will write when System pallet required at loading
2 = WCS will write when  Full stack request
99=Release_Pallet_Request_Ack=2 received from PLC</t>
  </si>
  <si>
    <t>Release_Pallet_Request_Ack</t>
  </si>
  <si>
    <t>PLC will write this when Release_Pallet_Request=1 received from WCS
0= Release_Pallet_Request=99 received from WCS
1= No pallet Available; 
2 = OK;</t>
  </si>
  <si>
    <t>1. WCS will write Next Destination as per connected stations i.e. WCS will write station ID ( Refer Station Master Sheet), 
2. same will become zero after "Pallet_Transferred"=99 received from PLC.
0= Deafult/No action
1 = No loading station
2 = Manual Loading
3 = Automatic Loading-AMR
4 =  Automatic Loading-Fork type AGV
5=Automatic Loading-Conveyor Top AMR</t>
  </si>
  <si>
    <t>1= PLC will write this when manual operation in auto sequence. Operator will take stacker/destacker to home position then press "Abort" PB from HMI.
99= PLC will set this value when"Abort_Ack" ACK received  from WCS except ack=1 (Wait).
0= will become zero after "Abort_Ack"=0 from WCS</t>
  </si>
  <si>
    <t>WCS Will write  ACK to PLC.
1= Wait;
2 = OK;
0=will become zero after"Abort" = 99  from PLC.</t>
  </si>
  <si>
    <t>Station ID
(X is the ID of Station)
X= 1 to 34</t>
  </si>
  <si>
    <t>WrapUnwrapStation</t>
  </si>
  <si>
    <t>WrapUnwrapStationOP[X].</t>
  </si>
  <si>
    <r>
      <t xml:space="preserve">PLC will always update current state to this byte at every stations and WCS will read only incase of Conveyor Station only..
0= Default/ No action
1 = Ready to Receive
2=  Receive in progress
4=  Pallet Present @ Forward end &amp; ready to transfer
5=  Pallet Present @ Reverse end &amp; ready to transfer
8= Transfer in Progress
16 = In error
32 =Un-usable : If any module goes beyond repair then operatoe will mark that module(here conveyor) as not usable from HMI..Same will be shared to WCS. Based on that WCS will give alternate path to pallet. (this facility is optional)
64 = spare
</t>
    </r>
    <r>
      <rPr>
        <b/>
        <sz val="10"/>
        <color rgb="FF7030A0"/>
        <rFont val="Calibri"/>
        <family val="2"/>
      </rPr>
      <t>128= Data changed in manual mode</t>
    </r>
  </si>
  <si>
    <t>Wrapping_Status</t>
  </si>
  <si>
    <t>wrapping consumable status
0=ok/ no action
1= film warning
2= film reload require
based on this status, WCS will instruct operator to take neccesary actions.</t>
  </si>
  <si>
    <t>Request_For_Operation</t>
  </si>
  <si>
    <t>1 = PLC will write this value, when Pallet is Received at station
0 = PLC will set this value when"Request_For_Operation_ACK" received  from WCS</t>
  </si>
  <si>
    <t>WrapUnwrapStationIP[X].</t>
  </si>
  <si>
    <t>Pallet_type</t>
  </si>
  <si>
    <t>byte</t>
  </si>
  <si>
    <t>1. WCS will share Pallet Type
2. After "Pallet_Transferred" signal from PLC, WCS will clear the data.</t>
  </si>
  <si>
    <t>Request_For_Operation_ACK</t>
  </si>
  <si>
    <t>WCS should write Operation Type &amp; then give "Request_For_Operation_Ack" to PLC.
1 =  Wrapping
2 =  Unwrapping
3 = No action
0 = Will become zero after"Request_For_Operation"  become "False" from PLC.</t>
  </si>
  <si>
    <t>0=default value/ Pallet_Operation_Status_ACK=0 received from WCS
1= PLC will write this when Pallet Wrapping done.
2 = PLC will write this when Pallet Wrapping not done 
3= PLC will write this when Pallet Unwrapping done.
4 = PLC will write this when Pallet Unwrapping not done 
99= PLC will set this value when "Pallet_Operation_Status_ACK" received  from WCS.</t>
  </si>
  <si>
    <t>Pallet_Operation_Status_ACK</t>
  </si>
  <si>
    <t>1= WCS will write this when received "Pallet_Operation_Status"=1 from PLC.
0=  When "Pallet_Operation_Status" received become 99 from PLC.</t>
  </si>
  <si>
    <t>Station ID
(X is the ID of Station)
X= 1 to 2</t>
  </si>
  <si>
    <t>LabellingStation</t>
  </si>
  <si>
    <t>LabellingStationOP[X].</t>
  </si>
  <si>
    <t>1. If scanner is available then PLC will send  actual  pallet ID else PLC will send tracked pallet ID to WCS
(PalletID will be sent to WCS as per rules defined by customer e.g. if multple barcode read by PLC,  then by concating some barcodes same will be shared to WCS, After writing the pallet ID PLC will write space for remaing character in a string (i.e ASCII 32))
2. If the barcode reader fails to read the pallet ID at profile station, then the PLC will send '1111111111' to the WCS. Based on this, the WCS must reject that pallet and route it toward the rejection lane. If the barcode reader fails to read the pallet ID, then the PLC will send trached pallet id to WCS.3. After pallet transfer PLC will write space pallet ID string 
( WCS will read the variable based on value change)</t>
  </si>
  <si>
    <t>LabellingStationIP[X].</t>
  </si>
  <si>
    <t>Request_For_Labelling</t>
  </si>
  <si>
    <t>1 = PLC will write this value, when Pallet is Received at station &amp; ready for labeling
0 = PLC will set this value when"Request_For_Labelling_ACK" received  from WCS</t>
  </si>
  <si>
    <t>1. WCS will share Pallet as per pallet type sheet
2. After "Pallet_Transferred" signal from PLC, WCS will clear the data.</t>
  </si>
  <si>
    <t>Request_For_Labelling_ACK</t>
  </si>
  <si>
    <t>WCS should write label requirement &amp; then give "Request_For_Labelling_Ack" to PLC.
1 = Required
2 = Not required
0 = Will become zero after"Request_For_Labelling"  become "False" from PLC.</t>
  </si>
  <si>
    <t>Need to add value for required or not required
1 = Required
2 = Not required</t>
  </si>
  <si>
    <t>Pallet_Labelling_Status</t>
  </si>
  <si>
    <t>0=default value/ Pallet_Labelling_Status_ACK=0 received from WCS
1= PLC will write this when Pallet Labelling done.
2 = PLC will write this when Pallet Labelling not done 
99= PLC will set this value when "Pallet_Labelling_Status_ACK" received  from WCS.</t>
  </si>
  <si>
    <t>This needs to be updated before resetting the "Request_For_Labelling = 99"</t>
  </si>
  <si>
    <t>Pallet_Labelling_Status_Ack</t>
  </si>
  <si>
    <t>1= WCS will write this when received "Pallet_Labelling_Status"=1 from PLC.
0=  When "Pallet_Labelling_Status" received become 99 from PLC.</t>
  </si>
  <si>
    <t>Station ID
(X is the ID of Station)
X= 1 to 42</t>
  </si>
  <si>
    <t>SeparatorStation</t>
  </si>
  <si>
    <t>SeparatorStationOP[X].</t>
  </si>
  <si>
    <r>
      <t xml:space="preserve">PLC will always update current state to this byte at every stations and WCS will read only incase of Conveyor Station only..
0= Default/ No action
</t>
    </r>
    <r>
      <rPr>
        <sz val="10"/>
        <color rgb="FFFF0000"/>
        <rFont val="Calibri"/>
        <family val="2"/>
      </rPr>
      <t xml:space="preserve">1 = Ready to Receive
2=  Receive in progress
4=  Pallet Present @ Forward end &amp; ready to transfer
5=  Pallet Present @ Reverse end &amp; ready to transfer
8= Transfer in Progress
</t>
    </r>
    <r>
      <rPr>
        <sz val="10"/>
        <rFont val="Calibri"/>
        <family val="2"/>
      </rPr>
      <t xml:space="preserve">16 = In error
32 =Un-usable : If any module goes beyond repair then operatoe will mark that module(here conveyor) as not usable from HMI..Same will be shared to WCS. Based on that WCS will give alternate path to pallet. (this facility is optional)
64 = spare
</t>
    </r>
    <r>
      <rPr>
        <b/>
        <sz val="10"/>
        <color rgb="FF7030A0"/>
        <rFont val="Calibri"/>
        <family val="2"/>
      </rPr>
      <t>128= Data changed in manual mode</t>
    </r>
  </si>
  <si>
    <r>
      <t xml:space="preserve">1. If scanner is available then PLC will send  actual  pallet ID else PLC will send tracked pallet ID to WCS
(PalletID will be sent to WCS as per rules defined by customer e.g. if multple barcode read by PLC,  then by concating some barcodes same will be shared to WCS, After writing the pallet ID PLC will write space for remaing character in a string (i.e ASCII 32))
</t>
    </r>
    <r>
      <rPr>
        <sz val="10"/>
        <color rgb="FF000000"/>
        <rFont val="Calibri"/>
        <family val="2"/>
        <scheme val="minor"/>
      </rPr>
      <t>2. If the barcode reader fails to read the pallet ID at profile station, then the PLC will send '1111111111' to the WCS. Based on this, the WCS must reject that pallet and route it toward the rejection lane. If the barcode reader fails to read the pallet ID, then the PLC will send trached pallet id to WCS.</t>
    </r>
    <r>
      <rPr>
        <strike/>
        <sz val="10"/>
        <color rgb="FF000000"/>
        <rFont val="Calibri"/>
        <family val="2"/>
        <scheme val="minor"/>
      </rPr>
      <t xml:space="preserve">
</t>
    </r>
    <r>
      <rPr>
        <sz val="10"/>
        <color indexed="8"/>
        <rFont val="Calibri"/>
        <family val="2"/>
        <scheme val="minor"/>
      </rPr>
      <t>3. After pallet transfer PLC will write space pallet ID string 
( WCS will read the variable based on value change)</t>
    </r>
  </si>
  <si>
    <t>SeparatorStationIP[X].</t>
  </si>
  <si>
    <t>VendorPalletID</t>
  </si>
  <si>
    <t>PalletID = WCS will write the vendor pallet ID for given SP pallet
0 = None</t>
  </si>
  <si>
    <t>PalletStack</t>
  </si>
  <si>
    <t>1 = WCS will write when stack present on SP pallet
0 = None</t>
  </si>
  <si>
    <t>WCS should write Operation Type &amp; then give "Request_For_Operation_Ack" to PLC.
1 =  Separation required
2 =  Separation not required
3 = Merge required
4 = Merge not required
0 = Will become zero after"Request_For_Operation"  become "False" from PLC.</t>
  </si>
  <si>
    <t>Need to add value for required or not required
1 =  Separation required
2 =  Separation not required
3 = Merge required
4 = Merge not required</t>
  </si>
  <si>
    <t>0=default value/ Pallet_Operation_Status_ACK=0 received from WCS
1= PLC will write this when Pallet Separation done.
2 = PLC will write this when Pallet Separation not done 
99= PLC will set this value when "Pallet_Operation_Status_ACK" received  from WCS.</t>
  </si>
  <si>
    <t>Station ID
(X is the ID of Station)
X= 1 to 14</t>
  </si>
  <si>
    <t>Elevator</t>
  </si>
  <si>
    <t>ElevatorOP[X].</t>
  </si>
  <si>
    <r>
      <rPr>
        <b/>
        <sz val="10"/>
        <color theme="1"/>
        <rFont val="Calibri"/>
        <family val="2"/>
      </rPr>
      <t>PLC will always update current state to this byte at every stations and PC will read.</t>
    </r>
    <r>
      <rPr>
        <sz val="10"/>
        <color theme="1"/>
        <rFont val="Calibri"/>
        <family val="2"/>
      </rPr>
      <t xml:space="preserve">
1 = Ready to Receive
2=  Receive in progress
4=  Pallet Present @end &amp; ready to transfer
8= Transfer in Progress
16 = In error
32 =Un-usable : If any module goes beyond repair then operatoe will mark that module(here conveyor) as not usable from HMI..Same will be shared to WCS. Based on that WCS will give alternate path to pallet. (this facility is optional)
64 = spare
</t>
    </r>
    <r>
      <rPr>
        <b/>
        <sz val="10"/>
        <color rgb="FF7030A0"/>
        <rFont val="Calibri"/>
        <family val="2"/>
      </rPr>
      <t>128= Data changed in manual mode</t>
    </r>
  </si>
  <si>
    <t>ElevatorIP[X].</t>
  </si>
  <si>
    <r>
      <rPr>
        <b/>
        <sz val="10"/>
        <rFont val="Calibri"/>
        <family val="2"/>
        <scheme val="minor"/>
      </rPr>
      <t>* If this station is in line---</t>
    </r>
    <r>
      <rPr>
        <sz val="10"/>
        <rFont val="Calibri"/>
        <family val="2"/>
        <scheme val="minor"/>
      </rPr>
      <t xml:space="preserve">
WCS will write Source point as per connected stations   i.e. WCS will write station ID ( Refer Station Master Sheet), same will become zero after "Pallet_Transferred" received from PLC.
</t>
    </r>
    <r>
      <rPr>
        <b/>
        <sz val="10"/>
        <rFont val="Calibri"/>
        <family val="2"/>
        <scheme val="minor"/>
      </rPr>
      <t xml:space="preserve">* If this station is standalone-
</t>
    </r>
    <r>
      <rPr>
        <sz val="10"/>
        <rFont val="Calibri"/>
        <family val="2"/>
        <scheme val="minor"/>
      </rPr>
      <t>WCS will write loadig type based on loading device, same will become zero after "Pallet_Transferred" received from PLC.
0= Deafult/No action
1 = No loading station
2 = Manual Loading
3 = Automatic Loading-AMR
4 =  Automatic Loading-Fork type AGV
5=Automatic Loading-Conveyor Top AMR
any conveyor no or CT no</t>
    </r>
  </si>
  <si>
    <t xml:space="preserve"> When wait received from PC PLC will start timer, timer time will be parametric i.e. 1 minute.</t>
  </si>
  <si>
    <t>1. PLC Will Read Barcode &amp; send pallet ID  PLC  to WCS
(PalletID will be sent to PC as per rules defined by customer e.g. if multple barcode read by PLC,  then by concating some barcodes same will be shared to PC, After writing the pallet ID PLC will write space for remaing character in a string (i.e ASCII 32))
2. If the barcode reader fails to read the pallet ID at profile station, then the PLC will send '1111111111' to the WCS. Based on this, the WCS must reject that pallet and route it toward the rejection lane. If the barcode reader fails to read the pallet ID, then the PLC will send trached pallet id to WCS.
3. After pallet transfer PLC will write space pallet ID string 
( WCS will read the variable based on value change)</t>
  </si>
  <si>
    <t>If Barcode Or RFID Present on Lift Jn Then Pallet Id will be Shared to wcs</t>
  </si>
  <si>
    <t>GTP Decision Station</t>
  </si>
  <si>
    <t>GTPDecisionOP[X].</t>
  </si>
  <si>
    <r>
      <t xml:space="preserve">PLC will always update current state to this byte at every stations and WCS will read.
1 = Ready to Receive
2=  Receive in progress
4=  Pallet Present @end &amp; ready to transfer
</t>
    </r>
    <r>
      <rPr>
        <sz val="10"/>
        <color rgb="FF00B050"/>
        <rFont val="Calibri"/>
        <family val="2"/>
      </rPr>
      <t xml:space="preserve">5=  Pallet Present @ rev end &amp; ready to transfer
6= Pallet move up to end in progress
</t>
    </r>
    <r>
      <rPr>
        <sz val="10"/>
        <color theme="1"/>
        <rFont val="Calibri"/>
        <family val="2"/>
      </rPr>
      <t>8= Transfer in Progress
16 = In error
32 =Un-usable : If any module goes beyond repair then operatoe will mark that module(here conveyor) as not usable from HMI..Same will be shared to WCS. Based on that WCS will give alternate path to pallet. (this facility is optional)</t>
    </r>
    <r>
      <rPr>
        <sz val="10"/>
        <rFont val="Calibri"/>
        <family val="2"/>
      </rPr>
      <t xml:space="preserve">
64 = spare
</t>
    </r>
    <r>
      <rPr>
        <b/>
        <sz val="10"/>
        <color rgb="FF7030A0"/>
        <rFont val="Calibri"/>
        <family val="2"/>
      </rPr>
      <t>128= Data changed in manual mode</t>
    </r>
  </si>
  <si>
    <t>GTPDecisionIP[X].</t>
  </si>
  <si>
    <t>Index_pallet</t>
  </si>
  <si>
    <t>WCS will write value after operators work completion &amp; confirmation on WCS scree/tab
99 = Default
1 = Index source pallet ( Allow to relese pallet at source location i.e. B93C2)
2 = Index destianton pallet ( Allow to relese pallet at destination location i.e. B88C3)
  PLC will enable respective pallet release button when it received value 1 or 2 in this byte. 
  When operator press the button PLC should send the request for destination to MWCS
MWCS will write 99 in this byte when PLC will write "Request_For_Destination" = 99.</t>
  </si>
  <si>
    <t>Source_empty</t>
  </si>
  <si>
    <t>WCS will write value
99 = Default
1 = Source pallet is empty i.e. only system pallet present 
This will be given to PLC for validation with sensors when 
  * operator will pick vendor/ko pallet from system pallet &amp; place same at vendor pallet stack area     physically i.e. now only system pallet presnet at B93C2 &amp;
   * Opertor will update same to WCS through WCS screen/tab 
MWCS will write 99 in this byte when PLC will write "Request_For_Destination" = 99.</t>
  </si>
  <si>
    <t>Station ID
(X is the ID of Station)
X= 1 to 13</t>
  </si>
  <si>
    <t>TT_Movimot_Drive</t>
  </si>
  <si>
    <t>TT_Movimot_DriveOP[X]</t>
  </si>
  <si>
    <t>0: No Mode</t>
  </si>
  <si>
    <t>1: Auto</t>
  </si>
  <si>
    <t>2: Manual</t>
  </si>
  <si>
    <t>PLC will write error number in this variable at every stations.</t>
  </si>
  <si>
    <t>0= No error</t>
  </si>
  <si>
    <t>Greater than 0 = system in fault</t>
  </si>
  <si>
    <t>Station ID
(X is the ID of Station)
X= 1 to 519</t>
  </si>
  <si>
    <t>CNV_Movimot_Drive</t>
  </si>
  <si>
    <t>CNV_Movimot_DriveOP[X]</t>
  </si>
  <si>
    <t>STR_Lifter_Movimot_Drive</t>
  </si>
  <si>
    <t>STR_Lifter_Movimot_DriveOP[X]</t>
  </si>
  <si>
    <t>STR_Gripper_Movimot_Drive</t>
  </si>
  <si>
    <t>STR_Gripper_Movimot_DriveOP[X]</t>
  </si>
  <si>
    <t>Station ID
(X is the ID of Station)
X= 1 to 226</t>
  </si>
  <si>
    <t>CT_Moviswitch_Drive</t>
  </si>
  <si>
    <t>CT_Moviswitch_DriveOP[X]</t>
  </si>
  <si>
    <t>CNV_SP_Barcode_Scanner</t>
  </si>
  <si>
    <t>CNV_VP_Barcode_Scanner</t>
  </si>
  <si>
    <t>CNV_VP_Barcode_ScannerOP[X]</t>
  </si>
  <si>
    <t>CT_SP_Barcode_Scanner</t>
  </si>
  <si>
    <t>CT_SP_Barcode_ScannerOP[X]</t>
  </si>
  <si>
    <t>PLC will write error number in this variable at every stations.
0= No error
Greater than 0 = system in fault</t>
  </si>
  <si>
    <t>Tunnel_Scanner</t>
  </si>
  <si>
    <t>Labelling_Scanner</t>
  </si>
  <si>
    <t>Safety_Door</t>
  </si>
  <si>
    <t>Cross_Over</t>
  </si>
  <si>
    <t>Inbound_Cross_OverOP[X]</t>
  </si>
  <si>
    <t xml:space="preserve"> Function_Manager</t>
  </si>
  <si>
    <t xml:space="preserve"> Function_ManagerOP[X]</t>
  </si>
  <si>
    <t>Inbound_Main_Panel_Error_Mgr</t>
  </si>
  <si>
    <t>Inbound_Main_Panel_Error_MgrOP</t>
  </si>
  <si>
    <t>Inbound_Branch_Error_Manager</t>
  </si>
  <si>
    <t>Inbound_Branch_Error_ManagerOP[X]</t>
  </si>
  <si>
    <t>Flammable_Main_Panel_Error_Mgr</t>
  </si>
  <si>
    <t xml:space="preserve"> Flammable_Main_Panel_Error_MgrOP</t>
  </si>
  <si>
    <t>Flammable_Branch_Error_Manager</t>
  </si>
  <si>
    <t xml:space="preserve"> Logiq_IF</t>
  </si>
  <si>
    <t xml:space="preserve"> Logiq_IF_OP[X]</t>
  </si>
  <si>
    <t xml:space="preserve"> ASRS_Main_Panel_Error_Mgr</t>
  </si>
  <si>
    <t xml:space="preserve"> ASRS_Main_Panel_Error_MgrOP</t>
  </si>
  <si>
    <t>ASRS_Branch_Error_Manager</t>
  </si>
  <si>
    <t xml:space="preserve"> High_Speed_Door</t>
  </si>
  <si>
    <t xml:space="preserve"> High_Speed_DoorOP[X]</t>
  </si>
  <si>
    <t xml:space="preserve"> Decision_Station_1_In_1_Out</t>
  </si>
  <si>
    <t xml:space="preserve"> Decision_Station_1_In_1_OutOP[X]</t>
  </si>
  <si>
    <t xml:space="preserve"> Man_Unwrapping_Main_Panel_Error_Mgr</t>
  </si>
  <si>
    <t xml:space="preserve"> Man_Unwrapping_Main_Panel_Error_MgrOP</t>
  </si>
  <si>
    <t>Man_Unwrapping_Branch_Error_Manager</t>
  </si>
  <si>
    <t xml:space="preserve"> Man_Unwrapping_Station</t>
  </si>
  <si>
    <t xml:space="preserve"> Man_Unwrapping_Station_OutOP[X]</t>
  </si>
  <si>
    <t xml:space="preserve"> Trash_Bin_Station_B159C1</t>
  </si>
  <si>
    <t xml:space="preserve"> Trash_Bin_Station_B159C1OP</t>
  </si>
  <si>
    <t xml:space="preserve"> GTP_Main_Panel_Error_Mgr</t>
  </si>
  <si>
    <t xml:space="preserve"> GTP_Main_Panel_Error_MgrOP</t>
  </si>
  <si>
    <t>GTP_Branch_Error_Manager</t>
  </si>
  <si>
    <t xml:space="preserve"> Outbound_Main_Panel_Error_MgrOP</t>
  </si>
  <si>
    <t>Outbound_Branch_Error_Manager</t>
  </si>
  <si>
    <t xml:space="preserve"> GroundAMB_Main_Panel_Error_MgrOP</t>
  </si>
  <si>
    <t>Seperator_Movimot_X</t>
  </si>
  <si>
    <t>Seperator_Movimot_Y</t>
  </si>
  <si>
    <t>Seperator_Movimot_Z</t>
  </si>
  <si>
    <t>GroundCold_Main_Error_Manager</t>
  </si>
  <si>
    <t>GroundCold_Branch_Error_Manager</t>
  </si>
  <si>
    <t>GroundCold_Branch_Error_Manager[x]</t>
  </si>
  <si>
    <t>Station ID</t>
  </si>
  <si>
    <t>Elevator_Error_Manager</t>
  </si>
  <si>
    <t>(X is the ID of branch)</t>
  </si>
  <si>
    <t>X= 1 to 5</t>
  </si>
  <si>
    <t>Elevator_Error_Manager_OP[X]</t>
  </si>
  <si>
    <t>SEW_Movisuite_Control_Elevator</t>
  </si>
  <si>
    <t>SEW_Movisuite_Control_Scissor_Lift</t>
  </si>
  <si>
    <t>10M_GroundFloor_Main_Panel_Error_Mgr</t>
  </si>
  <si>
    <t>10M_GroundFloor_Branch_Error_Manager</t>
  </si>
  <si>
    <t>CNV_Open_Close_Manager</t>
  </si>
  <si>
    <t>CNV_Open_Close_ManagerOP[X]</t>
  </si>
  <si>
    <t>Name</t>
  </si>
  <si>
    <t>Inbound</t>
  </si>
  <si>
    <t>ASRS</t>
  </si>
  <si>
    <t>OB to Man Unwrapping</t>
  </si>
  <si>
    <t>GTP</t>
  </si>
  <si>
    <t>Outbound</t>
  </si>
  <si>
    <t>Flammable</t>
  </si>
  <si>
    <t>Prod G AMB</t>
  </si>
  <si>
    <t>Prod G Cold</t>
  </si>
  <si>
    <t>Prod G floor</t>
  </si>
  <si>
    <t>Prod G+1&amp;2 AMB</t>
  </si>
  <si>
    <t>Prod G+1&amp;2 Cold</t>
  </si>
  <si>
    <t>Prod G 10M AMB</t>
  </si>
  <si>
    <t>Prod G+1 10M AMB</t>
  </si>
  <si>
    <t>ConveyorStation</t>
  </si>
  <si>
    <t>CrossTransferStation</t>
  </si>
  <si>
    <t>Decision</t>
  </si>
  <si>
    <t>LoadingStation</t>
  </si>
  <si>
    <t>UnloadingStation</t>
  </si>
  <si>
    <t>StackDestackStation</t>
  </si>
  <si>
    <t>ProfileCheckStation</t>
  </si>
  <si>
    <t>TurnTableStation</t>
  </si>
  <si>
    <t>WrappingStation</t>
  </si>
  <si>
    <t>Zone</t>
  </si>
  <si>
    <t>ElevatorStation</t>
  </si>
  <si>
    <t>GTPDecision</t>
  </si>
  <si>
    <t>ID</t>
  </si>
  <si>
    <t>PLC ID</t>
  </si>
  <si>
    <t>Zone ID</t>
  </si>
  <si>
    <t>Functionality 1 with Array Index</t>
  </si>
  <si>
    <t>Functionality 2 with Array Index</t>
  </si>
  <si>
    <t xml:space="preserve">Functionality 3 with Array Index
</t>
  </si>
  <si>
    <t>Functionality 4 with Array Index</t>
  </si>
  <si>
    <t>Functionality 5 with Array Index</t>
  </si>
  <si>
    <t>Functionality Logging purpose only</t>
  </si>
  <si>
    <t>Barcode Present (Yes/No)</t>
  </si>
  <si>
    <t>Source requirement</t>
  </si>
  <si>
    <t>Destination requirement</t>
  </si>
  <si>
    <t>Remarks</t>
  </si>
  <si>
    <t>B3C1</t>
  </si>
  <si>
    <t>LoadingStation[1]</t>
  </si>
  <si>
    <t>CNV_Movimot_Drive[1]</t>
  </si>
  <si>
    <t>No</t>
  </si>
  <si>
    <t>Yes</t>
  </si>
  <si>
    <t>CNC Start No</t>
  </si>
  <si>
    <t>B3C2</t>
  </si>
  <si>
    <t>StackDestackStation[3]</t>
  </si>
  <si>
    <t>CNV_Movimot_Drive[2]
STR_Lifter_Movimot_Drive[2]
STR_Gripper_Movimot_Drive[2]</t>
  </si>
  <si>
    <t>CT Start No</t>
  </si>
  <si>
    <t>B3C3</t>
  </si>
  <si>
    <t>CNV_Movimot_Drive[3]</t>
  </si>
  <si>
    <t>B3CT1</t>
  </si>
  <si>
    <t>Decision[1]</t>
  </si>
  <si>
    <t>CT_Movifit_Drive[1]
CT_Moviswitch_Drive[1]
 CT_SP_Barcode_Scanner[1]</t>
  </si>
  <si>
    <t>B4C1</t>
  </si>
  <si>
    <t>LoadingStation[2]</t>
  </si>
  <si>
    <t>CNV_Movimot_Drive[4]</t>
  </si>
  <si>
    <t>Min</t>
  </si>
  <si>
    <t>Max</t>
  </si>
  <si>
    <t>No of Spare</t>
  </si>
  <si>
    <t>Next Stn No</t>
  </si>
  <si>
    <t>B4C2</t>
  </si>
  <si>
    <t>StackDestackStation[4]</t>
  </si>
  <si>
    <t>CNV_Movimot_Drive[5]
STR_Lifter_Movimot_Drive[5]
STR_Gripper_Movimot_Drive[5]</t>
  </si>
  <si>
    <t>B4C3</t>
  </si>
  <si>
    <t>CNV_Movimot_Drive[6]</t>
  </si>
  <si>
    <t>B4CT1</t>
  </si>
  <si>
    <t>Decision[2]</t>
  </si>
  <si>
    <t>CT_Movifit_Drive[2]
CT_Moviswitch_Drive[2]
 CT_SP_Barcode_Scanner[2]</t>
  </si>
  <si>
    <t>B5C1</t>
  </si>
  <si>
    <t>LoadingStation[3]</t>
  </si>
  <si>
    <t>CNV_Movimot_Drive[7]</t>
  </si>
  <si>
    <t>B5C2</t>
  </si>
  <si>
    <t>LoadingStation[4]</t>
  </si>
  <si>
    <t>CNV_Movimot_Drive[8]</t>
  </si>
  <si>
    <t>B5C3</t>
  </si>
  <si>
    <t>CNV_Movimot_Drive[9]</t>
  </si>
  <si>
    <t>B5CT1</t>
  </si>
  <si>
    <t>Decision[3]</t>
  </si>
  <si>
    <t>CT_Movifit_Drive[3]
CT_Moviswitch_Drive[3]
 CT_SP_Barcode_Scanner[3]</t>
  </si>
  <si>
    <t>B6C1</t>
  </si>
  <si>
    <t>LoadingStation[5]</t>
  </si>
  <si>
    <t>CNV_Movimot_Drive[10]</t>
  </si>
  <si>
    <t>B6C2</t>
  </si>
  <si>
    <t>ProfileCheckStation[1]</t>
  </si>
  <si>
    <t>B6C3</t>
  </si>
  <si>
    <t>UnloadingStation[1]</t>
  </si>
  <si>
    <t>CNV_Movimot_Drive[12]</t>
  </si>
  <si>
    <t>B6CT1</t>
  </si>
  <si>
    <t>Decision[4]</t>
  </si>
  <si>
    <t>CT_Movifit_Drive[4]
CT_Moviswitch_Drive[4]</t>
  </si>
  <si>
    <t>B6CT2</t>
  </si>
  <si>
    <t>Decision[5]</t>
  </si>
  <si>
    <t>CT_Movifit_Drive[5]
CT_Moviswitch_Drive[5]</t>
  </si>
  <si>
    <t>B7C1</t>
  </si>
  <si>
    <t>LabellingStation[1]</t>
  </si>
  <si>
    <t>B7C2</t>
  </si>
  <si>
    <t>WrappingStation[1]</t>
  </si>
  <si>
    <t>CNV_Movimot_Drive[14]</t>
  </si>
  <si>
    <t>B7C3</t>
  </si>
  <si>
    <t>CNV_Movimot_Drive[15]</t>
  </si>
  <si>
    <t>B7C4</t>
  </si>
  <si>
    <t>CNV_Movimot_Drive[16]</t>
  </si>
  <si>
    <t>B8C1</t>
  </si>
  <si>
    <t>UnloadingStation[2]</t>
  </si>
  <si>
    <t>CNV_Movimot_Drive[17]</t>
  </si>
  <si>
    <t>B8C2</t>
  </si>
  <si>
    <t>UnloadingStation[3]</t>
  </si>
  <si>
    <t>CNV_Movimot_Drive[18]</t>
  </si>
  <si>
    <t>B8C3</t>
  </si>
  <si>
    <t>CNV_Movimot_Drive[19]</t>
  </si>
  <si>
    <t>B8CT1</t>
  </si>
  <si>
    <t>Decision[6]</t>
  </si>
  <si>
    <t>B9C1</t>
  </si>
  <si>
    <t>UnloadingStation[4]</t>
  </si>
  <si>
    <t>CNV_Movimot_Drive[20]</t>
  </si>
  <si>
    <t>B9C2</t>
  </si>
  <si>
    <t>UnloadingStation[5]</t>
  </si>
  <si>
    <t>CNV_Movimot_Drive[21]</t>
  </si>
  <si>
    <t>B9C3</t>
  </si>
  <si>
    <t>CNV_Movimot_Drive[22]</t>
  </si>
  <si>
    <t>B9CT1</t>
  </si>
  <si>
    <t>Decision[7]</t>
  </si>
  <si>
    <t>B9CT2</t>
  </si>
  <si>
    <t>Decision[8]</t>
  </si>
  <si>
    <t>B10C1</t>
  </si>
  <si>
    <t>CNV_Movimot_Drive[23]</t>
  </si>
  <si>
    <t>B10C2</t>
  </si>
  <si>
    <t>CNV_Movimot_Drive[24]</t>
  </si>
  <si>
    <t>B10C3</t>
  </si>
  <si>
    <t>CNV_Movimot_Drive[25]</t>
  </si>
  <si>
    <t>B10C4</t>
  </si>
  <si>
    <t>CNV_Movimot_Drive[26]</t>
  </si>
  <si>
    <t>B10C5</t>
  </si>
  <si>
    <t>CNV_Movimot_Drive[27]</t>
  </si>
  <si>
    <t>B11C1</t>
  </si>
  <si>
    <t>CNV_Movimot_Drive[28]</t>
  </si>
  <si>
    <t>B11C2</t>
  </si>
  <si>
    <t>CNV_Movimot_Drive[29]</t>
  </si>
  <si>
    <t>B11C3</t>
  </si>
  <si>
    <t>CNV_Movimot_Drive[30]</t>
  </si>
  <si>
    <t>B11C4</t>
  </si>
  <si>
    <t>CNV_Movimot_Drive[31]</t>
  </si>
  <si>
    <t>B11C5</t>
  </si>
  <si>
    <t>CNV_Movimot_Drive[32]</t>
  </si>
  <si>
    <t>B31C1</t>
  </si>
  <si>
    <t>StackDestackStation[2]</t>
  </si>
  <si>
    <t>CNV_Movimot_Drive[33]
STR_Lifter_Movimot_Drive[33]
STR_Gripper_Movimot_Drive[33]</t>
  </si>
  <si>
    <t>B31C2</t>
  </si>
  <si>
    <t>StackDestackStation[1]</t>
  </si>
  <si>
    <t>CNV_Movimot_Drive[34]
STR_Lifter_Movimot_Drive[34]
STR_Gripper_Movimot_Drive[34]</t>
  </si>
  <si>
    <t>Functionality 3 with Array Index</t>
  </si>
  <si>
    <t>B12C1</t>
  </si>
  <si>
    <t>CNV_Movimot_Drive[45]</t>
  </si>
  <si>
    <t>B12C2</t>
  </si>
  <si>
    <t>CNV_Movimot_Drive[46]
Logiq_IF[46]
CrossOver[46]</t>
  </si>
  <si>
    <t>B12CT1</t>
  </si>
  <si>
    <t>Decision[19]</t>
  </si>
  <si>
    <t>CT_Movifit_Drive[19]
CT_Moviswitch_Drive[19]</t>
  </si>
  <si>
    <t>B12CT2</t>
  </si>
  <si>
    <t>Decision[20]</t>
  </si>
  <si>
    <t>CT_Movifit_Drive[20]
CT_Moviswitch_Drive[20]
CT_SP_Barcode_Scanner[20]</t>
  </si>
  <si>
    <t>yes</t>
  </si>
  <si>
    <t>B13C1</t>
  </si>
  <si>
    <t>CNV_Movimot_Drive[47]
CrossOver[47]</t>
  </si>
  <si>
    <t>B13C2</t>
  </si>
  <si>
    <t>CNV_Movimot_Drive[48]
Logiq_IF[48]
CrossOver[48]</t>
  </si>
  <si>
    <t>B13C3</t>
  </si>
  <si>
    <t>CNV_Movimot_Drive[49]</t>
  </si>
  <si>
    <t>B13C4</t>
  </si>
  <si>
    <t>LoadingStation[16]</t>
  </si>
  <si>
    <t>CNV_Movimot_Drive[50]</t>
  </si>
  <si>
    <t>B13CT1</t>
  </si>
  <si>
    <t>Decision[21]</t>
  </si>
  <si>
    <t>CT_Movifit_Drive[21]
CT_Moviswitch_Drive[21]
CT_SP_Barcode_Scanner[21]</t>
  </si>
  <si>
    <t>B14C1</t>
  </si>
  <si>
    <t>LoadingStation[17]</t>
  </si>
  <si>
    <t>CNV_Movimot_Drive[51]</t>
  </si>
  <si>
    <t>B14C2</t>
  </si>
  <si>
    <t>CNV_Movimot_Drive[52]
Logiq_IF[52]
CrossOver[52]</t>
  </si>
  <si>
    <t>B14C3</t>
  </si>
  <si>
    <t>CNV_Movimot_Drive[53]</t>
  </si>
  <si>
    <t>B14CT1</t>
  </si>
  <si>
    <t>Decision[22]</t>
  </si>
  <si>
    <t>CT_Movifit_Drive[22]
CT_Moviswitch_Drive[22]
CT_SP_Barcode_Scanner[22]</t>
  </si>
  <si>
    <t>B15C1</t>
  </si>
  <si>
    <t>CNV_Movimot_Drive[54]
Logiq_IF[54]
CrossOver[54]</t>
  </si>
  <si>
    <t>B15C2</t>
  </si>
  <si>
    <t>CNV_Movimot_Drive[55]
CrossOver[55]</t>
  </si>
  <si>
    <t>B15C3</t>
  </si>
  <si>
    <t>CNV_Movimot_Drive[56]</t>
  </si>
  <si>
    <t>B15CT1</t>
  </si>
  <si>
    <t>Decision[23]</t>
  </si>
  <si>
    <t>CT_Movifit_Drive[23]
CT_Moviswitch_Drive[23]
CT_SP_Barcode_Scanner[23]</t>
  </si>
  <si>
    <t>B16C1</t>
  </si>
  <si>
    <t>UnloadingStation[16]</t>
  </si>
  <si>
    <t>CNV_Movimot_Drive[57]</t>
  </si>
  <si>
    <t>B16C2</t>
  </si>
  <si>
    <t>CNV_Movimot_Drive[58]
Logiq_IF[58]
CrossOver[58]</t>
  </si>
  <si>
    <t>B16C3</t>
  </si>
  <si>
    <t>CNV_Movimot_Drive[59]</t>
  </si>
  <si>
    <t>B16CT1</t>
  </si>
  <si>
    <t>Decision[24]</t>
  </si>
  <si>
    <t>CT_Movifit_Drive[24]
CT_Moviswitch_Drive[24]
CT_SP_Barcode_Scanner[24]</t>
  </si>
  <si>
    <t>B17C1</t>
  </si>
  <si>
    <t>UnloadingStation[17]</t>
  </si>
  <si>
    <t>CNV_Movimot_Drive[60]
CrossOver[60]</t>
  </si>
  <si>
    <t>B17C2</t>
  </si>
  <si>
    <t>CNV_Movimot_Drive[61]
Logiq_IF[61]
CrossOver[61]</t>
  </si>
  <si>
    <t>B17C3</t>
  </si>
  <si>
    <t>CNV_Movimot_Drive[62]</t>
  </si>
  <si>
    <t>B17CT1</t>
  </si>
  <si>
    <t>Decision[25]</t>
  </si>
  <si>
    <t>CT_Movifit_Drive[25]
CT_Moviswitch_Drive[25]
CT_SP_Barcode_Scanner[25]</t>
  </si>
  <si>
    <t>B18C1</t>
  </si>
  <si>
    <t>UnloadingStation[18]</t>
  </si>
  <si>
    <t>CNV_Movimot_Drive[63]
CrossOver[63]</t>
  </si>
  <si>
    <t>B18C2</t>
  </si>
  <si>
    <t>CNV_Movimot_Drive[64]
Logiq_IF[64]
CrossOver[64]</t>
  </si>
  <si>
    <t>B18C3</t>
  </si>
  <si>
    <t>CNV_Movimot_Drive[65]</t>
  </si>
  <si>
    <t>B18C4</t>
  </si>
  <si>
    <t>CNV_Movimot_Drive[66]
 High_Speed_Door[66]</t>
  </si>
  <si>
    <t>B18CT1</t>
  </si>
  <si>
    <t>Decision[26]</t>
  </si>
  <si>
    <t>CT_Movifit_Drive[26]
CT_Moviswitch_Drive[26]
CT_SP_Barcode_Scanner[26]</t>
  </si>
  <si>
    <t>B19C1</t>
  </si>
  <si>
    <t>CNV_Movimot_Drive[67]
CrossOver[67]</t>
  </si>
  <si>
    <t>B19C2</t>
  </si>
  <si>
    <t>CNV_Movimot_Drive[68]</t>
  </si>
  <si>
    <t>B19C3</t>
  </si>
  <si>
    <t>CNV_Movimot_Drive[69]</t>
  </si>
  <si>
    <t>B19C4</t>
  </si>
  <si>
    <t>LoadingStation[18]</t>
  </si>
  <si>
    <t>CNV_Movimot_Drive[70]
High_Speed_Door[70]
CrossOver[70]</t>
  </si>
  <si>
    <t>B19C5</t>
  </si>
  <si>
    <t>CNV_Movimot_Drive[71]
Logiq_IF[71]
CrossOver[71]</t>
  </si>
  <si>
    <t>B19C6</t>
  </si>
  <si>
    <t>CNV_Movimot_Drive[72]</t>
  </si>
  <si>
    <t>B19CT1</t>
  </si>
  <si>
    <t>Decision[27]</t>
  </si>
  <si>
    <t>CT_Movifit_Drive[27]
CT_Moviswitch_Drive[27]
CT_SP_Barcode_Scanner[27]</t>
  </si>
  <si>
    <t>B20C1</t>
  </si>
  <si>
    <t>CNV_Movimot_Drive[73]</t>
  </si>
  <si>
    <t>B20C2</t>
  </si>
  <si>
    <t>CNV_Movimot_Drive[74]</t>
  </si>
  <si>
    <t>B20C3</t>
  </si>
  <si>
    <t>LoadingStation[19]</t>
  </si>
  <si>
    <t>CNV_Movimot_Drive[75]
High_Speed_Door[75]
CrossOver[75]</t>
  </si>
  <si>
    <t>B20C4</t>
  </si>
  <si>
    <t>CNV_Movimot_Drive[76]
Logiq_IF[76]
CrossOver[76]</t>
  </si>
  <si>
    <t>B20CT1</t>
  </si>
  <si>
    <t>Decision[28]</t>
  </si>
  <si>
    <t>CT_Movifit_Drive[28]
CT_Moviswitch_Drive[28]
CT_SP_Barcode_Scanner[28]</t>
  </si>
  <si>
    <t>B21C1</t>
  </si>
  <si>
    <t>UnloadingStation[19]</t>
  </si>
  <si>
    <t>CNV_Movimot_Drive[77]
High_Speed_Door[77]
CrossOver[77]</t>
  </si>
  <si>
    <t>B21C2</t>
  </si>
  <si>
    <t>CNV_Movimot_Drive[78]
Logiq_IF[78]
CrossOver[78]</t>
  </si>
  <si>
    <t>B21C3</t>
  </si>
  <si>
    <t>CNV_Movimot_Drive[79]</t>
  </si>
  <si>
    <t>B21CT1</t>
  </si>
  <si>
    <t>Decision[29]</t>
  </si>
  <si>
    <t>CT_Movifit_Drive[29]
CT_Moviswitch_Drive[29]
CT_SP_Barcode_Scanner[29]</t>
  </si>
  <si>
    <t>B22C1</t>
  </si>
  <si>
    <t>UnloadingStation[20]</t>
  </si>
  <si>
    <t>CNV_Movimot_Drive[80]
High_Speed_Door[80]
CrossOver[80]</t>
  </si>
  <si>
    <t>B22C2</t>
  </si>
  <si>
    <t>CNV_Movimot_Drive[81]
Logiq_IF[81]</t>
  </si>
  <si>
    <t>B22C3</t>
  </si>
  <si>
    <t>CNV_Movimot_Drive[82]</t>
  </si>
  <si>
    <t>B22CT1</t>
  </si>
  <si>
    <t>Decision[30]</t>
  </si>
  <si>
    <t>CT_Movifit_Drive[30]
CT_Moviswitch_Drive[30]
CT_SP_Barcode_Scanner[30]</t>
  </si>
  <si>
    <t>B155C1</t>
  </si>
  <si>
    <t>OB TO MAN UNWRAPPING</t>
  </si>
  <si>
    <t>CNV_Movimot_Drive[93]</t>
  </si>
  <si>
    <t>NO</t>
  </si>
  <si>
    <t>B155C2</t>
  </si>
  <si>
    <t>CNV_Movimot_Drive[94]</t>
  </si>
  <si>
    <t>B155C3</t>
  </si>
  <si>
    <t>CNV_Movimot_Drive[95]</t>
  </si>
  <si>
    <t>B155C4</t>
  </si>
  <si>
    <t>CNV_Movimot_Drive[96]</t>
  </si>
  <si>
    <t>B155C5</t>
  </si>
  <si>
    <t>CNV_Movimot_Drive[97]</t>
  </si>
  <si>
    <t>B156C1</t>
  </si>
  <si>
    <t>CNV_Movimot_Drive[98]</t>
  </si>
  <si>
    <t>B156C2</t>
  </si>
  <si>
    <t>CNV_Movimot_Drive[99]</t>
  </si>
  <si>
    <t>B156C3</t>
  </si>
  <si>
    <t>CNV_Movimot_Drive[100]</t>
  </si>
  <si>
    <t>B156C4</t>
  </si>
  <si>
    <t>CNV_Movimot_Drive[101]</t>
  </si>
  <si>
    <t>B156C5</t>
  </si>
  <si>
    <t>CNV_Movimot_Drive[102]
High_Speed_Door[102]</t>
  </si>
  <si>
    <t>B157C1</t>
  </si>
  <si>
    <t>CNV_Movimot_Drive[103]</t>
  </si>
  <si>
    <t>B157C2</t>
  </si>
  <si>
    <t>CNV_Movimot_Drive[104]</t>
  </si>
  <si>
    <t>B157C3</t>
  </si>
  <si>
    <t>CNV_Movimot_Drive[105]</t>
  </si>
  <si>
    <t>B157C4</t>
  </si>
  <si>
    <t>CNV_Movimot_Drive[106]</t>
  </si>
  <si>
    <t>B157C5</t>
  </si>
  <si>
    <t>CNV_Movimot_Drive[107]</t>
  </si>
  <si>
    <t>B157C6</t>
  </si>
  <si>
    <t>CNV_Movimot_Drive[108]</t>
  </si>
  <si>
    <t>B157C7</t>
  </si>
  <si>
    <t>CNV_Movimot_Drive[109]</t>
  </si>
  <si>
    <t>B157CT1</t>
  </si>
  <si>
    <t xml:space="preserve">CT_Movifit_Drive[41]
CT_Moviswitch_Drive[41]
Decision_Station_1_In_1_Out[41]
</t>
  </si>
  <si>
    <t>B158C1</t>
  </si>
  <si>
    <t>CNV_Movimot_Drive[110]</t>
  </si>
  <si>
    <t>B158C2</t>
  </si>
  <si>
    <t>UnloadingStation[31]</t>
  </si>
  <si>
    <t>CNV_Movimot_Drive[111]</t>
  </si>
  <si>
    <t>B158TT1</t>
  </si>
  <si>
    <r>
      <t xml:space="preserve">TurnTableStation[1]
</t>
    </r>
    <r>
      <rPr>
        <sz val="10"/>
        <rFont val="Calibri"/>
        <family val="2"/>
        <scheme val="minor"/>
      </rPr>
      <t>Decision[41]</t>
    </r>
  </si>
  <si>
    <t xml:space="preserve">TT_Movimot_Drive[112]
CNV_Movimot_Drive[112]
CNV_SP_Barcode_Scanner[112]
</t>
  </si>
  <si>
    <t>B159C1</t>
  </si>
  <si>
    <t>CNV_Movimot_Drive[113]
Trash_Bin_Station[113]</t>
  </si>
  <si>
    <t>B159CT1</t>
  </si>
  <si>
    <t>Decision[42]</t>
  </si>
  <si>
    <t xml:space="preserve">CT_Movifit_Drive[42]
CT_Moviswitch_Drive[42]
</t>
  </si>
  <si>
    <t>B160C1</t>
  </si>
  <si>
    <t>CNV_Movimot_Drive[114]</t>
  </si>
  <si>
    <t>B160C2</t>
  </si>
  <si>
    <t>UnloadingStation[32]</t>
  </si>
  <si>
    <t>CNV_Movimot_Drive[115]</t>
  </si>
  <si>
    <t>B160TT1</t>
  </si>
  <si>
    <r>
      <rPr>
        <strike/>
        <sz val="10"/>
        <color rgb="FFFF0000"/>
        <rFont val="Calibri"/>
        <family val="2"/>
        <scheme val="minor"/>
      </rPr>
      <t>TurnTableStation[2]</t>
    </r>
    <r>
      <rPr>
        <sz val="10"/>
        <color rgb="FFFF0000"/>
        <rFont val="Calibri"/>
        <family val="2"/>
        <scheme val="minor"/>
      </rPr>
      <t xml:space="preserve">
</t>
    </r>
    <r>
      <rPr>
        <sz val="10"/>
        <rFont val="Calibri"/>
        <family val="2"/>
        <scheme val="minor"/>
      </rPr>
      <t>Decision[43]</t>
    </r>
  </si>
  <si>
    <t xml:space="preserve">TT_Movimot_Drive[116]
CNV_Movimot_Drive[116]
CNV_SP_Barcode_Scanner[116]
</t>
  </si>
  <si>
    <t>B161C1</t>
  </si>
  <si>
    <t>CNV_Movimot_Drive[117]</t>
  </si>
  <si>
    <t>B161C2</t>
  </si>
  <si>
    <t>CNV_Movimot_Drive[118]</t>
  </si>
  <si>
    <t>B161C3</t>
  </si>
  <si>
    <t>CNV_Movimot_Drive[119]</t>
  </si>
  <si>
    <t>B161C4</t>
  </si>
  <si>
    <t>CNV_Movimot_Drive[120]
Cross_Over[120]</t>
  </si>
  <si>
    <t>B161CT1</t>
  </si>
  <si>
    <t xml:space="preserve">CT_Movifit_Drive[43]
CT_Moviswitch_Drive[43]
</t>
  </si>
  <si>
    <t>B161CT2</t>
  </si>
  <si>
    <t xml:space="preserve">CT_Movifit_Drive[44]
CT_Moviswitch_Drive[44]
Decision_Station_1_In_1_Out[44]
</t>
  </si>
  <si>
    <t>B162CT1</t>
  </si>
  <si>
    <t>Decision[44]</t>
  </si>
  <si>
    <t xml:space="preserve">CT_Movifit_Drive[45]
CT_Moviswitch_Drive[45]
</t>
  </si>
  <si>
    <t>B163C1</t>
  </si>
  <si>
    <t>UnloadingStation[33]</t>
  </si>
  <si>
    <t>CNV_Movimot_Drive[121]</t>
  </si>
  <si>
    <t>B164C1</t>
  </si>
  <si>
    <t>CNV_Movimot_Drive[122]</t>
  </si>
  <si>
    <t>B87C1</t>
  </si>
  <si>
    <t>StackDestackStation[15]</t>
  </si>
  <si>
    <t>CNV_Movimot_Drive[133]
STR_Lifter_Movimot_Drive[133]
STR_Gripper_Movimot_Drive[133]</t>
  </si>
  <si>
    <t>B87CT1</t>
  </si>
  <si>
    <t>Decision[55]</t>
  </si>
  <si>
    <t>CT_Movifit_Drive[56]
CT_Moviswitch_Drive[56]</t>
  </si>
  <si>
    <t>B88C1</t>
  </si>
  <si>
    <t>CNV_Movimot_Drive[134]</t>
  </si>
  <si>
    <t>B88C2</t>
  </si>
  <si>
    <t>CNV_Movimot_Drive[135]</t>
  </si>
  <si>
    <t>B88C3</t>
  </si>
  <si>
    <t>GTPDecision[1]</t>
  </si>
  <si>
    <t>CNV_Movimot_Drive[136]
Operator_Desicion_Point[136]
SEW_Movisuite_Control_Scissor_Lift[136]</t>
  </si>
  <si>
    <t>B88C4</t>
  </si>
  <si>
    <t>CNV_Movimot_Drive[137]</t>
  </si>
  <si>
    <t>B88CT1</t>
  </si>
  <si>
    <t>Decision[56]</t>
  </si>
  <si>
    <t>CT_Movifit_Drive[57]
CT_Moviswitch_Drive[57]
CT_SP_Barcode_Scanner[57]</t>
  </si>
  <si>
    <t>B88CT2</t>
  </si>
  <si>
    <t>Decision[57]</t>
  </si>
  <si>
    <t>CT_Movifit_Drive[58]
CT_Moviswitch_Drive[58]
CT_SP_Barcode_Scanner[58]</t>
  </si>
  <si>
    <t>B89C1</t>
  </si>
  <si>
    <t>CNV_Movimot_Drive[138]
Operator_Desicion_Point[138]</t>
  </si>
  <si>
    <t>B90C1</t>
  </si>
  <si>
    <t>CNV_Movimot_Drive[139]
Function_Manager[139]</t>
  </si>
  <si>
    <t>B91C1</t>
  </si>
  <si>
    <t>UnloadingStation[44]</t>
  </si>
  <si>
    <t>CNV_Movimot_Drive[140]</t>
  </si>
  <si>
    <t>B92C1</t>
  </si>
  <si>
    <t>LoadingStation[31]</t>
  </si>
  <si>
    <t>CNV_Movimot_Drive[141]</t>
  </si>
  <si>
    <t>B92CT1</t>
  </si>
  <si>
    <t>CT_Movifit_Drive[59]
CT_Moviswitch_Drive[59]
CT_SP_Barcode_Scanner[59]
Decision_Station_1_In_1_Out[59]</t>
  </si>
  <si>
    <t>B93C1</t>
  </si>
  <si>
    <t>CNV_Movimot_Drive[142]</t>
  </si>
  <si>
    <t>B93C2</t>
  </si>
  <si>
    <t>GTPDecision[2]</t>
  </si>
  <si>
    <t>CNV_Movimot_Drive[143]
SEW_Movisuite_Control_Scissor_Lift[143]</t>
  </si>
  <si>
    <t>B93C3</t>
  </si>
  <si>
    <t>CNV_Movimot_Drive[144]</t>
  </si>
  <si>
    <t>B94C1</t>
  </si>
  <si>
    <t>UnloadingStation[45]</t>
  </si>
  <si>
    <t>CNV_Movimot_Drive[145]</t>
  </si>
  <si>
    <t>B94CT1</t>
  </si>
  <si>
    <t>CT_Movifit_Drive[59]
CT_Moviswitch_Drive[59]
Decision_Station_1_In_1_Out[59]</t>
  </si>
  <si>
    <t>B95C1</t>
  </si>
  <si>
    <t>CNV_Movimot_Drive[146]</t>
  </si>
  <si>
    <t>B95C2</t>
  </si>
  <si>
    <t>CNV_Movimot_Drive[147]
Operator_Desicion_Point[147]
SEW_Movisuite_Control_Scissor_Lift[147]</t>
  </si>
  <si>
    <t>B95CT1</t>
  </si>
  <si>
    <t>Decision[58]</t>
  </si>
  <si>
    <t>CT_Movifit_Drive[59]
CT_Moviswitch_Drive[59]</t>
  </si>
  <si>
    <t>B96C1</t>
  </si>
  <si>
    <t>UnloadingStation[46]</t>
  </si>
  <si>
    <t>CNV_Movimot_Drive[148]</t>
  </si>
  <si>
    <t>B165C1</t>
  </si>
  <si>
    <t>CNV_Movimot_Drive[149]</t>
  </si>
  <si>
    <t>B165C2</t>
  </si>
  <si>
    <t>CNV_Movimot_Drive[150]</t>
  </si>
  <si>
    <t>B1C1</t>
  </si>
  <si>
    <t>StackDestackStation[16]</t>
  </si>
  <si>
    <t>CNV_Movimot_Drive[151]
STR_Lifter_Movimot_Drive[151]
STR_Gripper_Movimot_Drive[151]</t>
  </si>
  <si>
    <t>B1C2</t>
  </si>
  <si>
    <t>StackDestackStation[17]</t>
  </si>
  <si>
    <t>CNV_Movimot_Drive[152]
STR_Lifter_Movimot_Drive[152]
STR_Gripper_Movimot_Drive[152]</t>
  </si>
  <si>
    <t>B1C3</t>
  </si>
  <si>
    <t>CNV_Movimot_Drive[153]</t>
  </si>
  <si>
    <t>B1CT1</t>
  </si>
  <si>
    <t>Decision[59]</t>
  </si>
  <si>
    <t>CT_Movifit_Drive[62]
CT_Moviswitch_Drive[62]
CT_SP_Barcode_Scanner[62]</t>
  </si>
  <si>
    <t>B2C1</t>
  </si>
  <si>
    <t>StackDestackStation[28]</t>
  </si>
  <si>
    <t>CNV_Movimot_Drive[164]
STR_Lifter_Movimot_Drive[164]
STR_Gripper_Movimot_Drive[164]</t>
  </si>
  <si>
    <t>B2C2</t>
  </si>
  <si>
    <t>StackDestackStation[29]</t>
  </si>
  <si>
    <t>CNV_Movimot_Drive[165]
STR_Lifter_Movimot_Drive[165]
STR_Gripper_Movimot_Drive[165]</t>
  </si>
  <si>
    <t>B2CT1</t>
  </si>
  <si>
    <t>Decision[71]</t>
  </si>
  <si>
    <t>CT_Movifit_Drive[73]
CT_Moviswitch_Drive[73]
CT_SP_Barcode_Scanner[73]</t>
  </si>
  <si>
    <t>B116C1</t>
  </si>
  <si>
    <t>CNV_Movimot_Drive[166]</t>
  </si>
  <si>
    <t>B116C2</t>
  </si>
  <si>
    <t>UnloadingStation[57]</t>
  </si>
  <si>
    <t>CNV_Movimot_Drive[167]</t>
  </si>
  <si>
    <t>B116C3</t>
  </si>
  <si>
    <t>LoadingStation[42]</t>
  </si>
  <si>
    <t>CNV_Movimot_Drive[168]</t>
  </si>
  <si>
    <t>B116C4</t>
  </si>
  <si>
    <t>CNV_Movimot_Drive[169]</t>
  </si>
  <si>
    <t>B116CT1</t>
  </si>
  <si>
    <t>Decision[72]</t>
  </si>
  <si>
    <t>CT_Movifit_Drive[74]
CT_Moviswitch_Drive[74]</t>
  </si>
  <si>
    <t>B23C1</t>
  </si>
  <si>
    <t>UnloadingStation[58]</t>
  </si>
  <si>
    <t>LoadingStation[43]</t>
  </si>
  <si>
    <t>CNV_Movimot_Drive[170]</t>
  </si>
  <si>
    <t>Zone[12]</t>
  </si>
  <si>
    <t>B23C2</t>
  </si>
  <si>
    <t>LoadingStation[44]</t>
  </si>
  <si>
    <t>CNV_Movimot_Drive[171]</t>
  </si>
  <si>
    <t>B23C3</t>
  </si>
  <si>
    <t>CNV_Movimot_Drive[172]</t>
  </si>
  <si>
    <t>B23CT1</t>
  </si>
  <si>
    <t>Decision[73]</t>
  </si>
  <si>
    <t>CT_Movifit_Drive[75]
CT_Moviswitch_Drive[75]
CT_SP_Barcode_Scanner[75]</t>
  </si>
  <si>
    <t>B24C1</t>
  </si>
  <si>
    <t>UnloadingStation[59]</t>
  </si>
  <si>
    <t>LoadingStation[45]</t>
  </si>
  <si>
    <t>CNV_Movimot_Drive[173]</t>
  </si>
  <si>
    <t>Zone[13]</t>
  </si>
  <si>
    <t>B24C2</t>
  </si>
  <si>
    <t>LoadingStation[46]</t>
  </si>
  <si>
    <t>CNV_Movimot_Drive[174]</t>
  </si>
  <si>
    <t>B24C3</t>
  </si>
  <si>
    <t>CNV_Movimot_Drive[175]</t>
  </si>
  <si>
    <t>B24CT1</t>
  </si>
  <si>
    <t>Decision[74]</t>
  </si>
  <si>
    <t>CT_Movifit_Drive[76]
CT_Moviswitch_Drive[76]
CT_SP_Barcode_Scanner[76]</t>
  </si>
  <si>
    <t>B25C1</t>
  </si>
  <si>
    <t>UnloadingStation[60]</t>
  </si>
  <si>
    <t>LoadingStation[47]</t>
  </si>
  <si>
    <t>CNV_Movimot_Drive[176]</t>
  </si>
  <si>
    <t>Zone[14]</t>
  </si>
  <si>
    <t>B25C2</t>
  </si>
  <si>
    <t>LoadingStation[48]</t>
  </si>
  <si>
    <t>CNV_Movimot_Drive[177]</t>
  </si>
  <si>
    <t>B25C3</t>
  </si>
  <si>
    <t>CNV_Movimot_Drive[178]</t>
  </si>
  <si>
    <t>B25CT1</t>
  </si>
  <si>
    <t>Decision[75]</t>
  </si>
  <si>
    <t>CT_Movifit_Drive[77]
CT_Moviswitch_Drive[77]
CT_SP_Barcode_Scanner[77]</t>
  </si>
  <si>
    <t>B26C1</t>
  </si>
  <si>
    <t>UnloadingStation[61]</t>
  </si>
  <si>
    <t>LoadingStation[49]</t>
  </si>
  <si>
    <t>CNV_Movimot_Drive[179]</t>
  </si>
  <si>
    <t>Zone[15]</t>
  </si>
  <si>
    <t>B26C2</t>
  </si>
  <si>
    <t>LoadingStation[50]</t>
  </si>
  <si>
    <t>CNV_Movimot_Drive[180]</t>
  </si>
  <si>
    <t>B26C3</t>
  </si>
  <si>
    <t>ProfileCheckStation[12]</t>
  </si>
  <si>
    <t>B26C4</t>
  </si>
  <si>
    <t>UnloadingStation[62]</t>
  </si>
  <si>
    <t>CNV_Movimot_Drive[182]</t>
  </si>
  <si>
    <t>B26C5</t>
  </si>
  <si>
    <t>UnloadingStation[63]</t>
  </si>
  <si>
    <t>CNV_Movimot_Drive[183]</t>
  </si>
  <si>
    <t>B26CT1</t>
  </si>
  <si>
    <t>Decision[76]</t>
  </si>
  <si>
    <t>CT_Movifit_Drive[78]
CT_Moviswitch_Drive[78]
CT_SP_Barcode_Scanner[78]</t>
  </si>
  <si>
    <t>B26CT2</t>
  </si>
  <si>
    <t>Decision[77]</t>
  </si>
  <si>
    <t>CT_Movifit_Drive[79]
CT_Moviswitch_Drive[79]</t>
  </si>
  <si>
    <t>B27C1</t>
  </si>
  <si>
    <t>LabellingStation[12]</t>
  </si>
  <si>
    <t>B27C2</t>
  </si>
  <si>
    <t>CNV_Movimot_Drive[185]</t>
  </si>
  <si>
    <t>B27C3</t>
  </si>
  <si>
    <t>WrappingStation[12]</t>
  </si>
  <si>
    <t>CNV_Movimot_Drive[186]</t>
  </si>
  <si>
    <t>B27C4</t>
  </si>
  <si>
    <t>CNV_Movimot_Drive[187]</t>
  </si>
  <si>
    <t>B28C1</t>
  </si>
  <si>
    <t>UnloadingStation[64]</t>
  </si>
  <si>
    <t>CNV_Movimot_Drive[188]</t>
  </si>
  <si>
    <t>B28C2</t>
  </si>
  <si>
    <t>UnloadingStation[65]</t>
  </si>
  <si>
    <t>CNV_Movimot_Drive[189]</t>
  </si>
  <si>
    <t>B28CT1</t>
  </si>
  <si>
    <t>Decision[78]</t>
  </si>
  <si>
    <t>CT_Movifit_Drive[80]
CT_Moviswitch_Drive[80]
CT_SP_Barcode_Scanner[80]</t>
  </si>
  <si>
    <t>B29C1</t>
  </si>
  <si>
    <t>CNV_Movimot_Drive[190]</t>
  </si>
  <si>
    <t>B29C2</t>
  </si>
  <si>
    <t>UnloadingStation[66]</t>
  </si>
  <si>
    <t>CNV_Movimot_Drive[191]</t>
  </si>
  <si>
    <t>B29C3</t>
  </si>
  <si>
    <t>UnloadingStation[67]</t>
  </si>
  <si>
    <t>CNV_Movimot_Drive[192]</t>
  </si>
  <si>
    <t>B29CT1</t>
  </si>
  <si>
    <t>Decision[79]</t>
  </si>
  <si>
    <t>CT_Movifit_Drive[81]
CT_Moviswitch_Drive[81]
CT_SP_Barcode_Scanner[81]</t>
  </si>
  <si>
    <t>B30C2</t>
  </si>
  <si>
    <t>StackDestackStation[30]</t>
  </si>
  <si>
    <t>CNV_Movimot_Drive[193]
STR_Lifter_Movimot_Drive[193]
STR_Gripper_Movimot_Drive[193]</t>
  </si>
  <si>
    <t>B30C3</t>
  </si>
  <si>
    <t>StackDestackStation[31]</t>
  </si>
  <si>
    <t>CNV_Movimot_Drive[194]
STR_Lifter_Movimot_Drive[194]
STR_Gripper_Movimot_Drive[194]</t>
  </si>
  <si>
    <t>B32C1</t>
  </si>
  <si>
    <t>CNV_Movimot_Drive[205]</t>
  </si>
  <si>
    <t>B32CT1</t>
  </si>
  <si>
    <t>CT_Movifit_Drive[92]
CT_Moviswitch_Drive[92]
Decision_Station_1_In_1_Out[92]
FB_Logiq_IF_B32CT1[92]</t>
  </si>
  <si>
    <t>B33C1</t>
  </si>
  <si>
    <t>CNV_Movimot_Drive[206]
Logiq_IF[206]
CrossOver[206]</t>
  </si>
  <si>
    <t>B33C3</t>
  </si>
  <si>
    <t>LoadingStation[61]</t>
  </si>
  <si>
    <t>CNV_Movimot_Drive[207]</t>
  </si>
  <si>
    <t>B34C2</t>
  </si>
  <si>
    <t>CNV_Movimot_Drive[208]
CrossOver[208]</t>
  </si>
  <si>
    <t>B34C3</t>
  </si>
  <si>
    <t>UnloadingStation[78]</t>
  </si>
  <si>
    <t>CNV_Movimot_Drive[209]
CNV_SP_Barcode_Scanner</t>
  </si>
  <si>
    <t>B35C1</t>
  </si>
  <si>
    <t>LoadingStation[72]</t>
  </si>
  <si>
    <t>CNV_Movimot_Drive[220]</t>
  </si>
  <si>
    <t>B36CT1</t>
  </si>
  <si>
    <t>Decision[90]</t>
  </si>
  <si>
    <t>CT_Movifit_Drive[103]
CT_Moviswitch_Drive[103]</t>
  </si>
  <si>
    <t>B37C1</t>
  </si>
  <si>
    <t>SeparatorStation[1]</t>
  </si>
  <si>
    <t>CNV_Movimot_Drive[221]
Seperator_Movimot_X[221]
Seperator_Movimot_Y[221]
Seperator_Movimot_Z[221]</t>
  </si>
  <si>
    <t>B37C2</t>
  </si>
  <si>
    <t>ProfileCheckStation[23]</t>
  </si>
  <si>
    <t>CNV_Movimot_Drive[222]
CNV_Barcode_SP_Scanner[222]
CNV_Barcode_VP_Scanner[222]</t>
  </si>
  <si>
    <t>B37CT1</t>
  </si>
  <si>
    <t>Decision[91]</t>
  </si>
  <si>
    <t>CT_Movifit_Drive[104]
CT_Moviswitch_Drive[104]</t>
  </si>
  <si>
    <t>B117C1</t>
  </si>
  <si>
    <t>CNV_Movimot_Drive[223]</t>
  </si>
  <si>
    <t>B117C2</t>
  </si>
  <si>
    <t xml:space="preserve">CNV_Movimot_Drive[224]
CNV_Barcode_SP_Scanner[224]
Logiq_IF[224] </t>
  </si>
  <si>
    <t>B118C1</t>
  </si>
  <si>
    <t>CNV_Movimot_Drive[225]</t>
  </si>
  <si>
    <t>B118C2</t>
  </si>
  <si>
    <t>StackDestackStation[42]</t>
  </si>
  <si>
    <t>CNV_Movimot_Drive[226]
STR_Lifter_Movimot_Drive[226]
STR_Gripper_Movimot_Drive[226]</t>
  </si>
  <si>
    <t>B119C1</t>
  </si>
  <si>
    <t>CNV_Movimot_Drive[227]</t>
  </si>
  <si>
    <t>B119C2</t>
  </si>
  <si>
    <t>CNV_Movimot_Drive[228]</t>
  </si>
  <si>
    <t>B120C1</t>
  </si>
  <si>
    <t>LoadingStation[73]</t>
  </si>
  <si>
    <t>CNV_Movimot_Drive[229]</t>
  </si>
  <si>
    <t>B121CT1</t>
  </si>
  <si>
    <t>Decision[92]</t>
  </si>
  <si>
    <t>CT_Movifit_Drive[105]
CT_Moviswitch_Drive[105]
CT_SP_Barcode_Scanner[105]</t>
  </si>
  <si>
    <t>B122C1</t>
  </si>
  <si>
    <t>SeparatorStation[2]</t>
  </si>
  <si>
    <t>CNV_Movimot_Drive[230]
Seperator_Movimot_X[231]
Seperator_Movimot_Y[231]
Seperator_Movimot_Z[231]</t>
  </si>
  <si>
    <t>B122C2</t>
  </si>
  <si>
    <t>ProfileCheckStation[24]</t>
  </si>
  <si>
    <t>CNV_Movimot_Drive[231]
CNV_Barcode_SP_Scanner[231]
CNV_Barcode_VP_Scanner[231]</t>
  </si>
  <si>
    <t>B123CT1</t>
  </si>
  <si>
    <t>Decision[93]</t>
  </si>
  <si>
    <t>CT_Movifit_Drive[106]
CT_Moviswitch_Drive[106]</t>
  </si>
  <si>
    <t>B124C1</t>
  </si>
  <si>
    <t>CNV_Movimot_Drive[232]
CNV_Barcode_SP_Scanner[232]
Logiq_IF[232]
CrossOver[232]</t>
  </si>
  <si>
    <t>B125C1</t>
  </si>
  <si>
    <t>CNV_Movimot_Drive[233]</t>
  </si>
  <si>
    <t>B125C2</t>
  </si>
  <si>
    <t>StackDestackStation[43]</t>
  </si>
  <si>
    <t>CNV_Movimot_Drive[234]
STR_Lifter_Movimot_Drive[234]
STR_Gripper_Movimot_Drive[234]</t>
  </si>
  <si>
    <t>B126C1</t>
  </si>
  <si>
    <t>CNV_Movimot_Drive[235]</t>
  </si>
  <si>
    <t>B126C2</t>
  </si>
  <si>
    <t>CNV_Movimot_Drive[236]</t>
  </si>
  <si>
    <t>B127C1</t>
  </si>
  <si>
    <t>CNV_Movimot_Drive[237]
Logiq_IF[237]</t>
  </si>
  <si>
    <t>B128CT1</t>
  </si>
  <si>
    <t>Decision[94]</t>
  </si>
  <si>
    <t>CT_Movifit_Drive[107]
CT_Moviswitch_Drive[107]
CT_SP_Barcode_Scanner[107]</t>
  </si>
  <si>
    <t>B129C1</t>
  </si>
  <si>
    <t>SeparatorStation[3]</t>
  </si>
  <si>
    <t>CNV_Movimot_Drive[238]
Seperator_Movimot_X[238]
Seperator_Movimot_Y[238]
Seperator_Movimot_Z[238]</t>
  </si>
  <si>
    <t>B129C2</t>
  </si>
  <si>
    <t>CNV_Movimot_Drive[239]</t>
  </si>
  <si>
    <t>B130CT1</t>
  </si>
  <si>
    <t>Decision[95]</t>
  </si>
  <si>
    <t>CT_Movifit_Drive[108]
CT_Moviswitch_Drive[108]
CT_SP_Barcode_Scanner[108]</t>
  </si>
  <si>
    <t>B131C2</t>
  </si>
  <si>
    <t>UnloadingStation[89]</t>
  </si>
  <si>
    <t>CNV_Movimot_Drive[240]</t>
  </si>
  <si>
    <t>B132C1</t>
  </si>
  <si>
    <t>CNV_Movimot_Drive[241]</t>
  </si>
  <si>
    <t>B132C2</t>
  </si>
  <si>
    <t>CNV_Movimot_Drive[242]</t>
  </si>
  <si>
    <t>B133C1</t>
  </si>
  <si>
    <t>CNV_Movimot_Drive[243]</t>
  </si>
  <si>
    <t>B133C2</t>
  </si>
  <si>
    <t>StackDestackStation[44]</t>
  </si>
  <si>
    <t>CNV_Movimot_Drive[244]
STR_Lifter_Movimot_Drive[244]
STR_Gripper_Movimot_Drive[244]</t>
  </si>
  <si>
    <t>B134C1</t>
  </si>
  <si>
    <t>CNV_Movimot_Drive[245]
Logiq_IF[245]
CrossOver[245]</t>
  </si>
  <si>
    <t>B135CT1</t>
  </si>
  <si>
    <t>Decision[96]</t>
  </si>
  <si>
    <t>CT_Movifit_Drive[109]
CT_Moviswitch_Drive[109]
CT_SP_Barcode_Scanner[109]</t>
  </si>
  <si>
    <t>B136C1</t>
  </si>
  <si>
    <t>SeparatorStation[4]</t>
  </si>
  <si>
    <t>CNV_Movimot_Drive[246]
Seperator_Movimot_X[256]
Seperator_Movimot_Y[256]
Seperator_Movimot_Z[256]
CrossOver[256]</t>
  </si>
  <si>
    <t>B136C2</t>
  </si>
  <si>
    <t>CNV_Movimot_Drive[247]</t>
  </si>
  <si>
    <t>B137CT1</t>
  </si>
  <si>
    <t>Decision[97]</t>
  </si>
  <si>
    <t>CT_Movifit_Drive[110]
CT_Moviswitch_Drive[110]
CT_SP_Barcode_Scanner[110]</t>
  </si>
  <si>
    <t>B138C2</t>
  </si>
  <si>
    <t>UnloadingStation[90]</t>
  </si>
  <si>
    <t>CNV_Movimot_Drive[248]</t>
  </si>
  <si>
    <t>B166C1</t>
  </si>
  <si>
    <t>StackDestackStation[45]</t>
  </si>
  <si>
    <t>CNV_Movimot_Drive[249]
STR_Lifter_Movimot_Drive[249]
STR_Gripper_Movimot_Drive[249]</t>
  </si>
  <si>
    <t>B166C2</t>
  </si>
  <si>
    <t>CNV_Movimot_Drive[250]</t>
  </si>
  <si>
    <t>B167CT1</t>
  </si>
  <si>
    <t>CT_Movifit_Drive[111]
CT_Moviswitch_Drive[111]</t>
  </si>
  <si>
    <t>B168C1</t>
  </si>
  <si>
    <t>CNV_Movimot_Drive[251]</t>
  </si>
  <si>
    <t>B168C2</t>
  </si>
  <si>
    <t>CNV_Movimot_Drive[252]
CNV_Barcode_SP_Scanner[232]
Logiq_IF[232]</t>
  </si>
  <si>
    <t>B169C1</t>
  </si>
  <si>
    <t>CNV_Movimot_Drive[253]
Logiq_IF[253]
CrossOver[253]</t>
  </si>
  <si>
    <t>B169C2</t>
  </si>
  <si>
    <t>SeparatorStation[5]</t>
  </si>
  <si>
    <t>CNV_Movimot_Drive[254]
Seperator_Movimot_X[254]
Seperator_Movimot_Y[254]
Seperator_Movimot_Z[254]</t>
  </si>
  <si>
    <t>B170CT1</t>
  </si>
  <si>
    <t>Decision[98]</t>
  </si>
  <si>
    <t>CT_Movifit_Drive[112]
CT_Moviswitch_Drive[112]</t>
  </si>
  <si>
    <t>B171C1</t>
  </si>
  <si>
    <t>UnloadingStation[91]</t>
  </si>
  <si>
    <t>CNV_Movimot_Drive[255]</t>
  </si>
  <si>
    <t>B43C1</t>
  </si>
  <si>
    <t>LoadingStation[84]</t>
  </si>
  <si>
    <t>CNV_Movimot_Drive[266]</t>
  </si>
  <si>
    <t>B44CT1</t>
  </si>
  <si>
    <t>Decision[109]</t>
  </si>
  <si>
    <t>CT_Movifit_Drive[123]
CT_Moviswitch_Drive[123]</t>
  </si>
  <si>
    <t>B45C1</t>
  </si>
  <si>
    <t>CNV_Movimot_Drive[267]</t>
  </si>
  <si>
    <t>B45C2</t>
  </si>
  <si>
    <t>CNV_Movimot_Drive[268]
CNV_SP_Barcode_Scanner[268]</t>
  </si>
  <si>
    <t>B46C1</t>
  </si>
  <si>
    <t>B46C2</t>
  </si>
  <si>
    <t>B47C1</t>
  </si>
  <si>
    <t>LoadingStation[85]</t>
  </si>
  <si>
    <t>B48CT1</t>
  </si>
  <si>
    <t>Decision[110]</t>
  </si>
  <si>
    <t>CT_Movifit_Drive[124]
CT_Moviswitch_Drive[124]
CT_SP_Barcode_Scanner[124]</t>
  </si>
  <si>
    <t>B49C1</t>
  </si>
  <si>
    <t>CNV_SP_Barcode_Scanner[272]
CNV_Movimot_Drive[272]</t>
  </si>
  <si>
    <t>B50C1</t>
  </si>
  <si>
    <t>StackDestackStation[56]</t>
  </si>
  <si>
    <t>CNV_Movimot_Drive[273]
STR_Lifter_Movimot_Drive[273]
STR_Gripper_Movimot_Drive[273]</t>
  </si>
  <si>
    <t>B50C2</t>
  </si>
  <si>
    <t>StackDestackStation[57]</t>
  </si>
  <si>
    <t>CNV_Movimot_Drive[274]
STR_Lifter_Movimot_Drive[274]
STR_Gripper_Movimot_Drive[274]</t>
  </si>
  <si>
    <t>B51C1</t>
  </si>
  <si>
    <t>CNV_Movimot_Drive[275]</t>
  </si>
  <si>
    <t>B52CT1</t>
  </si>
  <si>
    <t>Decision[111]</t>
  </si>
  <si>
    <t>CT_Movifit_Drive[125]
CT_Moviswitch_Drive[125]
CT_SP_Barcode_Scanner[125]</t>
  </si>
  <si>
    <t>B53C2</t>
  </si>
  <si>
    <t>UnloadingStation[102]</t>
  </si>
  <si>
    <t>CNV_Movimot_Drive[276]</t>
  </si>
  <si>
    <t>B139C1</t>
  </si>
  <si>
    <t>SeparatorStation[16]</t>
  </si>
  <si>
    <t>CNV_Movimot_Drive[277]
Seperator_Movimot_X[277]
Seperator_Movimot_Y[277]
Seperator_Movimot_Z[277]</t>
  </si>
  <si>
    <t>B139C2</t>
  </si>
  <si>
    <t>ProfileCheckStation[35]</t>
  </si>
  <si>
    <t>CNV_Movimot_Drive[278]
CNV_Barcode_VP_Scanner[278]</t>
  </si>
  <si>
    <t>B140CT1</t>
  </si>
  <si>
    <t>Decision[112]</t>
  </si>
  <si>
    <t>CT_Movifit_Drive[126]
CT_Moviswitch_Drive[126]</t>
  </si>
  <si>
    <t>B141C1</t>
  </si>
  <si>
    <t>CNV_Movimot_Drive[279]</t>
  </si>
  <si>
    <t>B141C2</t>
  </si>
  <si>
    <t>CNV_Movimot_Drive[280]</t>
  </si>
  <si>
    <t>B142C1</t>
  </si>
  <si>
    <t>SeparatorStation[17]</t>
  </si>
  <si>
    <t>CNV_Movimot_Drive[281]
Seperator_Movimot_X[281]
Seperator_Movimot_Y[281]
Seperator_Movimot_Z[281]</t>
  </si>
  <si>
    <t>B142C2</t>
  </si>
  <si>
    <t>ProfileCheckStation[36]</t>
  </si>
  <si>
    <t>CNV_Movimot_Drive[282]
CNV_Barcode_VP_Scanner[282]</t>
  </si>
  <si>
    <t>B143CT1</t>
  </si>
  <si>
    <t>Decision[113]</t>
  </si>
  <si>
    <t>CT_Movifit_Drive[127]
CT_Moviswitch_Drive[127]</t>
  </si>
  <si>
    <t>B144C1</t>
  </si>
  <si>
    <t>CNV_Movimot_Drive[283]</t>
  </si>
  <si>
    <t>B144C2</t>
  </si>
  <si>
    <t>CNV_Movimot_Drive[284]</t>
  </si>
  <si>
    <t>B145CT1</t>
  </si>
  <si>
    <t>Decision[114]</t>
  </si>
  <si>
    <t>CT_SP_Barcode_Scanner[128]
CT_Movifit_Drive[128]
CT_Moviswitch_Drive[128]</t>
  </si>
  <si>
    <t>B146C1</t>
  </si>
  <si>
    <t>CNV_Movimot_Drive[285]</t>
  </si>
  <si>
    <t>B146C2</t>
  </si>
  <si>
    <t>SeparatorStation[18]</t>
  </si>
  <si>
    <t>CNV_Movimot_Drive[286]
Seperator_Movimot_X[286]
Seperator_Movimot_Y[286]
Seperator_Movimot_Z[286]</t>
  </si>
  <si>
    <t>B200C1</t>
  </si>
  <si>
    <t>LoadingStation[86]</t>
  </si>
  <si>
    <t>UnloadingStation[103]</t>
  </si>
  <si>
    <t>CNV_Movimot_Drive[287]</t>
  </si>
  <si>
    <t>Zone[26]</t>
  </si>
  <si>
    <t>B200C2</t>
  </si>
  <si>
    <t>LoadingStation[87]</t>
  </si>
  <si>
    <t>UnloadingStation[104]</t>
  </si>
  <si>
    <t>CNV_Movimot_Drive[288]</t>
  </si>
  <si>
    <t>Zone[27]</t>
  </si>
  <si>
    <t>B200C3</t>
  </si>
  <si>
    <t>LoadingStation[88]</t>
  </si>
  <si>
    <t>UnloadingStation[105]</t>
  </si>
  <si>
    <t>CNV_Movimot_Drive[289]</t>
  </si>
  <si>
    <t>Zone[28]</t>
  </si>
  <si>
    <t>B200C4</t>
  </si>
  <si>
    <t>LoadingStation[89]</t>
  </si>
  <si>
    <t>UnloadingStation[106]</t>
  </si>
  <si>
    <t>CNV_Movimot_Drive[290]</t>
  </si>
  <si>
    <t>Zone[29]</t>
  </si>
  <si>
    <t>B200C5</t>
  </si>
  <si>
    <t>LoadingStation[90]</t>
  </si>
  <si>
    <t>UnloadingStation[107]</t>
  </si>
  <si>
    <t>CNV_Movimot_Drive[291]</t>
  </si>
  <si>
    <t>Zone[30]</t>
  </si>
  <si>
    <t>B200C6</t>
  </si>
  <si>
    <t>LoadingStation[91]</t>
  </si>
  <si>
    <t>UnloadingStation[108]</t>
  </si>
  <si>
    <t>CNV_Movimot_Drive[292]</t>
  </si>
  <si>
    <t>Zone[31]</t>
  </si>
  <si>
    <t>B200C7</t>
  </si>
  <si>
    <t>LoadingStation[92]</t>
  </si>
  <si>
    <t>UnloadingStation[109]</t>
  </si>
  <si>
    <t>CNV_Movimot_Drive[293]</t>
  </si>
  <si>
    <t>Zone[32]</t>
  </si>
  <si>
    <t>B201C1</t>
  </si>
  <si>
    <t>LoadingStation[93]</t>
  </si>
  <si>
    <t>UnloadingStation[110]</t>
  </si>
  <si>
    <t>CNV_Movimot_Drive[294]</t>
  </si>
  <si>
    <t>Zone[33]</t>
  </si>
  <si>
    <t>B201C2</t>
  </si>
  <si>
    <t>LoadingStation[94]</t>
  </si>
  <si>
    <t>UnloadingStation[111]</t>
  </si>
  <si>
    <t>CNV_Movimot_Drive[295]</t>
  </si>
  <si>
    <t>Zone[34]</t>
  </si>
  <si>
    <t>B201C3</t>
  </si>
  <si>
    <t>LoadingStation[95]</t>
  </si>
  <si>
    <t>UnloadingStation[112]</t>
  </si>
  <si>
    <t>CNV_Movimot_Drive[296]</t>
  </si>
  <si>
    <t>Zone[35]</t>
  </si>
  <si>
    <t>B201C4</t>
  </si>
  <si>
    <t>LoadingStation[96]</t>
  </si>
  <si>
    <t>UnloadingStation[113]</t>
  </si>
  <si>
    <t>CNV_Movimot_Drive[297]</t>
  </si>
  <si>
    <t>Zone[36]</t>
  </si>
  <si>
    <t>B201C5</t>
  </si>
  <si>
    <t>LoadingStation[97]</t>
  </si>
  <si>
    <t>UnloadingStation[114]</t>
  </si>
  <si>
    <t>CNV_Movimot_Drive[298]</t>
  </si>
  <si>
    <t>Zone[37]</t>
  </si>
  <si>
    <t>B201C6</t>
  </si>
  <si>
    <t>LoadingStation[98]</t>
  </si>
  <si>
    <t>UnloadingStation[115]</t>
  </si>
  <si>
    <t>CNV_Movimot_Drive[299]</t>
  </si>
  <si>
    <t>Zone[38]</t>
  </si>
  <si>
    <t>B201C7</t>
  </si>
  <si>
    <t>LoadingStation[99]</t>
  </si>
  <si>
    <t>UnloadingStation[116]</t>
  </si>
  <si>
    <t>CNV_Movimot_Drive[300]</t>
  </si>
  <si>
    <t>Zone[39]</t>
  </si>
  <si>
    <t>B202C1</t>
  </si>
  <si>
    <t>LoadingStation[100]</t>
  </si>
  <si>
    <t>UnloadingStation[117]</t>
  </si>
  <si>
    <t>CNV_Movimot_Drive[301]</t>
  </si>
  <si>
    <t>Zone[40]</t>
  </si>
  <si>
    <t>B202C2</t>
  </si>
  <si>
    <t>LoadingStation[101]</t>
  </si>
  <si>
    <t>UnloadingStation[118]</t>
  </si>
  <si>
    <t>CNV_Movimot_Drive[302]</t>
  </si>
  <si>
    <t>Zone[41]</t>
  </si>
  <si>
    <t>B202C3</t>
  </si>
  <si>
    <t>LoadingStation[102]</t>
  </si>
  <si>
    <t>UnloadingStation[119]</t>
  </si>
  <si>
    <t>CNV_Movimot_Drive[303]</t>
  </si>
  <si>
    <t>Zone[42]</t>
  </si>
  <si>
    <t>B202C4</t>
  </si>
  <si>
    <t>LoadingStation[103]</t>
  </si>
  <si>
    <t>UnloadingStation[120]</t>
  </si>
  <si>
    <t>CNV_Movimot_Drive[304]</t>
  </si>
  <si>
    <t>Zone[43]</t>
  </si>
  <si>
    <t>B202C5</t>
  </si>
  <si>
    <t>LoadingStation[104]</t>
  </si>
  <si>
    <t>UnloadingStation[121]</t>
  </si>
  <si>
    <t>CNV_Movimot_Drive[305]</t>
  </si>
  <si>
    <t>Zone[44]</t>
  </si>
  <si>
    <t>B202C6</t>
  </si>
  <si>
    <t>LoadingStation[105]</t>
  </si>
  <si>
    <t>UnloadingStation[122]</t>
  </si>
  <si>
    <t>CNV_Movimot_Drive[306]</t>
  </si>
  <si>
    <t>Zone[45]</t>
  </si>
  <si>
    <t>B202C7</t>
  </si>
  <si>
    <t>LoadingStation[106]</t>
  </si>
  <si>
    <t>UnloadingStation[123]</t>
  </si>
  <si>
    <t>CNV_Movimot_Drive[307]</t>
  </si>
  <si>
    <t>Zone[46]</t>
  </si>
  <si>
    <t>B38C1</t>
  </si>
  <si>
    <t>LoadingStation[117]</t>
  </si>
  <si>
    <t>CNV_Movimot_Drive[318]</t>
  </si>
  <si>
    <t>B38C2</t>
  </si>
  <si>
    <t>ProfileCheckStation[47]</t>
  </si>
  <si>
    <t>CNV_Movimot_Drive[319]
CNV_SP_Barcode_Scanner[319]
CNV_VP_Barcode_Scanner[319]</t>
  </si>
  <si>
    <t>B38C3</t>
  </si>
  <si>
    <t>CNV_Movimot_Drive[320]</t>
  </si>
  <si>
    <t>B38CT1</t>
  </si>
  <si>
    <t>Decision[125]</t>
  </si>
  <si>
    <t>CT_Movifit_Drive[139]
CT_Moviswitch_Drive[139]</t>
  </si>
  <si>
    <t>B38CT2</t>
  </si>
  <si>
    <t>Decision[126]</t>
  </si>
  <si>
    <t>CT_Movifit_Drive[140]
CT_Moviswitch_Drive[140]</t>
  </si>
  <si>
    <t>B39C1</t>
  </si>
  <si>
    <t>UnloadingStation[134]</t>
  </si>
  <si>
    <t>CNV_Movimot_Drive[321]</t>
  </si>
  <si>
    <t>B40C1</t>
  </si>
  <si>
    <t>CNV_Movimot_Drive[322]</t>
  </si>
  <si>
    <t>B40CT1</t>
  </si>
  <si>
    <t>CT_Movifit_Drive[141]
CT_Moviswitch_Drive[141]
Decision_Station_1_In_1_Out[141]</t>
  </si>
  <si>
    <t>B41C1</t>
  </si>
  <si>
    <t>UnloadingStation[135]</t>
  </si>
  <si>
    <t>CT_Movifit_Drive[135]
CT_Moviswitch_Drive[135]</t>
  </si>
  <si>
    <t>Zone[57]</t>
  </si>
  <si>
    <t>B41CT1</t>
  </si>
  <si>
    <t>Decision[127]</t>
  </si>
  <si>
    <t>CT_Movifit_Drive[128]
CT_Moviswitch_Drive[128]</t>
  </si>
  <si>
    <t>B42C1</t>
  </si>
  <si>
    <t>LoadingStation[118]</t>
  </si>
  <si>
    <t>CNV_Movimot_Drive[324]
CNV_SP_Barcode_Scanner[324]</t>
  </si>
  <si>
    <t>Zone[58]</t>
  </si>
  <si>
    <t>B42C2</t>
  </si>
  <si>
    <t>StackDestackStation[68]</t>
  </si>
  <si>
    <t>CNV_Movimot_Drive[325]
STR_Lifter_Movimot_Drive[325]
STR_Gripper_Movimot_Drive[325]</t>
  </si>
  <si>
    <t>B42CT1</t>
  </si>
  <si>
    <t>CT_Movifit_Drive[143]
CT_Moviswitch_Drive[143]
[143]
Decision_Station_1_In_1_Out[143]</t>
  </si>
  <si>
    <t>B42CT2</t>
  </si>
  <si>
    <t>CT_Movifit_Drive[144]
CT_Moviswitch_Drive[144]
Decision_Station_1_In_1_Out[144]</t>
  </si>
  <si>
    <t>EL16C1</t>
  </si>
  <si>
    <t>ElevatorStation[1]</t>
  </si>
  <si>
    <t>CNV_Movimot_Drive[326]
CNV_SP_Barcode_Scanner[326]
SEW_Movisuite_Control__Elevator[326]</t>
  </si>
  <si>
    <t>EL17C1</t>
  </si>
  <si>
    <t>ElevatorStation[2]</t>
  </si>
  <si>
    <t>CNV_Movimot_Drive[327]
SEW_Movisuite_Control__Elevator[327]
CNV_SP_Barcode_Scanner[327]</t>
  </si>
  <si>
    <t>B54C1</t>
  </si>
  <si>
    <t>StackDestackStation[79]</t>
  </si>
  <si>
    <t>CNV_Movimot_Drive[338]
STR_Lifter_Movimot_Drive[338]
STR_Gripper_Movimot_Drive[338]</t>
  </si>
  <si>
    <t>B54C2</t>
  </si>
  <si>
    <t>LoadingStation[129]</t>
  </si>
  <si>
    <t>CNV_Movimot_Drive[339]</t>
  </si>
  <si>
    <t>B54C3</t>
  </si>
  <si>
    <t>ProfileCheckStation[58]</t>
  </si>
  <si>
    <t>CNV_Movimot_Drive[340]
CNV_SP_Barcode_Scanner[340]
CNV_VP_Barcode_Scanner[340]</t>
  </si>
  <si>
    <t>B54CT1</t>
  </si>
  <si>
    <t>Decision[139]</t>
  </si>
  <si>
    <t>B55C1</t>
  </si>
  <si>
    <t>UnloadingStation[146]</t>
  </si>
  <si>
    <t>CNV_Movimot_Drive[341]</t>
  </si>
  <si>
    <t>B56C1</t>
  </si>
  <si>
    <t>CNV_Movimot_Drive[342]</t>
  </si>
  <si>
    <t>B56C2</t>
  </si>
  <si>
    <t>WrappingStation[23]</t>
  </si>
  <si>
    <t>CNV_Movimot_Drive[343]</t>
  </si>
  <si>
    <t>B56C3</t>
  </si>
  <si>
    <t>CNV_Movimot_Drive[344]</t>
  </si>
  <si>
    <t>B57C1</t>
  </si>
  <si>
    <t>CNV_Movimot_Drive[345]</t>
  </si>
  <si>
    <t>B57C2</t>
  </si>
  <si>
    <t>CNV_Movimot_Drive[346]</t>
  </si>
  <si>
    <t>B57C3</t>
  </si>
  <si>
    <t>CNV_Movimot_Drive[347]</t>
  </si>
  <si>
    <t>B57CT1</t>
  </si>
  <si>
    <t>CT_Movifit_Drive[156]
CT_Moviswitch_Drive[156]
Decision_Station_1_In_1_Out[156]</t>
  </si>
  <si>
    <t>B58CT1</t>
  </si>
  <si>
    <t>Decision[140]</t>
  </si>
  <si>
    <t>CT_Movifit_Drive[157]
CT_Moviswitch_Drive[157]
CT_SP_Barcode_Scanner[157]</t>
  </si>
  <si>
    <t>B59C1</t>
  </si>
  <si>
    <t>CNV_Movimot_Drive[348]</t>
  </si>
  <si>
    <t>B60C1</t>
  </si>
  <si>
    <t>CNV_Movimot_Drive[349]</t>
  </si>
  <si>
    <t>B60CT1</t>
  </si>
  <si>
    <t>Decision[141]</t>
  </si>
  <si>
    <t>CT_Movifit_Drive[158]
CT_Moviswitch_Drive[158]</t>
  </si>
  <si>
    <t>B61C1</t>
  </si>
  <si>
    <t>CNV_Movimot_Drive[350]</t>
  </si>
  <si>
    <t>B61C2</t>
  </si>
  <si>
    <t>CNV_Movimot_Drive[351]</t>
  </si>
  <si>
    <t>B61C3</t>
  </si>
  <si>
    <t>CNV_Movimot_Drive[352]</t>
  </si>
  <si>
    <t>B61C4</t>
  </si>
  <si>
    <t>CNV_Movimot_Drive[353]</t>
  </si>
  <si>
    <t>B61C5</t>
  </si>
  <si>
    <t>CNV_Movimot_Drive[354]</t>
  </si>
  <si>
    <t>B61C6</t>
  </si>
  <si>
    <t>CNV_Movimot_Drive[355]</t>
  </si>
  <si>
    <t>B61C7</t>
  </si>
  <si>
    <t>Decision[142]</t>
  </si>
  <si>
    <t>CNV_Movimot_Drive[356]</t>
  </si>
  <si>
    <t>B61C8</t>
  </si>
  <si>
    <t>Decision[143]</t>
  </si>
  <si>
    <t>CNV_Movimot_Drive[357]
Logiq_IF[357]
CNV_SP_Barcode_Scanner[357]</t>
  </si>
  <si>
    <t>B61C9</t>
  </si>
  <si>
    <t>Decision[144]</t>
  </si>
  <si>
    <t>CNV_Movimot_Drive[358]</t>
  </si>
  <si>
    <t>B61CT1</t>
  </si>
  <si>
    <t>Decision[145]</t>
  </si>
  <si>
    <t>CT_Movifit_Drive[159]
CT_Moviswitch_Drive[159]</t>
  </si>
  <si>
    <t>B62C1</t>
  </si>
  <si>
    <t>Decision[146]</t>
  </si>
  <si>
    <t>CNV_Movimot_Drive[359]
Logiq_IF[359]</t>
  </si>
  <si>
    <t>B62C2</t>
  </si>
  <si>
    <t>Decision[147]</t>
  </si>
  <si>
    <t>CNV_Movimot_Drive[360]</t>
  </si>
  <si>
    <t>B62C3</t>
  </si>
  <si>
    <t>CNV_Movimot_Drive[361]</t>
  </si>
  <si>
    <t>B62C4</t>
  </si>
  <si>
    <t>CNV_Movimot_Drive[362]</t>
  </si>
  <si>
    <t>B62C5</t>
  </si>
  <si>
    <t>CNV_Movimot_Drive[363]</t>
  </si>
  <si>
    <t>B62C6</t>
  </si>
  <si>
    <t>CNV_Movimot_Drive[364]</t>
  </si>
  <si>
    <t>B62C7</t>
  </si>
  <si>
    <t>CNV_Movimot_Drive[365]</t>
  </si>
  <si>
    <t>B62C8</t>
  </si>
  <si>
    <t>CNV_Movimot_Drive[366]</t>
  </si>
  <si>
    <t>B62CT1</t>
  </si>
  <si>
    <t>Decision[148]</t>
  </si>
  <si>
    <t>CT_Movifit_Drive[160]
CT_Moviswitch_Drive[160]</t>
  </si>
  <si>
    <t>B63C1</t>
  </si>
  <si>
    <t>CNV_Movimot_Drive[367]</t>
  </si>
  <si>
    <t>B63C2</t>
  </si>
  <si>
    <t>CNV_Movimot_Drive[368]
Cross_Over[368]</t>
  </si>
  <si>
    <t>B63C3</t>
  </si>
  <si>
    <t>CNV_Movimot_Drive[369]</t>
  </si>
  <si>
    <t>B63C4</t>
  </si>
  <si>
    <t>UnloadingStation[147]</t>
  </si>
  <si>
    <t>CNV_Movimot_Drive[370]</t>
  </si>
  <si>
    <t>B63C5</t>
  </si>
  <si>
    <t>LoadingStation[130]</t>
  </si>
  <si>
    <t>CNV_Movimot_Drive[371]
CNV_SP_Barcode_Scanner[371]</t>
  </si>
  <si>
    <t>Zone[70]</t>
  </si>
  <si>
    <t>B63CT1</t>
  </si>
  <si>
    <t>Decision[149]</t>
  </si>
  <si>
    <t>CT_Movifit_Drive[161]
CT_Moviswitch_Drive[161]
CT_SP_Barcode_Scanner[161]</t>
  </si>
  <si>
    <t>B63CT2</t>
  </si>
  <si>
    <t>Decision[150]</t>
  </si>
  <si>
    <t>CT_Movifit_Drive[162]
CT_Moviswitch_Drive[162]</t>
  </si>
  <si>
    <t>B64C1</t>
  </si>
  <si>
    <t>CNV_Movimot_Drive[372]</t>
  </si>
  <si>
    <t>B65C1</t>
  </si>
  <si>
    <t>StackDestackStation[80]</t>
  </si>
  <si>
    <t>CNV_Movimot_Drive[373]
STR_Lifter_Movimot_Drive[373]
STR_Gripper_Movimot_Drive[373]</t>
  </si>
  <si>
    <t>B65C2</t>
  </si>
  <si>
    <t>LoadingStation[131]</t>
  </si>
  <si>
    <t>CNV_Movimot_Drive[374]</t>
  </si>
  <si>
    <t>B65C3</t>
  </si>
  <si>
    <t>CNV_Movimot_Drive[375]
Cross_Over[375]
CNV_SP_Barcode_Scanner[375]</t>
  </si>
  <si>
    <t>B65C4</t>
  </si>
  <si>
    <t>ProfileCheckStation[59]</t>
  </si>
  <si>
    <t>CNV_Movimot_Drive[376]
CNV_SP_Barcode_Scanner[376]
CNV_VP_Barcode_Scanner[376]</t>
  </si>
  <si>
    <t>B65CT1</t>
  </si>
  <si>
    <t>CT_Movifit_Drive[163]
CT_Moviswitch_Drive[163]</t>
  </si>
  <si>
    <t>B65CT2</t>
  </si>
  <si>
    <t>Decision[151]</t>
  </si>
  <si>
    <t>CT_Movifit_Drive[164]
CT_Moviswitch_Drive[164]</t>
  </si>
  <si>
    <t>B66C1</t>
  </si>
  <si>
    <t>UnloadingStation[149]</t>
  </si>
  <si>
    <t>CNV_Movimot_Drive[377]</t>
  </si>
  <si>
    <t>B67C1</t>
  </si>
  <si>
    <t>CNV_Movimot_Drive[378]</t>
  </si>
  <si>
    <t>B67C2</t>
  </si>
  <si>
    <t>CNV_Movimot_Drive[379]</t>
  </si>
  <si>
    <t>B68C1</t>
  </si>
  <si>
    <t>CNV_Movimot_Drive[380]</t>
  </si>
  <si>
    <t>B68CT1</t>
  </si>
  <si>
    <t>CT_Movifit_Drive[165]
CT_Moviswitch_Drive[165]</t>
  </si>
  <si>
    <t>B69C1</t>
  </si>
  <si>
    <t>CNV_Movimot_Drive[381]</t>
  </si>
  <si>
    <t>B69C2</t>
  </si>
  <si>
    <t>CNV_Movimot_Drive[382]</t>
  </si>
  <si>
    <t>B69C3</t>
  </si>
  <si>
    <t>CNV_Movimot_Drive[383]</t>
  </si>
  <si>
    <t>B69C4</t>
  </si>
  <si>
    <t>UnloadingStation[150]</t>
  </si>
  <si>
    <t>CNV_Movimot_Drive[384]</t>
  </si>
  <si>
    <t>B69C5</t>
  </si>
  <si>
    <t>LoadingStation[132]</t>
  </si>
  <si>
    <t>CNV_Movimot_Drive[385]
CNV_SP_Barcode_Scanner[385]</t>
  </si>
  <si>
    <t>Zone[71]</t>
  </si>
  <si>
    <t>B69CT1</t>
  </si>
  <si>
    <t>Decision[152]</t>
  </si>
  <si>
    <t>CT_Movifit_Drive[166]
CT_Moviswitch_Drive[166]
CT_SP_Barcode_Scanner[166]</t>
  </si>
  <si>
    <t>B69CT2</t>
  </si>
  <si>
    <t>CT_Movifit_Drive[167]
CT_Moviswitch_Drive[167]
CT_SP_Barcode_Scanner[167]</t>
  </si>
  <si>
    <t>B69CT3</t>
  </si>
  <si>
    <t>Decision[153]</t>
  </si>
  <si>
    <t>CT_Movifit_Drive[168]
CT_Moviswitch_Drive[166]
CT_SP_Barcode_Scanner[166]</t>
  </si>
  <si>
    <t>B70C1</t>
  </si>
  <si>
    <t>UnloadingStation[151]</t>
  </si>
  <si>
    <t>CNV_Movimot_Drive[151]</t>
  </si>
  <si>
    <t>B71C1</t>
  </si>
  <si>
    <t>StackDestackStation[91]</t>
  </si>
  <si>
    <t>CNV_Movimot_Drive[397]
STR_Lifter_Movimot_Drive[397]
STR_Gripper_Movimot_Drive[397]</t>
  </si>
  <si>
    <t>B71C2</t>
  </si>
  <si>
    <t>LoadingStation[143]</t>
  </si>
  <si>
    <t>CNV_Movimot_Drive[398]</t>
  </si>
  <si>
    <t>B71C3</t>
  </si>
  <si>
    <t>CNV_Movimot_Drive[399]
Cross_Over[399]</t>
  </si>
  <si>
    <t>B71C4</t>
  </si>
  <si>
    <t>ProfileCheckStation[70]</t>
  </si>
  <si>
    <t>CNV_Movimot_Drive[400]
CNV_SP_Barcode_Scanner[400]
CNV_VP_Barcode_Scanner[400]</t>
  </si>
  <si>
    <t>B71CT1</t>
  </si>
  <si>
    <t>CT_Movifit_Drive[179]
CT_Moviswitch_Drive[179]
Decision_Station_1_In_1_Out[179]</t>
  </si>
  <si>
    <t>B71CT2</t>
  </si>
  <si>
    <t>Decision[164]</t>
  </si>
  <si>
    <t>CT_Movifit_Drive[180]
CT_Moviswitch_Drive[180]</t>
  </si>
  <si>
    <t>B72C1</t>
  </si>
  <si>
    <t>UnloadingStation[162]</t>
  </si>
  <si>
    <t>CNV_Movimot_Drive[401]</t>
  </si>
  <si>
    <t>B73C1</t>
  </si>
  <si>
    <t>CNV_Movimot_Drive[402]</t>
  </si>
  <si>
    <t>B73C2</t>
  </si>
  <si>
    <t>CNV_Movimot_Drive[403]</t>
  </si>
  <si>
    <t>B74CT1</t>
  </si>
  <si>
    <t>Decision[165]</t>
  </si>
  <si>
    <t>CT_Movifit_Drive[181]
CT_Moviswitch_Drive[181]
CT_SP_Barcode_Scanner[181]</t>
  </si>
  <si>
    <t>B75C1</t>
  </si>
  <si>
    <t>CNV_Movimot_Drive[404]</t>
  </si>
  <si>
    <t>B76C1</t>
  </si>
  <si>
    <t>CNV_Movimot_Drive[405]</t>
  </si>
  <si>
    <t>B76CT1</t>
  </si>
  <si>
    <t>Decision[166]</t>
  </si>
  <si>
    <t>CT_Movifit_Drive[182]
CT_Moviswitch_Drive[182]</t>
  </si>
  <si>
    <t>B77C1</t>
  </si>
  <si>
    <t>CNV_Movimot_Drive[406]</t>
  </si>
  <si>
    <t>B77C2</t>
  </si>
  <si>
    <t>CNV_Movimot_Drive[407]</t>
  </si>
  <si>
    <t>B77C3</t>
  </si>
  <si>
    <t>CNV_Movimot_Drive[408]</t>
  </si>
  <si>
    <t>B77C4</t>
  </si>
  <si>
    <t>CNV_Movimot_Drive[409]</t>
  </si>
  <si>
    <t>B77C5</t>
  </si>
  <si>
    <t>CNV_Movimot_Drive[410]</t>
  </si>
  <si>
    <t>B77C6</t>
  </si>
  <si>
    <t>CNV_Movimot_Drive[411]</t>
  </si>
  <si>
    <t>B77C7</t>
  </si>
  <si>
    <t>Decision[167]</t>
  </si>
  <si>
    <t>CNV_Movimot_Drive[412]</t>
  </si>
  <si>
    <t>B77C8</t>
  </si>
  <si>
    <t>Decision[168]</t>
  </si>
  <si>
    <t>CNV_Movimot_Drive[413]</t>
  </si>
  <si>
    <t>B77C9</t>
  </si>
  <si>
    <t>Decision[169]</t>
  </si>
  <si>
    <t>CNV_Movimot_Drive[414]
Logiq_IF[414]</t>
  </si>
  <si>
    <t>B77CT1</t>
  </si>
  <si>
    <t>Decision[170]</t>
  </si>
  <si>
    <t>CT_Movifit_Drive[183]
CT_Moviswitch_Drive[183]</t>
  </si>
  <si>
    <t>B77CT2</t>
  </si>
  <si>
    <t>Decision[171]</t>
  </si>
  <si>
    <t>CT_Movifit_Drive[184]
CT_Moviswitch_Drive[184]</t>
  </si>
  <si>
    <t>B78C1</t>
  </si>
  <si>
    <t>Decision[172]</t>
  </si>
  <si>
    <t>CNV_Movimot_Drive[415]
Logiq_IF[415]</t>
  </si>
  <si>
    <t>B78C2</t>
  </si>
  <si>
    <t>Decision[173]</t>
  </si>
  <si>
    <t>CNV_Movimot_Drive[416]</t>
  </si>
  <si>
    <t>B78C3</t>
  </si>
  <si>
    <t>Decision[174]</t>
  </si>
  <si>
    <t>CNV_Movimot_Drive[417]</t>
  </si>
  <si>
    <t>B78C4</t>
  </si>
  <si>
    <t>CNV_Movimot_Drive[418]</t>
  </si>
  <si>
    <t>B78C5</t>
  </si>
  <si>
    <t>CNV_Movimot_Drive[419]</t>
  </si>
  <si>
    <t>B78C6</t>
  </si>
  <si>
    <t>CNV_Movimot_Drive[420]</t>
  </si>
  <si>
    <t>B78C7</t>
  </si>
  <si>
    <t>CNV_Movimot_Drive[421]</t>
  </si>
  <si>
    <t>B78C8</t>
  </si>
  <si>
    <t>CNV_Movimot_Drive[422]</t>
  </si>
  <si>
    <t>B78C9</t>
  </si>
  <si>
    <t>CNV_Movimot_Drive[423]</t>
  </si>
  <si>
    <t>B78C10</t>
  </si>
  <si>
    <t>Decision[175]</t>
  </si>
  <si>
    <t>CNV_Movimot_Drive[424]</t>
  </si>
  <si>
    <t>B78CT1</t>
  </si>
  <si>
    <t>Decision[176]</t>
  </si>
  <si>
    <t>CT_Movifit_Drive[185]
CT_Moviswitch_Drive[185]</t>
  </si>
  <si>
    <t>B79C1</t>
  </si>
  <si>
    <t>CNV_Movimot_Drive[425]</t>
  </si>
  <si>
    <t>B79C2</t>
  </si>
  <si>
    <t>CNV_Movimot_Drive[426]</t>
  </si>
  <si>
    <t>B79C3</t>
  </si>
  <si>
    <t>UnloadingStation[163]</t>
  </si>
  <si>
    <t>CNV_Movimot_Drive[427]</t>
  </si>
  <si>
    <t>B79C4</t>
  </si>
  <si>
    <t>LoadingStation[144]</t>
  </si>
  <si>
    <t>Zone[82]</t>
  </si>
  <si>
    <t>CNV_Movimot_Drive[428]
CNV_SP_Barcode_Scanner[428]</t>
  </si>
  <si>
    <t>B79CT1</t>
  </si>
  <si>
    <t>Decision[177]</t>
  </si>
  <si>
    <t>CT_Movifit_Drive[186]
CT_Moviswitch_Drive[186]
CT_SP_Barcode_Scanner[186]</t>
  </si>
  <si>
    <t>B79CT2</t>
  </si>
  <si>
    <t>Decision[178]</t>
  </si>
  <si>
    <t>CT_Movifit_Drive[187]
CT_Moviswitch_Drive[187]
CT_SP_Barcode_Scanner[187]</t>
  </si>
  <si>
    <t>B80C1</t>
  </si>
  <si>
    <t>Decision[183]</t>
  </si>
  <si>
    <t>CNV_Movimot_Drive[429]</t>
  </si>
  <si>
    <t>B81C1</t>
  </si>
  <si>
    <t>StackDestackStation[92]</t>
  </si>
  <si>
    <t>CNV_Movimot_Drive[430]
STR_Lifter_Movimot_Drive[430]
STR_Gripper_Movimot_Drive[430]</t>
  </si>
  <si>
    <t>B81C2</t>
  </si>
  <si>
    <t>LoadingStation[145]</t>
  </si>
  <si>
    <t>CNV_Movimot_Drive[431]</t>
  </si>
  <si>
    <t>B81C3</t>
  </si>
  <si>
    <t>CNV_Movimot_Drive[432]
Cross_Over[432]</t>
  </si>
  <si>
    <t>B81C4</t>
  </si>
  <si>
    <t>ProfileCheckStation[71]</t>
  </si>
  <si>
    <t>CNV_Movimot_Drive[433]
CNV_SP_Barcode_Scanner[433]
CNV_VP_Barcode_Scanner[433]</t>
  </si>
  <si>
    <t>B81CT1</t>
  </si>
  <si>
    <t>CT_Movifit_Drive[187]
CT_Moviswitch_Drive[187]
Decision_Station_1_In_1_Out[187]</t>
  </si>
  <si>
    <t>B81CT2</t>
  </si>
  <si>
    <t>Decision[179]</t>
  </si>
  <si>
    <t>CT_Movifit_Drive[187]
CT_Moviswitch_Drive[187</t>
  </si>
  <si>
    <t>B82C1</t>
  </si>
  <si>
    <t>UnloadingStation[164]</t>
  </si>
  <si>
    <t>CNV_Movimot_Drive[434]</t>
  </si>
  <si>
    <t>B83C1</t>
  </si>
  <si>
    <t>CNV_Movimot_Drive[435]</t>
  </si>
  <si>
    <t>B83C2</t>
  </si>
  <si>
    <t>CNV_Movimot_Drive[436]</t>
  </si>
  <si>
    <t>B84C1</t>
  </si>
  <si>
    <t>B84CT1</t>
  </si>
  <si>
    <t>Decision[180]</t>
  </si>
  <si>
    <t>CT_Movifit_Drive[190]
CT_Moviswitch_Drive[190]</t>
  </si>
  <si>
    <t>B85C1</t>
  </si>
  <si>
    <t>CNV_Movimot_Drive[438]</t>
  </si>
  <si>
    <t>B85C2</t>
  </si>
  <si>
    <t>CNV_Movimot_Drive[439]
Decision_Station_1_In_1_Out[439]</t>
  </si>
  <si>
    <t>B85C3</t>
  </si>
  <si>
    <t>CNV_Movimot_Drive[440]</t>
  </si>
  <si>
    <t>B85C4</t>
  </si>
  <si>
    <t>UnloadingStation[165]</t>
  </si>
  <si>
    <t>CNV_Movimot_Drive[441]</t>
  </si>
  <si>
    <t>B85C5</t>
  </si>
  <si>
    <t>LoadingStation[146]</t>
  </si>
  <si>
    <t>Zone[83]</t>
  </si>
  <si>
    <t>CNV_Movimot_Drive[442]
CNV_SP_Barcode_Scanner[442]</t>
  </si>
  <si>
    <t>B85CT1</t>
  </si>
  <si>
    <t>Decision[181]</t>
  </si>
  <si>
    <t>CT_Movifit_Drive[191]
CT_Moviswitch_Drive[191]
CT_SP_Barcode_Scanner[191]</t>
  </si>
  <si>
    <t>B85CT2</t>
  </si>
  <si>
    <t>CT_Movifit_Drive[192]
CT_Moviswitch_Drive[192]</t>
  </si>
  <si>
    <t>B85CT3</t>
  </si>
  <si>
    <t>Decision[182]</t>
  </si>
  <si>
    <t>CT_Movifit_Drive[193]
CT_Moviswitch_Drive[193]</t>
  </si>
  <si>
    <t>B86C1</t>
  </si>
  <si>
    <t>Decision[184]</t>
  </si>
  <si>
    <t>CNV_Movimot_Drive[443]</t>
  </si>
  <si>
    <t>EL18C1</t>
  </si>
  <si>
    <t>ElevatorStation[13]</t>
  </si>
  <si>
    <t>CNV_SP_Barcode_Scanner[444]
SEW_Movisuite_Control__Elevator[444]
CNV_Movimot_Drive[444]</t>
  </si>
  <si>
    <t>EL19C1</t>
  </si>
  <si>
    <t>ElevatorStation[14]</t>
  </si>
  <si>
    <t>CNV_SP_Barcode_Scanner[445]
SEW_Movisuite_Control__Elevator[445]
CNV_Movimot_Drive[445]</t>
  </si>
  <si>
    <t>B97C1</t>
  </si>
  <si>
    <t>LoadingStation[157]</t>
  </si>
  <si>
    <t>CNV_Movimot_Drive[454]</t>
  </si>
  <si>
    <t>B98CT1</t>
  </si>
  <si>
    <t>Decision[193]</t>
  </si>
  <si>
    <t>B99C1</t>
  </si>
  <si>
    <t>SeparatorStation[29]</t>
  </si>
  <si>
    <t>CNV_Movimot_Drive[455]
Seperator_Movimot_X[455]
Seperator_Movimot_Y[455]
Seperator_Movimot_Z[455]</t>
  </si>
  <si>
    <t>B99C2</t>
  </si>
  <si>
    <t>ProfileCheckStation[82]</t>
  </si>
  <si>
    <t>CNV_Movimot_Drive[456]
CNV_SP_Barcode_Scanner[456]
CNV_VP_Barcode_Scanner[456]</t>
  </si>
  <si>
    <t>B100C1</t>
  </si>
  <si>
    <t>CNV_Movimot_Drive[457]</t>
  </si>
  <si>
    <t>B100C2</t>
  </si>
  <si>
    <t>StackDestackStation[103]</t>
  </si>
  <si>
    <t>CNV_Movimot_Drive[458]
STR_Lifter_Movimot_Drive[458]
STR_Gripper_Movimot_Drive[458]</t>
  </si>
  <si>
    <t>B101C1</t>
  </si>
  <si>
    <t>UnloadingStation[178]</t>
  </si>
  <si>
    <t>CNV_Movimot_Drive[459]</t>
  </si>
  <si>
    <t>B102CT1</t>
  </si>
  <si>
    <t>Decision[194]</t>
  </si>
  <si>
    <t>CT_Movifit_Drive[205]
CT_Moviswitch_Drive[205]
CT_SP_Barcode_Scanner[205]</t>
  </si>
  <si>
    <t>B103C1</t>
  </si>
  <si>
    <t>SeparatorStation[30]</t>
  </si>
  <si>
    <t>CNV_Movimot_Drive[460]
Seperator_Movimot_X[460]
Seperator_Movimot_Y[460]
Seperator_Movimot_Z[460]</t>
  </si>
  <si>
    <t>B103C2</t>
  </si>
  <si>
    <t>CNV_Movimot_Drive[461]</t>
  </si>
  <si>
    <t>B104C1</t>
  </si>
  <si>
    <t>CNV_Movimot_Drive[462]</t>
  </si>
  <si>
    <t>B104C2</t>
  </si>
  <si>
    <t>StackDestackStation[104]</t>
  </si>
  <si>
    <t>CNV_Movimot_Drive[463]
STR_Lifter_Movimot_Drive[463]
STR_Gripper_Movimot_Drive[463]</t>
  </si>
  <si>
    <t>B105C1</t>
  </si>
  <si>
    <t>SeparatorStation[31]</t>
  </si>
  <si>
    <t>CNV_Movimot_Drive[464]
Seperator_Movimot_X[464]
Seperator_Movimot_Y[464]
Seperator_Movimot_Z[464]</t>
  </si>
  <si>
    <t>B105C2</t>
  </si>
  <si>
    <t>ProfileCheckStation[83]</t>
  </si>
  <si>
    <t>CNV_Movimot_Drive[465]
CNV_SP_Barcode_Scanner[465]
CNV_VP_Barcode_Scanner[465]</t>
  </si>
  <si>
    <t>B106CT1</t>
  </si>
  <si>
    <t>Decision[195]</t>
  </si>
  <si>
    <t>CT_Movifit_Drive[206]
CT_Moviswitch_Drive[206]</t>
  </si>
  <si>
    <t>B107C1</t>
  </si>
  <si>
    <t>LoadingStation[158]</t>
  </si>
  <si>
    <t>CNV_Movimot_Drive[466]</t>
  </si>
  <si>
    <t>B147CT1</t>
  </si>
  <si>
    <t>Decision[196]</t>
  </si>
  <si>
    <t>CT_Movifit_Drive[207]
CT_Moviswitch_Drive[207]</t>
  </si>
  <si>
    <t>B148C1</t>
  </si>
  <si>
    <t>CNV_Movimot_Drive[467]</t>
  </si>
  <si>
    <t>B148C2</t>
  </si>
  <si>
    <t>CNV_Movimot_Drive[468]
CNV_SP_Barcode_Scanner[468]</t>
  </si>
  <si>
    <t>B149C1</t>
  </si>
  <si>
    <t>CNV_Movimot_Drive[469]</t>
  </si>
  <si>
    <t>B149C2</t>
  </si>
  <si>
    <t>CNV_Movimot_Drive[470]</t>
  </si>
  <si>
    <t>B150C1</t>
  </si>
  <si>
    <t>CNV_Movimot_Drive[471]
Logiq_IF[471]</t>
  </si>
  <si>
    <t>B151CT1</t>
  </si>
  <si>
    <t>Decision[197]</t>
  </si>
  <si>
    <t>CT_SP_Barcode_Scanner[208]
CT_Movifit_Drive[208]
CT_Moviswitch_Drive[208]</t>
  </si>
  <si>
    <t>B152C1</t>
  </si>
  <si>
    <t>CNV_Movimot_Drive[472]</t>
  </si>
  <si>
    <t>B152C2</t>
  </si>
  <si>
    <t>CNV_Movimot_Drive[473]</t>
  </si>
  <si>
    <t>B153C1</t>
  </si>
  <si>
    <t>CNV_Movimot_Drive[474]
Logiq_IF[474]
CNV_SP_Barcode_Scanner[474]</t>
  </si>
  <si>
    <t>B154CT1</t>
  </si>
  <si>
    <t>Decision[198]</t>
  </si>
  <si>
    <t>CT_Movifit_Drive[209]
CT_Moviswitch_Drive[209]</t>
  </si>
  <si>
    <t>B108C1</t>
  </si>
  <si>
    <t>CNV_Movimot_Drive[485]</t>
  </si>
  <si>
    <t>B108C2</t>
  </si>
  <si>
    <t>CNV_Movimot_Drive[486]</t>
  </si>
  <si>
    <t>B108C3</t>
  </si>
  <si>
    <t>LoadingStation[169]</t>
  </si>
  <si>
    <t>CNV_Movimot_Drive[487]</t>
  </si>
  <si>
    <t>Zone[94]</t>
  </si>
  <si>
    <t>B108C4</t>
  </si>
  <si>
    <t>StackDestackStation[115]</t>
  </si>
  <si>
    <t>CNV_Movimot_Drive[488]
STR_Lifter_Movimot_Drive[488]
STR_Gripper_Movimot_Drive[488]</t>
  </si>
  <si>
    <t>B108C5</t>
  </si>
  <si>
    <t>LoadingStation[170]</t>
  </si>
  <si>
    <t>CNV_Movimot_Drive[489]</t>
  </si>
  <si>
    <t>B108C6</t>
  </si>
  <si>
    <t>ProfileCheckStation[94]</t>
  </si>
  <si>
    <t>CNV_Movimot_Drive[490]
CNV_SP_Barcode_Scanner[490]
CNV_VP_Barcode_Scanner[490]</t>
  </si>
  <si>
    <t>B108CT1</t>
  </si>
  <si>
    <t>CT_Movifit_Drive[220]
CT_Moviswitch_Drive[220]</t>
  </si>
  <si>
    <t>B109CT1</t>
  </si>
  <si>
    <t>Decision[209]</t>
  </si>
  <si>
    <t>CT_Movifit_Drive[221]
CT_Moviswitch_Drive[221]</t>
  </si>
  <si>
    <t>B110C1</t>
  </si>
  <si>
    <t>UnloadingStation[189]</t>
  </si>
  <si>
    <t>CNV_Movimot_Drive[491]</t>
  </si>
  <si>
    <t>B111C1</t>
  </si>
  <si>
    <t>CNV_Movimot_Drive[492]</t>
  </si>
  <si>
    <t>B111C2</t>
  </si>
  <si>
    <t>WrappingStation[34]</t>
  </si>
  <si>
    <t>CNV_Movimot_Drive[493]</t>
  </si>
  <si>
    <t>B111C3</t>
  </si>
  <si>
    <t>CNV_Movimot_Drive[494]</t>
  </si>
  <si>
    <t>B111C4</t>
  </si>
  <si>
    <t>CNV_Movimot_Drive[495]</t>
  </si>
  <si>
    <t>B111C5</t>
  </si>
  <si>
    <t>CNV_Movimot_Drive[496]</t>
  </si>
  <si>
    <t>B111C6</t>
  </si>
  <si>
    <t>CNV_Movimot_Drive[497]</t>
  </si>
  <si>
    <t>B111C7</t>
  </si>
  <si>
    <t>CNV_Movimot_Drive[498]</t>
  </si>
  <si>
    <t>B111C8</t>
  </si>
  <si>
    <t>CNV_Movimot_Drive[499]</t>
  </si>
  <si>
    <t>B111C9</t>
  </si>
  <si>
    <t>Decision[210]</t>
  </si>
  <si>
    <t>CNV_Movimot_Drive[500]</t>
  </si>
  <si>
    <t>B111C10</t>
  </si>
  <si>
    <t>Decision[211]</t>
  </si>
  <si>
    <t>CNV_Movimot_Drive[501]</t>
  </si>
  <si>
    <t>B111CT1</t>
  </si>
  <si>
    <t>Decision[212]</t>
  </si>
  <si>
    <t>CT_Movifit_Drive[222]
CT_Moviswitch_Drive[222]</t>
  </si>
  <si>
    <t>B111CT2</t>
  </si>
  <si>
    <t>Decision[213]</t>
  </si>
  <si>
    <t>CT_Movifit_Drive[223]
CT_Moviswitch_Drive[223]</t>
  </si>
  <si>
    <t>B112C1</t>
  </si>
  <si>
    <t>Decision[214]</t>
  </si>
  <si>
    <t>CNV_Movimot_Drive[502]</t>
  </si>
  <si>
    <t>B112C2</t>
  </si>
  <si>
    <t>Decision[215]</t>
  </si>
  <si>
    <t>CNV_Movimot_Drive[503]</t>
  </si>
  <si>
    <t>B112C3</t>
  </si>
  <si>
    <t>Decision[216]</t>
  </si>
  <si>
    <t>CNV_Movimot_Drive[504]</t>
  </si>
  <si>
    <t>B112C4</t>
  </si>
  <si>
    <t>CNV_Movimot_Drive[505]</t>
  </si>
  <si>
    <t>B112C5</t>
  </si>
  <si>
    <t>CNV_Movimot_Drive[506]</t>
  </si>
  <si>
    <t>B112C6</t>
  </si>
  <si>
    <t>CNV_Movimot_Drive[507]</t>
  </si>
  <si>
    <t>B112C7</t>
  </si>
  <si>
    <t>CNV_Movimot_Drive[508]</t>
  </si>
  <si>
    <t>B112C8</t>
  </si>
  <si>
    <t>CNV_Movimot_Drive[509]</t>
  </si>
  <si>
    <t>B112C9</t>
  </si>
  <si>
    <t>CNV_Movimot_Drive[510]</t>
  </si>
  <si>
    <t>B112C10</t>
  </si>
  <si>
    <t>CNV_Movimot_Drive[511]</t>
  </si>
  <si>
    <t>B112C11</t>
  </si>
  <si>
    <t>SeparatorStation[42]</t>
  </si>
  <si>
    <t>CNV_Movimot_Drive[512]
Seperator_Movimot_Y[512]
Seperator_Movimot_Y[512]
Seperator_Movimot_Y[512]</t>
  </si>
  <si>
    <t>B112C12</t>
  </si>
  <si>
    <t>CNV_Movimot_Drive[513]</t>
  </si>
  <si>
    <t>B112CT1</t>
  </si>
  <si>
    <t>CT_Movifit_Drive[224]
CT_Moviswitch_Drive[224]</t>
  </si>
  <si>
    <t>B112CT2</t>
  </si>
  <si>
    <t>Decision[217]</t>
  </si>
  <si>
    <t>CT_Movifit_Drive[225]
CT_Moviswitch_Drive[225]</t>
  </si>
  <si>
    <t>B113CT1</t>
  </si>
  <si>
    <t>Decision[218]</t>
  </si>
  <si>
    <t>CT_Movifit_Drive[226]
CT_Moviswitch_Drive[226]
CT_SP_Barcode_Scanner[226]</t>
  </si>
  <si>
    <t>B114C1</t>
  </si>
  <si>
    <t>CNV_Movimot_Drive[514]</t>
  </si>
  <si>
    <t>B114C2</t>
  </si>
  <si>
    <t>CNV_Movimot_Drive[515]</t>
  </si>
  <si>
    <t>B114C3</t>
  </si>
  <si>
    <t>CNV_Movimot_Drive[516]</t>
  </si>
  <si>
    <t>B114C4</t>
  </si>
  <si>
    <t>CNV_Movimot_Drive[517]</t>
  </si>
  <si>
    <t>B114C5</t>
  </si>
  <si>
    <t>CNV_Movimot_Drive[518]</t>
  </si>
  <si>
    <t>B114TT1</t>
  </si>
  <si>
    <t>TurnTableStation[13]</t>
  </si>
  <si>
    <t>TT_Movifit_Drive[519]
CNV_Movimot_Drive[519]</t>
  </si>
  <si>
    <t>Decision[219]</t>
  </si>
  <si>
    <t>Pallet Width</t>
  </si>
  <si>
    <t>Height</t>
  </si>
  <si>
    <t>Depth</t>
  </si>
  <si>
    <t>Min Weight</t>
  </si>
  <si>
    <t>Max Weight</t>
  </si>
  <si>
    <t>Tolerance</t>
  </si>
  <si>
    <t>Pallet Type A</t>
  </si>
  <si>
    <t>https://parirobotics-my.sharepoint.com/:x:/g/personal/anant_g_wipropari_com/EXlJ0mX2GINNpwW9O6gmseEBUqFsm6bu5pSelThXB2W_4w?e=20FEda&amp;xsdata=MDV8MDJ8Z2FuZXNodGtAd2lwcm9wYXJpLmNvbXxlZmRmNTI5MWY0Yjc0ZWMwZTdjODA4ZGRmMTJkN2YxOXxkZmM0ZmE4YmZjYWQ0ZmJiYjY1OWUxNTU0OWY0M2RhNXwwfDB8NjM4OTMxODk5ODk2ODA5MjAxfFVua25vd258VFdGcGJHWnNiM2Q4ZXlKRmJYQjBlVTFoY0draU9uUnlkV1VzSWxZaU9pSXdMakF1TURBd01DSXNJbEFpT2lKWGFXNHpNaUlzSWtGT0lqb2lUV0ZwYkNJc0lsZFVJam95ZlE9PXwwfHx8&amp;sdata=T3cyNnpPRUU5a2RGdjFKS05PTnI5c0NaRmpGYTlXeERkVW10VThUdHppcz0%3d</t>
  </si>
  <si>
    <t>IP Address</t>
  </si>
  <si>
    <t>PC PLC Interface DB Name</t>
  </si>
  <si>
    <t>xxx.xxx.xxx.xxx</t>
  </si>
  <si>
    <t>NA</t>
  </si>
  <si>
    <t>CONVEYOR_PC_IF</t>
  </si>
  <si>
    <t>Station ID
(X is the ID of Station)
X= 1 to 20</t>
  </si>
  <si>
    <t>• In the "PLC ↔ WCS ICD" sheet, the below ICDs have been added for logging purposes only.
CNV_Movimot_Drive
STR_Lifter_Movimot_Drive
STR_Gripper_Movimot_Drive
CT_Mofivit_Drive
CT_Moviswitch_Drive
CNV_Barcode_Scanner
CT_Barcode_Scanner
Inbound_Main_Panel_Error_Mgr
Inbound_Branch_Error_Manager
Inbound_Safety_Door
Inbound_Cross_Over
• In the "Inbound" sheet, the above ICDs were added in the Functionality3 column, and a "Barcode Present" column was also added.</t>
  </si>
  <si>
    <t>1.8.1</t>
  </si>
  <si>
    <t>Loading Station ICD: Removed extra space from the Loading_Type variable.
Stack De-stack Station ICD: Removed extra space from the Loading_Type variable.
Wrap/Unwrap Station ICD: Corrected spelling of the Pallet_Operation_Status variable.
Separator Station ICD: Corrected spelling of the Pallet_Operation_Status variable.</t>
  </si>
  <si>
    <t>Loading_Type</t>
  </si>
  <si>
    <t>Pallet_Operation_Status</t>
  </si>
  <si>
    <t>1.8.2</t>
  </si>
  <si>
    <t>Updated "Prod G 10M AMB" &amp; "Prod G+1 10M AMB" sheet for source &amp; destination requirment</t>
  </si>
  <si>
    <t xml:space="preserve"> Vishal, Ganesh K</t>
  </si>
  <si>
    <t>1.8.3</t>
  </si>
  <si>
    <t>• Below variables data type changed from bool to byte
Request_For_Labelling_ACK
Request_For_Operation_ACK</t>
  </si>
  <si>
    <t>bool</t>
  </si>
  <si>
    <t>String(10)</t>
  </si>
  <si>
    <t>1.8.4</t>
  </si>
  <si>
    <t xml:space="preserve">
Pallet_ID_From_WCS: change string length from 35 to 10
Pallet_ID_From_PLC: change string length from 35 to 10
Vendor_Pallet_ID_From_PLC: change string length from 35 to 50
"Note" sheet modified for Source and destination requirement
"SeparatorStationIP[X].Pallet_type" variable remark added
</t>
  </si>
  <si>
    <t>NOTE: consider below station ICD variables if "Source requirement" coloum contain "Yes"</t>
  </si>
  <si>
    <t xml:space="preserve">NOTE: consider below station ICD variables if "Destination requirement" coloum contain "Yes" </t>
  </si>
  <si>
    <t>• In the ASRS, OB to Man Unwrapping, GTP, Outbound, Flammable, Prod G AMB, Prod G Cold, Prod G floor, Prod G+1&amp;2 AMB, Prod G+1&amp;2 Cold, Prod G 10M AMB and Prod G+1 10M AMB sheets added  Functionality3 column, and a "Barcode Present" column.</t>
  </si>
  <si>
    <t>Conveyor No</t>
  </si>
  <si>
    <t>Default finction</t>
  </si>
  <si>
    <t>Redundant function</t>
  </si>
  <si>
    <t>EZ1- Inbound Line</t>
  </si>
  <si>
    <t xml:space="preserve">Zone </t>
  </si>
  <si>
    <t>EZ2- Inbound Line</t>
  </si>
  <si>
    <t>Out- to Zeron AMR</t>
  </si>
  <si>
    <t>Out- to Fork AMR</t>
  </si>
  <si>
    <t>Not Used</t>
  </si>
  <si>
    <t>Out- to Zeron AMR
if Varo installed else No use</t>
  </si>
  <si>
    <t>In- From Zeron AMR</t>
  </si>
  <si>
    <t>Redundant functionality by Default, but will not be any command from mWCS</t>
  </si>
  <si>
    <t>EZ3- Outbound Line</t>
  </si>
  <si>
    <t>In- From Fork AMR</t>
  </si>
  <si>
    <t>Selectable from mWCS UI ( Conveyor wise)</t>
  </si>
  <si>
    <t>Functionality not known</t>
  </si>
  <si>
    <t>EZ10- GTP</t>
  </si>
  <si>
    <t>EZ17- Manual unwraping Line</t>
  </si>
  <si>
    <t>EZ4- Flamable Area</t>
  </si>
  <si>
    <t>B33C1, B33C3</t>
  </si>
  <si>
    <t>Out bound</t>
  </si>
  <si>
    <t>In-from Fork AMR</t>
  </si>
  <si>
    <t>In bound</t>
  </si>
  <si>
    <t xml:space="preserve"> </t>
  </si>
  <si>
    <t>B34C2, B34C3</t>
  </si>
  <si>
    <t>BC179( Buffer conveyor)</t>
  </si>
  <si>
    <t>BC180( Buffer conveyor)</t>
  </si>
  <si>
    <t>mWCS to inform logiq about functionality change. Also ICD with EZ4 Conveyor will change</t>
  </si>
  <si>
    <t>EZ5- Ambient G floor area</t>
  </si>
  <si>
    <t>EZ7- Cold G floor area</t>
  </si>
  <si>
    <t>EZ6- Production G floor area</t>
  </si>
  <si>
    <t>No redundancy Option</t>
  </si>
  <si>
    <t>EZ8- Prod G+1&amp;2 Ambient</t>
  </si>
  <si>
    <t>EZ9-Prod G+1&amp;2 Cold</t>
  </si>
  <si>
    <t>EZ15- Prod G 10M AMB</t>
  </si>
  <si>
    <t>EZ16- Prod G+1 10M AMB</t>
  </si>
  <si>
    <t xml:space="preserve">Are redundant for each other </t>
  </si>
  <si>
    <t>VT12 &amp; BC-174 ( B117C2)</t>
  </si>
  <si>
    <t>in case VF12 is down, Pallet wiil be loaded from B117C2 &amp; Then 4way sshuttle will take the pallety to VT13/ VT22 &amp; then pallet will be moved to other floors for storage'</t>
  </si>
  <si>
    <t>OUT bound from ASRS</t>
  </si>
  <si>
    <t>VT13 &amp; VT22
OR 
B131C2 &amp; B138C2</t>
  </si>
  <si>
    <t>B131C2 &amp; B138C2 will serve as jerican Outbound</t>
  </si>
  <si>
    <t>PM Outbound for jeri-cans</t>
  </si>
  <si>
    <t>EL16 &amp; EL17</t>
  </si>
  <si>
    <t>VT15</t>
  </si>
  <si>
    <t>Inbound for ASRS</t>
  </si>
  <si>
    <t>VT14 &amp; BC-177 ( B45C2)</t>
  </si>
  <si>
    <t>in case VF14 is down, Pallet wiil be loaded from B45c2 &amp; Then 4way shuttle will take the pallety to VT15 &amp; then pallet will be moved to other floors for storage</t>
  </si>
  <si>
    <t>VT12 &amp; VT13</t>
  </si>
  <si>
    <t>VT12, B61C7, B61C8 -Inbound 
VT13, B61C1, B61C2 - Outbound
B61C9- Not used</t>
  </si>
  <si>
    <t>1) If VT12 / B61C7/ B61C8 is down, 
then VT13,B61C1, B61C2- will work as inbound + Outbound.
B61C9- Bidirectional depending on pallet flow.
2) If VT13/B61C1/ B61C2,is down, 
then VT12,B61C7, B61C8 - will work as inbound + Outbound
B61C9- Bidirectional depending on pallet flow</t>
  </si>
  <si>
    <t>Mahesh Joshi</t>
  </si>
  <si>
    <t>1.10</t>
  </si>
  <si>
    <t>ConveyorOP[X]</t>
  </si>
  <si>
    <r>
      <t xml:space="preserve">1. PLC Will Read Barcode &amp; send pallet ID  to WCS
(PalletID will be sent to WCS as per rules defined by customer e.g. if multple barcode read by PLC,  then by concating some barcodes same will be shared to WCS, After writing the pallet ID PLC will write space for remaing character in a string (i.e ASCII 32))
</t>
    </r>
    <r>
      <rPr>
        <b/>
        <sz val="10"/>
        <rFont val="Calibri"/>
        <family val="2"/>
        <scheme val="minor"/>
      </rPr>
      <t>2. If the barcode reader fails to read the pallet ID, then the PLC will send '1111111111' to the WCS. Based on this, the WCS must reject that pallet and route it toward the rejection lane.</t>
    </r>
    <r>
      <rPr>
        <sz val="10"/>
        <rFont val="Calibri"/>
        <family val="2"/>
        <scheme val="minor"/>
      </rPr>
      <t xml:space="preserve">
3. After pallet transfer PLC will write space pallet ID string 
( WCS will read the variable based on value change)</t>
    </r>
  </si>
  <si>
    <r>
      <t xml:space="preserve">WCS will read profile status when "Request_For_Destination" signal becomes true from PLC.
1= Pallet length is not ok,
2= Pallet width is not ok,
3= Pallet length and Width is not ok
4= Pallet height is not ok
5= Pallet length and height is not ok
6= Pallet height and width is not ok
7= Pallet length,width and height is not ok
</t>
    </r>
    <r>
      <rPr>
        <b/>
        <sz val="10"/>
        <rFont val="Calibri"/>
        <family val="2"/>
        <scheme val="minor"/>
      </rPr>
      <t>8= Profile ok.</t>
    </r>
    <r>
      <rPr>
        <sz val="10"/>
        <rFont val="Calibri"/>
        <family val="2"/>
        <scheme val="minor"/>
      </rPr>
      <t xml:space="preserve">
</t>
    </r>
    <r>
      <rPr>
        <b/>
        <sz val="10"/>
        <rFont val="Calibri"/>
        <family val="2"/>
        <scheme val="minor"/>
      </rPr>
      <t xml:space="preserve">9= Height Not ok for pallet wrapping
</t>
    </r>
    <r>
      <rPr>
        <sz val="10"/>
        <color indexed="8"/>
        <rFont val="Calibri"/>
        <family val="2"/>
        <scheme val="minor"/>
      </rPr>
      <t>10 to 20 will be spares</t>
    </r>
  </si>
  <si>
    <r>
      <t xml:space="preserve">PLC will always update current state to this byte at every stations and WCS will read.
1 = Ready to Receive
2=  Receive in progress
4=  Pallet Present @ fwd end &amp; ready to transfer
</t>
    </r>
    <r>
      <rPr>
        <b/>
        <sz val="10"/>
        <color rgb="FF00B050"/>
        <rFont val="Calibri"/>
        <family val="2"/>
      </rPr>
      <t xml:space="preserve">5=  Pallet Present @ rev end &amp; ready to transfer
6= Pallet move up to end in progress
</t>
    </r>
    <r>
      <rPr>
        <sz val="10"/>
        <color theme="1"/>
        <rFont val="Calibri"/>
        <family val="2"/>
      </rPr>
      <t xml:space="preserve">8= Transfer in Progress
16 = In error
32 =Un-usable : If any module goes beyond repair then operatoe will mark that module(here conveyor) as not usable from HMI..Same will be shared to WCS. Based on that WCS will give alternate path to pallet. (this facility is optional)
</t>
    </r>
    <r>
      <rPr>
        <b/>
        <sz val="10"/>
        <color theme="1"/>
        <rFont val="Calibri"/>
        <family val="2"/>
      </rPr>
      <t>64 = System pallet ready to unload</t>
    </r>
    <r>
      <rPr>
        <sz val="10"/>
        <color theme="1"/>
        <rFont val="Calibri"/>
        <family val="2"/>
      </rPr>
      <t xml:space="preserve">
</t>
    </r>
    <r>
      <rPr>
        <b/>
        <sz val="10"/>
        <color rgb="FF7030A0"/>
        <rFont val="Calibri"/>
        <family val="2"/>
      </rPr>
      <t>128= Data changed in manual mode</t>
    </r>
  </si>
  <si>
    <r>
      <t xml:space="preserve">PLC will always update current state to this byte at every stations and WCS will read.
0= Default/ No action
1 = Ready to Receive
2=  Receive in progress
4=  Pallet Present @ Forward end &amp; ready to transfer
</t>
    </r>
    <r>
      <rPr>
        <sz val="10"/>
        <color rgb="FF00B050"/>
        <rFont val="Calibri"/>
        <family val="2"/>
        <scheme val="minor"/>
      </rPr>
      <t xml:space="preserve">5=  Pallet Present @ Reverse end &amp; ready to transfer
6= Pallet move up to end in progress
</t>
    </r>
    <r>
      <rPr>
        <sz val="10"/>
        <color indexed="8"/>
        <rFont val="Calibri"/>
        <family val="2"/>
        <scheme val="minor"/>
      </rPr>
      <t>8= Transfer in Progress
16 = In error
32 =Un-usable : If any module goes beyond repair then operatoe will mark that module(here conveyor) as not usable from HMI..Same will be shared to WCS. Based on that WCS will give alternate path to pallet. (this facility is optional)
64 = spare
128= Data changed in manual mode</t>
    </r>
  </si>
  <si>
    <t>LoadingStation[62]</t>
  </si>
  <si>
    <t>UnloadingStation[79]</t>
  </si>
  <si>
    <t>Zone[5]</t>
  </si>
  <si>
    <t>Zone[6]</t>
  </si>
  <si>
    <t xml:space="preserve">if zone function as loading selected then source required, destination not required.
If zone function as unloading selected then source not required, destination is required </t>
  </si>
  <si>
    <t>Decision[154]</t>
  </si>
  <si>
    <r>
      <t xml:space="preserve">WMS will give loading or unloading conveyor no based on Function Selection
</t>
    </r>
    <r>
      <rPr>
        <b/>
        <strike/>
        <sz val="10"/>
        <color rgb="FF000000"/>
        <rFont val="Calibri"/>
        <family val="2"/>
        <scheme val="minor"/>
      </rPr>
      <t>When loading Function Selected :</t>
    </r>
    <r>
      <rPr>
        <strike/>
        <sz val="10"/>
        <color indexed="8"/>
        <rFont val="Calibri"/>
        <family val="2"/>
        <scheme val="minor"/>
      </rPr>
      <t xml:space="preserve">
B17C1, B71C2 : conveyor respctive ID to be written as per station master
</t>
    </r>
    <r>
      <rPr>
        <b/>
        <strike/>
        <sz val="10"/>
        <color rgb="FF000000"/>
        <rFont val="Calibri"/>
        <family val="2"/>
        <scheme val="minor"/>
      </rPr>
      <t>When Unloading Function Selected :</t>
    </r>
    <r>
      <rPr>
        <strike/>
        <sz val="10"/>
        <color indexed="8"/>
        <rFont val="Calibri"/>
        <family val="2"/>
        <scheme val="minor"/>
      </rPr>
      <t xml:space="preserve">
B79C3, B14C1 : conveyor respctive ID to be written as per station master</t>
    </r>
  </si>
  <si>
    <t>1: Zone/Station to be used as Loading Station
2: Zone/Station  to be used as UnLoading Station
This will be read by PLC when no cycle is running &amp; WCS give "Read_Function" signal</t>
  </si>
  <si>
    <t>If zone/staion is to be used as L/U station, then only this function related handshake is required &amp; same will be monitored in PLC as well as WCS…. Otherwise station will work independantly.</t>
  </si>
  <si>
    <r>
      <rPr>
        <b/>
        <sz val="10"/>
        <rFont val="Calibri"/>
        <family val="2"/>
        <scheme val="minor"/>
      </rPr>
      <t>* If this station is in line--- (e.g.  B69C2, B54C2 etc.)</t>
    </r>
    <r>
      <rPr>
        <sz val="10"/>
        <rFont val="Calibri"/>
        <family val="2"/>
        <scheme val="minor"/>
      </rPr>
      <t xml:space="preserve">
WCS will write Source point as per connected stations   i.e. WCS will write station ID ( Refer Station Master Sheet), same will become zero after "Pallet_Transferred" received from PLC. 
</t>
    </r>
    <r>
      <rPr>
        <b/>
        <sz val="10"/>
        <rFont val="Calibri"/>
        <family val="2"/>
        <scheme val="minor"/>
      </rPr>
      <t xml:space="preserve">* If this station is standalone- (e.g B3C1, B4C1, B5C1 etc.)
</t>
    </r>
    <r>
      <rPr>
        <sz val="10"/>
        <rFont val="Calibri"/>
        <family val="2"/>
        <scheme val="minor"/>
      </rPr>
      <t>WCS will write loadig type based on loading device, same will become zero after "Pallet_Transferred" received from PLC.
0= Deafult/No action
1 = No loading station
2 = Manual Loading
3 = Automatic Loading-AMR
4 =  Automatic Loading-Fork type AGV
5=Automatic Loading-Conveyor Top AMR</t>
    </r>
  </si>
  <si>
    <r>
      <t xml:space="preserve">1 = Single pallet loading </t>
    </r>
    <r>
      <rPr>
        <b/>
        <sz val="10"/>
        <rFont val="Calibri"/>
        <family val="2"/>
        <scheme val="minor"/>
      </rPr>
      <t>( Pallet will be loaded two times i.e. first system pallet &amp; then vendor/KO pallet s</t>
    </r>
    <r>
      <rPr>
        <b/>
        <u/>
        <sz val="10"/>
        <rFont val="Calibri"/>
        <family val="2"/>
        <scheme val="minor"/>
      </rPr>
      <t>o with MWCS two times loading handshake is required</t>
    </r>
    <r>
      <rPr>
        <b/>
        <sz val="10"/>
        <rFont val="Calibri"/>
        <family val="2"/>
        <scheme val="minor"/>
      </rPr>
      <t xml:space="preserve">  e.g. B3C1, B4C1, B5C1)
</t>
    </r>
    <r>
      <rPr>
        <sz val="10"/>
        <rFont val="Calibri"/>
        <family val="2"/>
        <scheme val="minor"/>
      </rPr>
      <t xml:space="preserve">
2 = Multi pallet Loading </t>
    </r>
    <r>
      <rPr>
        <b/>
        <sz val="10"/>
        <rFont val="Calibri"/>
        <family val="2"/>
        <scheme val="minor"/>
      </rPr>
      <t>(Pallet will be loaded once i.e. "KO + SP" or only SP pallet will be loaded at a time,</t>
    </r>
    <r>
      <rPr>
        <b/>
        <u/>
        <sz val="10"/>
        <rFont val="Calibri"/>
        <family val="2"/>
        <scheme val="minor"/>
      </rPr>
      <t xml:space="preserve"> so with MWCS one time loading handshake is required</t>
    </r>
    <r>
      <rPr>
        <b/>
        <sz val="10"/>
        <rFont val="Calibri"/>
        <family val="2"/>
        <scheme val="minor"/>
      </rPr>
      <t xml:space="preserve"> e.g. B6C1, B5C2, B35C1,  B43C1, B47C1, B63C5, B69C5 etc)</t>
    </r>
    <r>
      <rPr>
        <sz val="10"/>
        <rFont val="Calibri"/>
        <family val="2"/>
        <scheme val="minor"/>
      </rPr>
      <t xml:space="preserve">
This information is required to pass on to PLC, so that PLC can wait for both pallet whenever required.</t>
    </r>
  </si>
  <si>
    <r>
      <t>1. WCS will write system pallet ID , when value of state = 4 or</t>
    </r>
    <r>
      <rPr>
        <b/>
        <sz val="10"/>
        <color rgb="FF00B050"/>
        <rFont val="Calibri"/>
        <family val="2"/>
        <scheme val="minor"/>
      </rPr>
      <t xml:space="preserve"> 5</t>
    </r>
    <r>
      <rPr>
        <sz val="10"/>
        <color indexed="8"/>
        <rFont val="Calibri"/>
        <family val="2"/>
        <scheme val="minor"/>
      </rPr>
      <t>"</t>
    </r>
    <r>
      <rPr>
        <strike/>
        <sz val="10"/>
        <color rgb="FFFF0000"/>
        <rFont val="Calibri"/>
        <family val="2"/>
        <scheme val="minor"/>
      </rPr>
      <t>pallet receive in progress</t>
    </r>
    <r>
      <rPr>
        <sz val="10"/>
        <color indexed="8"/>
        <rFont val="Calibri"/>
        <family val="2"/>
        <scheme val="minor"/>
      </rPr>
      <t>" "Pallet Present @end &amp; ready to transfer".
(After writing the pallet ID WCS will write space for remaing character in a string (i.e ASCII 32))
2. WCS will clear(space) the data, at "Pallet_Transferred" =1 received from PLC.</t>
    </r>
  </si>
  <si>
    <r>
      <t xml:space="preserve">1 = Single pallet Unloading </t>
    </r>
    <r>
      <rPr>
        <b/>
        <sz val="10"/>
        <rFont val="Calibri"/>
        <family val="2"/>
        <scheme val="minor"/>
      </rPr>
      <t>( Pallet will be Unloaded two times i.e. first vendor/KO pallet &amp; then system pallet,</t>
    </r>
    <r>
      <rPr>
        <b/>
        <u/>
        <sz val="10"/>
        <rFont val="Calibri"/>
        <family val="2"/>
        <scheme val="minor"/>
      </rPr>
      <t xml:space="preserve"> so with MWCS two times Unloading handshake is required</t>
    </r>
    <r>
      <rPr>
        <b/>
        <sz val="10"/>
        <rFont val="Calibri"/>
        <family val="2"/>
        <scheme val="minor"/>
      </rPr>
      <t xml:space="preserve"> e.g. B6C3, B39C1)</t>
    </r>
    <r>
      <rPr>
        <sz val="10"/>
        <rFont val="Calibri"/>
        <family val="2"/>
        <scheme val="minor"/>
      </rPr>
      <t xml:space="preserve">
This will come typically with fork type AMR
2 = Multi pallet Unloading </t>
    </r>
    <r>
      <rPr>
        <b/>
        <sz val="10"/>
        <rFont val="Calibri"/>
        <family val="2"/>
        <scheme val="minor"/>
      </rPr>
      <t xml:space="preserve">(Pallet will be Unloaded once i.e. KO + SP pallet will be loaded at a time, </t>
    </r>
    <r>
      <rPr>
        <b/>
        <u/>
        <sz val="10"/>
        <rFont val="Calibri"/>
        <family val="2"/>
        <scheme val="minor"/>
      </rPr>
      <t>so with MWCS one time loading handshake is required</t>
    </r>
    <r>
      <rPr>
        <b/>
        <sz val="10"/>
        <rFont val="Calibri"/>
        <family val="2"/>
        <scheme val="minor"/>
      </rPr>
      <t xml:space="preserve"> e.g. B53C2, B9C2 etc.)
</t>
    </r>
    <r>
      <rPr>
        <sz val="10"/>
        <rFont val="Calibri"/>
        <family val="2"/>
        <scheme val="minor"/>
      </rPr>
      <t>This information is required to pass on to PLC, so that PLC can wait for both pallet whenever required.</t>
    </r>
  </si>
  <si>
    <t>1= WCS will write this when it want to Unload pallet present at Unloading station
99= WCS will set this value when"Read_Source_Ack"=2  received  from PLC.
0 = WCS will set this value when"Read_Source_Ack"=0  received  from PLC.</t>
  </si>
  <si>
    <r>
      <rPr>
        <b/>
        <sz val="10"/>
        <rFont val="Calibri"/>
        <family val="2"/>
        <scheme val="minor"/>
      </rPr>
      <t>* If this station is in line---</t>
    </r>
    <r>
      <rPr>
        <sz val="10"/>
        <rFont val="Calibri"/>
        <family val="2"/>
        <scheme val="minor"/>
      </rPr>
      <t xml:space="preserve">
WCS will write Source point as per connected stations   i.e. WCS will write station ID ( Refer Station Master Sheet), same will become zero after "Pallet_Transferred" received from PLC.
</t>
    </r>
    <r>
      <rPr>
        <b/>
        <sz val="10"/>
        <rFont val="Calibri"/>
        <family val="2"/>
        <scheme val="minor"/>
      </rPr>
      <t xml:space="preserve">* If this station is standalone-
</t>
    </r>
    <r>
      <rPr>
        <sz val="10"/>
        <rFont val="Calibri"/>
        <family val="2"/>
        <scheme val="minor"/>
      </rPr>
      <t>WCS will write unloadig type based on unloading device, same will become zero after "Pallet_Transferred" received from PLC.
0= Deafult/No action
1 = No Unloading station
2 = Manual UnLoading
3 = Automatic UnLoading-AMR
4 =  Automatic UnLoading-Fork type AGV
5=Automatic UnLoading-Conveyor Top AMR</t>
    </r>
  </si>
  <si>
    <t>1= Pallet length is not ok,
2= Pallet width is not ok,
3= Pallet length and Width is not ok
4= Pallet height is not ok
5= Pallet length and height is not ok
6= Pallet height and width is not ok
7= Pallet length,width and height is not ok
8= Profile ok.
9= Height Not ok for pallet wrapping
10=SP Barcode read Error
11=Vendor Barcode read Error
21= WCS_OK
22 = Reject because of SP pallet barcode
23 = Reject because of vendor Pallet barcode
24 = Reject because of weight
25= Reject because of Pallet type
26 = Reject because of Packing file not found (if applicable)
27 = Reject Because of Location not found (if applicable)
28 = Reject Because of Pallet Already in DO (if applicable)
29 = Reject Because of Pallet Already in Queue (if applicable)
will become zero after "Pallet_Transferred" signal become zero</t>
  </si>
  <si>
    <t>1. WCS will write Next Unloading_type as per connected stations i.e. WCS will write station ID ( Refer Station Master Sheet), same will become zero after "Pallet_Transferred"=99 received from PLC.
Note - Unloading_type No is as below
0= Deafult/No action
1 = No Unloading station
2 = Manual Unloading
3 = Automatic Unloading-AMR
4 =  Automatic Unloading-Fork type AGV
5=Automatic Unloading-Conveyor Top AMR</t>
  </si>
  <si>
    <t>1= WCS will write this when it want to load pallet from connecting station
99= WCS will set this value when"Read_Source_Ack"=2  received  from PLC.
0 = WCS will set this value when"Read_Source_Ack"=0  received  from PLC.</t>
  </si>
  <si>
    <t>UnloadingStation[148]
Decision[155]</t>
  </si>
  <si>
    <t>This conveyor removed from actual layout</t>
  </si>
  <si>
    <t>In EZ9: B86C1, B80C1 &amp; EZ8: B64C1 stations removed</t>
  </si>
  <si>
    <t>EZ8:B61C7,B61C8,B61C9,B62C1,B62C2
EZ9:B77C7,B77C8,B77C9,B78C1,B78C2,B78C3 Stations has been removed</t>
  </si>
  <si>
    <t>Default set as  a Unloading (2), when redundenacy activated then set as a Loading (1)</t>
  </si>
  <si>
    <t>Default set as  a Loading (1), when redundenacy activated then set as a Unloading (2)</t>
  </si>
  <si>
    <t>EZ6:B40C1, B38C3
EZ8:B59C1, B60C1,B68C1,B69C1
EZ9:B75C1, B76C1, B84C1, B85C1 Stations has been removed</t>
  </si>
  <si>
    <t xml:space="preserve">Below mentioned changes are updated during testing on site
1. Updated description for pallet "Profile_Status" variable ( no-9)
2. Updated description for "Type_of_Operation" varibale for loading, unloading &amp; stacke_Destack stations
3. Added 64 no in "State" of unloading station 
4. Updated description for "Vendor_Pallet_ID_From_PLC" in profile check station
5. Station master updated as per changes on site </t>
  </si>
  <si>
    <t>In GTP, B88C1, B88C2, B88C4, B93C1 &amp; B93C2 station removed</t>
  </si>
  <si>
    <t>" PLC Zone Interface" ICD updated 
--- Removed conveyor_numbers</t>
  </si>
  <si>
    <t>Redundancy sheet added</t>
  </si>
  <si>
    <t>Description of revision</t>
  </si>
  <si>
    <t>Ajay K, Abhijeet, Mukunda</t>
  </si>
  <si>
    <t>Vishal, Ganesh K, Kaustubh, Raja</t>
  </si>
  <si>
    <t xml:space="preserve"> Vishal, Ganesh K, Mukunda</t>
  </si>
  <si>
    <t>Row Labels</t>
  </si>
  <si>
    <t>Grand Total</t>
  </si>
  <si>
    <t>Count of Rev.No.</t>
  </si>
  <si>
    <t>Change Type</t>
  </si>
  <si>
    <t>Config</t>
  </si>
  <si>
    <t>The changes were implemented in the mWCS and PLC during testing and have been documented in the ICD.</t>
  </si>
  <si>
    <t>Development</t>
  </si>
  <si>
    <t>Devlopment</t>
  </si>
  <si>
    <t>Congfiguration realted Change</t>
  </si>
  <si>
    <t>Extra Space removed &amp; Spelling corrected.</t>
  </si>
  <si>
    <t>VT14 &amp; VT15</t>
  </si>
  <si>
    <t>VT14, B77C7, B77C8, B77C9 -Inbound 
VT15, B78C1, B78C2, B78C3 - Outbound
B78C10- Not used</t>
  </si>
  <si>
    <t>1) If VT14/ B77C7/ B77C8/ B77C9 is down, 
then VT15/ B78C1/ B78C2/ B78C3- will work as inbound + Outbound.
B78C10- Bidirectional depending on pallet flow.
2) If VT15/ B78C1/ B78C2/ B78C3,is down, 
then VT14/ B77C7/ B77C8/ B77C9 - will work as inbound + Outbound
B61C9- Bidirectional depending on pallet flow</t>
  </si>
  <si>
    <t>mWCS to inform logiq about functionality change. Also ICD with EZ7 Conveyor will change</t>
  </si>
  <si>
    <t>mWCS to inform logiq about functionality change. Also ICD with EZ8 Conveyor will change</t>
  </si>
  <si>
    <t>mWCS to inform logiq about functionality change. Also ICD with EZ9 Conveyor will change</t>
  </si>
  <si>
    <t>Hold From customer side</t>
  </si>
  <si>
    <t>During development, the changes were made to simplify mWCS and PLC implementation and were documented in the ICD</t>
  </si>
  <si>
    <t>Changes related to pallet flow,architecture, and concept</t>
  </si>
  <si>
    <t>Conceptual &amp; Architectural</t>
  </si>
  <si>
    <t>Related areas are on hold from the customer side.</t>
  </si>
  <si>
    <t>Only the data type was corrected</t>
  </si>
  <si>
    <t>Updated to comply with the customer pallet ID length of 10 characters</t>
  </si>
  <si>
    <t>Variable added for diagnostic logging purposes only, to easier issue identification and tracking</t>
  </si>
  <si>
    <r>
      <t xml:space="preserve">Conveyor no. Not required (This is </t>
    </r>
    <r>
      <rPr>
        <sz val="10"/>
        <color rgb="FF0070C0"/>
        <rFont val="Arial"/>
        <family val="2"/>
      </rPr>
      <t>related to redundancy logic</t>
    </r>
    <r>
      <rPr>
        <sz val="10"/>
        <rFont val="Arial"/>
        <family val="2"/>
      </rPr>
      <t>)</t>
    </r>
  </si>
  <si>
    <r>
      <t>As agreed during the discussion with Raja, Mukunda H., Kaustubh Bapat, and Abhijit Phatak, unused stations (conveyors) were removed from the Station Master, as they are unable to accommodate full pallets -</t>
    </r>
    <r>
      <rPr>
        <sz val="10"/>
        <color rgb="FF0070C0"/>
        <rFont val="Arial"/>
        <family val="2"/>
      </rPr>
      <t xml:space="preserve"> Layout issue</t>
    </r>
    <r>
      <rPr>
        <sz val="10"/>
        <rFont val="Arial"/>
        <family val="2"/>
      </rPr>
      <t xml:space="preserve"> -</t>
    </r>
    <r>
      <rPr>
        <sz val="10"/>
        <color rgb="FF0070C0"/>
        <rFont val="Arial"/>
        <family val="2"/>
      </rPr>
      <t xml:space="preserve"> only config change on mWCS side</t>
    </r>
  </si>
  <si>
    <t>Column Labels</t>
  </si>
  <si>
    <t>During Concept related changes</t>
  </si>
  <si>
    <t>Pre Release</t>
  </si>
  <si>
    <r>
      <t xml:space="preserve">Variable added for diagnostic logging purposes only, to easier issue identification and tracking
</t>
    </r>
    <r>
      <rPr>
        <b/>
        <sz val="10"/>
        <rFont val="Arial"/>
        <family val="2"/>
      </rPr>
      <t>ICD Release &amp; Shared With Mukunda Haveris, Abhijeet Phatak &amp; Raja Date 16-12-2025</t>
    </r>
  </si>
  <si>
    <t>Conceptualisation was pending as it needs discussion with mWCs team</t>
  </si>
  <si>
    <r>
      <t xml:space="preserve">Based on the recommendation of Abhijit Phatak and Mukunda Ji, the decision points associated with stations B86C1, B80C1, and B64C1 have been removed. </t>
    </r>
    <r>
      <rPr>
        <sz val="10"/>
        <color rgb="FF0070C0"/>
        <rFont val="Arial"/>
        <family val="2"/>
      </rPr>
      <t>(This is done to easy handling of Source / destination on mWCS side)- Only Configuration change in mWCS side</t>
    </r>
  </si>
  <si>
    <r>
      <t>As discussed on Site B61C7,B61C8,B61C9,B62C1,B62C2,B77C7,B77C8,B77C9,B78C1,B78C2,B78C3 Decision Points has been removed (mWCS no need to give source &amp; destination for this station) -</t>
    </r>
    <r>
      <rPr>
        <sz val="10"/>
        <color rgb="FF0070C0"/>
        <rFont val="Arial"/>
        <family val="2"/>
      </rPr>
      <t xml:space="preserve"> This was tested at site in May26 on Both sides; but not modified in ICD.</t>
    </r>
    <r>
      <rPr>
        <sz val="10"/>
        <rFont val="Arial"/>
        <family val="2"/>
      </rPr>
      <t xml:space="preserve">- </t>
    </r>
    <r>
      <rPr>
        <sz val="10"/>
        <color rgb="FF0070C0"/>
        <rFont val="Arial"/>
        <family val="2"/>
      </rPr>
      <t>only config change on mWCS side</t>
    </r>
  </si>
  <si>
    <r>
      <t>There is no change required from mWCS &amp; PLC, also tested on site &amp; NVIDIA, unused station has been removed from station master</t>
    </r>
    <r>
      <rPr>
        <sz val="10"/>
        <color rgb="FF0070C0"/>
        <rFont val="Arial"/>
        <family val="2"/>
      </rPr>
      <t xml:space="preserve"> - Layout issue only config change on mWCS side</t>
    </r>
  </si>
  <si>
    <t>Good</t>
  </si>
  <si>
    <t>SIMATIC.S7-1500.OPC-UA.Application:Production_Area_Cold_G+1_G+2_PLC@10.15.62.230</t>
  </si>
  <si>
    <t>ns=3;s="CONVEYOR_PC_IF"."ConveyorOP"</t>
  </si>
  <si>
    <t>DataBlocksGlobal/CONVEYOR_PC_IF/ConveyorOP</t>
  </si>
  <si>
    <t>ConveyorOP</t>
  </si>
  <si>
    <t>CONVEYOR_PC_IF."ConveyorOP"</t>
  </si>
  <si>
    <t>PLC_Warning_No</t>
  </si>
  <si>
    <t>PLC will write warning number in this variable at every stations. 
0= No error 
Greater than 0 = warning present</t>
  </si>
  <si>
    <t>PLC will write warning number in this variable at every stations. 
0= No warning
Greater than 0 = warning present</t>
  </si>
  <si>
    <t>UnloadingStation[47]</t>
  </si>
  <si>
    <t>Ajay K, Mukunda</t>
  </si>
  <si>
    <t>CT_Movifit_Drive</t>
  </si>
  <si>
    <t>CT_Movifiit_DriveOP[X]</t>
  </si>
  <si>
    <t>CT_Movifit_DriveOP[X]</t>
  </si>
  <si>
    <t>CNV_SP_Barcode_ScannerOP[X]</t>
  </si>
  <si>
    <t>Tunnel_ScannerOP</t>
  </si>
  <si>
    <t>Labelling_ScannerOP[X]</t>
  </si>
  <si>
    <t>Safety_DoorOP[X]</t>
  </si>
  <si>
    <t>Flammable_Branch_Error_ManagerOP[X]</t>
  </si>
  <si>
    <t>ASRS_Branch_Error_ManagerOP[X]</t>
  </si>
  <si>
    <t>Man_Unwrapping_Branch_Error_ManagerOP[X]</t>
  </si>
  <si>
    <t>GTP_Branch_Error_Manager[X]</t>
  </si>
  <si>
    <t xml:space="preserve"> Operator_Desicion_PointOP[X]</t>
  </si>
  <si>
    <t>Outbound_Branch_Error_ManagerOP[X]</t>
  </si>
  <si>
    <t>GroundAMB_Branch_Error_ManagerOP[X]</t>
  </si>
  <si>
    <t>Seperator_Movimot_XOP[X]</t>
  </si>
  <si>
    <t>Seperator_Movimot_YOP[X]</t>
  </si>
  <si>
    <t>Seperator_Movimot_ZOP[X]</t>
  </si>
  <si>
    <t>SEW_Movisuite_Control_Scissor_LiftOP[X]</t>
  </si>
  <si>
    <t>SEW_Movisuite_Control__ElevatorOP[X]</t>
  </si>
  <si>
    <t>10M_GroundFloor_Main_Panel_Error_MgrOP[X]</t>
  </si>
  <si>
    <t>10M_GroundFloor_Branch_Error_Manager[X]</t>
  </si>
  <si>
    <t>PLC_Error_No+B566</t>
  </si>
  <si>
    <t>1. Need to change B90C1 Unloading Station Index No
2. Need to use Warning tags for warning no logging in mWCS &amp; PLC mapped all the tags to respective stations</t>
  </si>
  <si>
    <t>CNV_Movimot_Drive[11]
CNV_SP_Barcode_Scanner[11]
Tunnel_Scanner</t>
  </si>
  <si>
    <t>CNV_Movimot_Drive[13]
CNV_SP_Barcode_Scannerr[13]
Labelling_ScannerOP[1]</t>
  </si>
  <si>
    <t>CT_Movifit_Drive[7]
CT_Moviswitch_Drive[7]
CT_SP_Barcode_Scanner[7]</t>
  </si>
  <si>
    <t>CT_Movifit_Drive[6]
CT_Moviswitch_Drive[6]
CT_SP_Barcode_Scanner[6]</t>
  </si>
  <si>
    <t>CT_Movifit_Drive[8]
CT_Moviswitch_Drive[8]
CT_SP_Barcode_Scanner[8]</t>
  </si>
  <si>
    <t>Inbound_Branch_Error_ManagerOP[3]</t>
  </si>
  <si>
    <t>Inbound_Branch_Error_ManagerOP[4]</t>
  </si>
  <si>
    <t>Inbound_Branch_Error_ManagerOP[1]</t>
  </si>
  <si>
    <t>Inbound_Branch_Error_ManagerOP[2]</t>
  </si>
  <si>
    <t>B11</t>
  </si>
  <si>
    <t>Inbound_Branch_Error_ManagerOP[5]</t>
  </si>
  <si>
    <t>B31,B3,B4</t>
  </si>
  <si>
    <t>B5,B6</t>
  </si>
  <si>
    <t>B7,B8</t>
  </si>
  <si>
    <t>B9,B10</t>
  </si>
  <si>
    <t>ASRS_Branch_Error_ManagerOP[1]</t>
  </si>
  <si>
    <t>B12,B13,B14</t>
  </si>
  <si>
    <t>ASRS_Branch_Error_ManagerOP[2]</t>
  </si>
  <si>
    <t>ASRS_Branch_Error_ManagerOP[3]</t>
  </si>
  <si>
    <t>ASRS_Branch_Error_ManagerOP[4]</t>
  </si>
  <si>
    <t>ASRS_Branch_Error_ManagerOP[5]</t>
  </si>
  <si>
    <t>B15,B16,B17</t>
  </si>
  <si>
    <t>B18</t>
  </si>
  <si>
    <t>B19</t>
  </si>
  <si>
    <t>B20,B21,B22</t>
  </si>
  <si>
    <t>Man_Unwrapping_Branch_Error_ManagerOP[1]</t>
  </si>
  <si>
    <t>Man_Unwrapping_Branch_Error_ManagerOP[2]</t>
  </si>
  <si>
    <t>B155,B156</t>
  </si>
  <si>
    <t>B157</t>
  </si>
  <si>
    <t>B158,B159,B160</t>
  </si>
  <si>
    <t>B161,B162,B163,B164</t>
  </si>
  <si>
    <t>Man_Unwrapping_Branch_Error_ManagerOP[4]</t>
  </si>
  <si>
    <t>Man_Unwrapping_Branch_Error_ManagerOP[3]</t>
  </si>
  <si>
    <t>GTP_Branch_Error_Manager[1]</t>
  </si>
  <si>
    <t>B87,B88,B89,B90,B91,B96</t>
  </si>
  <si>
    <t>B92,B93,B94,B95</t>
  </si>
  <si>
    <t>B1,B165</t>
  </si>
  <si>
    <t>GTP_Branch_Error_Manager[2]</t>
  </si>
  <si>
    <t>GTP_Branch_Error_Manager[3]</t>
  </si>
  <si>
    <t>Outbound_Branch_Error_ManagerOP[1]</t>
  </si>
  <si>
    <t>Outbound_Branch_Error_ManagerOP[2]</t>
  </si>
  <si>
    <t>Outbound_Branch_Error_ManagerOP[3]</t>
  </si>
  <si>
    <t>Outbound_Branch_Error_ManagerOP[4]</t>
  </si>
  <si>
    <t>B2,B116</t>
  </si>
  <si>
    <t>B23,B24,B25</t>
  </si>
  <si>
    <t>B26,B27</t>
  </si>
  <si>
    <t>B28,B29,B30</t>
  </si>
  <si>
    <t>Flammable_Branch_Error_ManagerOP[1]</t>
  </si>
  <si>
    <t>B32,B33,B34</t>
  </si>
  <si>
    <t>CNV_VP_Barcode_Scanner[181]
CNV_VP_Barcode_Scanner[182]
CNV_SP_Barcode_Scanner[181]
CNV_Movimot_Drive[181]</t>
  </si>
  <si>
    <t>Labelling_ScannerOP[12]
CNV_SP_Barcode_Scanner[184]
CNV_Movimot_Drive[184]</t>
  </si>
  <si>
    <t>B35,B36,B37,B117,B118,B119</t>
  </si>
  <si>
    <t>B120,B121,B122,B123,B124,B125,B126</t>
  </si>
  <si>
    <t>B127,B128,B129,B130,B131</t>
  </si>
  <si>
    <t>B132,B133,B134,B135,B136,B137,B138</t>
  </si>
  <si>
    <t>B166,B167,B168,B169,B170,B171</t>
  </si>
  <si>
    <t>B200</t>
  </si>
  <si>
    <t>B201</t>
  </si>
  <si>
    <t>B202</t>
  </si>
  <si>
    <t>B43,B44,B45,B46,B139,B140,B141</t>
  </si>
  <si>
    <t>B47,B48,B49,B50,B142,B143,B144</t>
  </si>
  <si>
    <t>B51,B52,B53,B145,B146</t>
  </si>
  <si>
    <t>B38,B39</t>
  </si>
  <si>
    <t>B40,B41,B42</t>
  </si>
  <si>
    <t xml:space="preserve"> Prod_G_Floor_Main_Panel_Error_Mgr</t>
  </si>
  <si>
    <t>Prod_G_Floor_Branch_Error_Mgr</t>
  </si>
  <si>
    <t>Prod_G_Floor_Branch_Error_MgrOP[X]</t>
  </si>
  <si>
    <t xml:space="preserve"> Prod_G_Floor_Main_Panel_Error_MgrOP</t>
  </si>
  <si>
    <t xml:space="preserve">  Prod_G_Floor_Main_Panel_Error_MgrOP</t>
  </si>
  <si>
    <t>Prod_Cold_G+1_2_Main_Panel_Error_Mgr</t>
  </si>
  <si>
    <t>Prod_Cold_G+1_2_Main_Panel_Error_MgrOP</t>
  </si>
  <si>
    <t>Prod_Cold_G+1_2_Branch_Error_Mgr</t>
  </si>
  <si>
    <t>Prod_Cold_G+1_2_Branch_Error_MgrOP[X]</t>
  </si>
  <si>
    <t>Prod_AMB_G+1_2_Main_Panel_Error_Mgr</t>
  </si>
  <si>
    <t>Prod_AMB_G+1_2_Main_Panel_Error_MgrOP</t>
  </si>
  <si>
    <t>Prod_AMB_G+1_2_Branch_Error_Mgr</t>
  </si>
  <si>
    <t>Prod_AMB_G+1_2_Branch_Error_MgrOP[X]</t>
  </si>
  <si>
    <t>Operator_Desicion_Point</t>
  </si>
  <si>
    <t>Outbound_Main_Panel_Error_Mgr</t>
  </si>
  <si>
    <t>Ground_AMB_Main_Panel_Error_Mgr</t>
  </si>
  <si>
    <t>Ground_AMB_Branch_Error_Manager</t>
  </si>
  <si>
    <t>Ground_AMB_Branch_Error_ManagerOP[1]</t>
  </si>
  <si>
    <t>Ground_AMB_Branch_Error_ManagerOP[2]</t>
  </si>
  <si>
    <t>Ground_AMB_Branch_Error_ManagerOP[3]</t>
  </si>
  <si>
    <t>Ground_AMB_Branch_Error_ManagerOP[4]</t>
  </si>
  <si>
    <t>Ground_AMB_Branch_Error_ManagerOP[5]</t>
  </si>
  <si>
    <t>Ground_Cold_Branch_Error_Manager[1]</t>
  </si>
  <si>
    <t>Ground_Cold_Branch_Error_Manager[2]</t>
  </si>
  <si>
    <t>Ground_Cold_Branch_Error_Manager[3]</t>
  </si>
  <si>
    <t>Ground_Cold_Branch_Error_Manager[4]</t>
  </si>
  <si>
    <t>Ground_Cold_Branch_Error_Manager[5]</t>
  </si>
  <si>
    <t>Ground_Cold_Branch_Error_Manager[6]</t>
  </si>
  <si>
    <t>Prod_G_Floor_Branch_Error_MgrOP[1]</t>
  </si>
  <si>
    <t>Prod_G_Floor_Branch_Error_MgrOP[2]</t>
  </si>
  <si>
    <t>Prod_G_Floor_Branch_Error_MgrOP[3]</t>
  </si>
  <si>
    <t>Prod_G_Floor_Branch_Error_MgrOP[4]</t>
  </si>
  <si>
    <t>B54,B55,B56,B57,B58</t>
  </si>
  <si>
    <t>B61</t>
  </si>
  <si>
    <t>B59,B60,B63,B64</t>
  </si>
  <si>
    <t>B65,B66,B67,B68</t>
  </si>
  <si>
    <t>B69</t>
  </si>
  <si>
    <t>B62</t>
  </si>
  <si>
    <t>Prod_Cold_G+1_2_Branch_Error_MgrOP[1]</t>
  </si>
  <si>
    <t>Prod_Cold_G+1_2_Branch_Error_MgrOP[2]</t>
  </si>
  <si>
    <t>Prod_Cold_G+1_2_Branch_Error_MgrOP[3]</t>
  </si>
  <si>
    <t>Prod_Cold_G+1_2_Branch_Error_MgrOP[4]</t>
  </si>
  <si>
    <t>Prod_Cold_G+1_2_Branch_Error_MgrOP[5]</t>
  </si>
  <si>
    <t>Prod_Cold_G+1_2_Branch_Error_MgrOP[6]</t>
  </si>
  <si>
    <t>B77</t>
  </si>
  <si>
    <t>B78</t>
  </si>
  <si>
    <t>B75,B76,B79,B80</t>
  </si>
  <si>
    <t>B81,B82,B83,B84</t>
  </si>
  <si>
    <t>B85,B86</t>
  </si>
  <si>
    <t>B71,B72,B73,B74</t>
  </si>
  <si>
    <t>Prod_AMB_G+1_2_Branch_Error_MgrOP[1]</t>
  </si>
  <si>
    <t>Prod_AMB_G+1_2_Branch_Error_MgrOP[2]</t>
  </si>
  <si>
    <t>Prod_AMB_G+1_2_Branch_Error_MgrOP[3]</t>
  </si>
  <si>
    <t>Prod_AMB_G+1_2_Branch_Error_MgrOP[4]</t>
  </si>
  <si>
    <t>Prod_AMB_G+1_2_Branch_Error_MgrOP[5]</t>
  </si>
  <si>
    <t>Prod_AMB_G+1_2_Branch_Error_MgrOP[6]</t>
  </si>
  <si>
    <t>ELV16</t>
  </si>
  <si>
    <t>ELV17</t>
  </si>
  <si>
    <t>ELV18</t>
  </si>
  <si>
    <t>ELV19</t>
  </si>
  <si>
    <t>Prod_AMB_G+1_2_Branch_Error_MgrOP[7]</t>
  </si>
  <si>
    <t>Prod_AMB_G+1_2_Branch_Error_MgrOP[8]</t>
  </si>
  <si>
    <t>1. Reamark Updated
2. Same Index no used for Unloaidng Station B158C2 (31) &amp; B90C1 (31), It changed for B90C1 (47)
3. PLC Warning No varibale added for all stations
4. All Zones Branch Error manager added in station manager</t>
  </si>
  <si>
    <t>Raja comments</t>
  </si>
  <si>
    <t xml:space="preserve">No action from mWCS </t>
  </si>
  <si>
    <t>Value 1 is not handled in mWCS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</si>
</sst>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8" x14ac:knownFonts="1">
    <font>
      <sz val="11"/>
      <color theme="1"/>
      <name val="Calibri"/>
      <family val="2"/>
      <scheme val="minor"/>
    </font>
    <font>
      <sz val="11"/>
      <color theme="1"/>
      <name val="Calibri"/>
      <family val="2"/>
      <scheme val="minor"/>
    </font>
    <font>
      <sz val="11"/>
      <color rgb="FF006100"/>
      <name val="Calibri"/>
      <family val="2"/>
      <scheme val="minor"/>
    </font>
    <font>
      <sz val="10"/>
      <name val="Arial"/>
      <family val="2"/>
    </font>
    <font>
      <b/>
      <sz val="10"/>
      <name val="Calibri"/>
      <family val="2"/>
      <scheme val="minor"/>
    </font>
    <font>
      <sz val="10"/>
      <name val="Calibri"/>
      <family val="2"/>
      <scheme val="minor"/>
    </font>
    <font>
      <sz val="11"/>
      <color indexed="8"/>
      <name val="Calibri"/>
      <family val="2"/>
      <charset val="1"/>
    </font>
    <font>
      <sz val="10"/>
      <color indexed="8"/>
      <name val="Calibri"/>
      <family val="2"/>
      <scheme val="minor"/>
    </font>
    <font>
      <b/>
      <sz val="11"/>
      <color rgb="FF000000"/>
      <name val="Calibri"/>
      <family val="2"/>
    </font>
    <font>
      <sz val="11"/>
      <color rgb="FF000000"/>
      <name val="Calibri"/>
      <family val="2"/>
    </font>
    <font>
      <sz val="8"/>
      <name val="Calibri"/>
      <family val="2"/>
      <scheme val="minor"/>
    </font>
    <font>
      <sz val="10"/>
      <color rgb="FFFF0000"/>
      <name val="Calibri"/>
      <family val="2"/>
      <scheme val="minor"/>
    </font>
    <font>
      <sz val="10"/>
      <color theme="1"/>
      <name val="Calibri"/>
      <family val="2"/>
      <scheme val="minor"/>
    </font>
    <font>
      <u/>
      <sz val="11"/>
      <color theme="10"/>
      <name val="Calibri"/>
      <family val="2"/>
      <scheme val="minor"/>
    </font>
    <font>
      <sz val="10"/>
      <color theme="1"/>
      <name val="Calibri"/>
      <family val="2"/>
    </font>
    <font>
      <b/>
      <sz val="10"/>
      <color theme="1"/>
      <name val="Calibri"/>
      <family val="2"/>
    </font>
    <font>
      <b/>
      <sz val="10"/>
      <color rgb="FF7030A0"/>
      <name val="Calibri"/>
      <family val="2"/>
    </font>
    <font>
      <b/>
      <sz val="10"/>
      <color indexed="8"/>
      <name val="Calibri"/>
      <family val="2"/>
      <scheme val="minor"/>
    </font>
    <font>
      <b/>
      <sz val="14"/>
      <color indexed="8"/>
      <name val="Calibri"/>
      <family val="2"/>
      <scheme val="minor"/>
    </font>
    <font>
      <strike/>
      <sz val="10"/>
      <name val="Calibri"/>
      <family val="2"/>
      <scheme val="minor"/>
    </font>
    <font>
      <sz val="10"/>
      <name val="Calibri"/>
      <family val="2"/>
    </font>
    <font>
      <sz val="10"/>
      <color rgb="FFFF0000"/>
      <name val="Calibri"/>
      <family val="2"/>
    </font>
    <font>
      <strike/>
      <sz val="10"/>
      <color indexed="8"/>
      <name val="Calibri"/>
      <family val="2"/>
      <scheme val="minor"/>
    </font>
    <font>
      <strike/>
      <sz val="10"/>
      <color theme="1"/>
      <name val="Calibri"/>
      <family val="2"/>
      <scheme val="minor"/>
    </font>
    <font>
      <sz val="10"/>
      <name val="Arial"/>
      <family val="2"/>
      <charset val="1"/>
    </font>
    <font>
      <sz val="10"/>
      <color rgb="FF7030A0"/>
      <name val="Calibri"/>
      <family val="2"/>
    </font>
    <font>
      <strike/>
      <sz val="10"/>
      <color rgb="FFFF0000"/>
      <name val="Calibri"/>
      <family val="2"/>
      <scheme val="minor"/>
    </font>
    <font>
      <b/>
      <sz val="10"/>
      <color rgb="FF000000"/>
      <name val="Calibri"/>
      <family val="2"/>
      <scheme val="minor"/>
    </font>
    <font>
      <b/>
      <sz val="10"/>
      <name val="Arial"/>
      <family val="2"/>
    </font>
    <font>
      <b/>
      <sz val="10"/>
      <color rgb="FF00B050"/>
      <name val="Calibri"/>
      <family val="2"/>
    </font>
    <font>
      <b/>
      <sz val="10"/>
      <color rgb="FF00B050"/>
      <name val="Calibri"/>
      <family val="2"/>
      <scheme val="minor"/>
    </font>
    <font>
      <b/>
      <sz val="10"/>
      <color theme="1"/>
      <name val="Calibri"/>
      <family val="2"/>
      <scheme val="minor"/>
    </font>
    <font>
      <sz val="10"/>
      <color rgb="FF00B050"/>
      <name val="Calibri"/>
      <family val="2"/>
    </font>
    <font>
      <sz val="10"/>
      <color rgb="FF00B050"/>
      <name val="Calibri"/>
      <family val="2"/>
      <scheme val="minor"/>
    </font>
    <font>
      <strike/>
      <sz val="10"/>
      <name val="Calibri"/>
      <family val="2"/>
    </font>
    <font>
      <strike/>
      <sz val="10"/>
      <color rgb="FF000000"/>
      <name val="Calibri"/>
      <family val="2"/>
      <scheme val="minor"/>
    </font>
    <font>
      <sz val="10"/>
      <color rgb="FF000000"/>
      <name val="Calibri"/>
      <family val="2"/>
      <scheme val="minor"/>
    </font>
    <font>
      <b/>
      <sz val="14"/>
      <color rgb="FF000000"/>
      <name val="Calibri"/>
      <family val="2"/>
      <scheme val="minor"/>
    </font>
    <font>
      <sz val="11"/>
      <color rgb="FF9C0006"/>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trike/>
      <sz val="11"/>
      <color theme="0"/>
      <name val="Calibri"/>
      <family val="2"/>
      <scheme val="minor"/>
    </font>
    <font>
      <strike/>
      <sz val="11"/>
      <color rgb="FF9C0006"/>
      <name val="Calibri"/>
      <family val="2"/>
      <scheme val="minor"/>
    </font>
    <font>
      <b/>
      <strike/>
      <sz val="10"/>
      <color rgb="FF000000"/>
      <name val="Calibri"/>
      <family val="2"/>
      <scheme val="minor"/>
    </font>
    <font>
      <b/>
      <u/>
      <sz val="10"/>
      <name val="Calibri"/>
      <family val="2"/>
      <scheme val="minor"/>
    </font>
    <font>
      <strike/>
      <sz val="11"/>
      <color theme="1"/>
      <name val="Calibri"/>
      <family val="2"/>
      <scheme val="minor"/>
    </font>
    <font>
      <sz val="10"/>
      <color rgb="FF0070C0"/>
      <name val="Arial"/>
      <family val="2"/>
    </font>
  </fonts>
  <fills count="29">
    <fill>
      <patternFill patternType="none"/>
    </fill>
    <fill>
      <patternFill patternType="gray125"/>
    </fill>
    <fill>
      <patternFill patternType="solid">
        <fgColor rgb="FFC6EFCE"/>
      </patternFill>
    </fill>
    <fill>
      <patternFill patternType="solid">
        <fgColor theme="4"/>
        <bgColor theme="4"/>
      </patternFill>
    </fill>
    <fill>
      <patternFill patternType="solid">
        <fgColor theme="0"/>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4"/>
        <bgColor indexed="64"/>
      </patternFill>
    </fill>
    <fill>
      <patternFill patternType="solid">
        <fgColor indexed="22"/>
        <bgColor indexed="31"/>
      </patternFill>
    </fill>
    <fill>
      <patternFill patternType="solid">
        <fgColor rgb="FF00B0F0"/>
        <bgColor indexed="31"/>
      </patternFill>
    </fill>
    <fill>
      <patternFill patternType="solid">
        <fgColor rgb="FF00B050"/>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C0C0C0"/>
        <bgColor rgb="FFCCCCFF"/>
      </patternFill>
    </fill>
    <fill>
      <patternFill patternType="solid">
        <fgColor rgb="FF8EA9DB"/>
        <bgColor rgb="FF000000"/>
      </patternFill>
    </fill>
    <fill>
      <patternFill patternType="solid">
        <fgColor rgb="FFFFFFFF"/>
        <bgColor rgb="FF000000"/>
      </patternFill>
    </fill>
    <fill>
      <patternFill patternType="solid">
        <fgColor theme="0"/>
        <bgColor rgb="FF000000"/>
      </patternFill>
    </fill>
    <fill>
      <patternFill patternType="solid">
        <fgColor rgb="FF92D050"/>
        <bgColor indexed="64"/>
      </patternFill>
    </fill>
    <fill>
      <patternFill patternType="solid">
        <fgColor rgb="FFFF0000"/>
        <bgColor indexed="64"/>
      </patternFill>
    </fill>
    <fill>
      <patternFill patternType="solid">
        <fgColor rgb="FFFFC7CE"/>
      </patternFill>
    </fill>
    <fill>
      <patternFill patternType="solid">
        <fgColor rgb="FFFFFF00"/>
        <bgColor rgb="FF000000"/>
      </patternFill>
    </fill>
    <fill>
      <patternFill patternType="solid">
        <fgColor theme="8" tint="0.59999389629810485"/>
        <bgColor indexed="64"/>
      </patternFill>
    </fill>
    <fill>
      <patternFill patternType="solid">
        <fgColor theme="4"/>
      </patternFill>
    </fill>
    <fill>
      <patternFill patternType="solid">
        <fgColor theme="8"/>
      </patternFill>
    </fill>
    <fill>
      <patternFill patternType="solid">
        <fgColor theme="6" tint="-0.249977111117893"/>
        <bgColor indexed="64"/>
      </patternFill>
    </fill>
    <fill>
      <patternFill patternType="solid">
        <fgColor theme="2" tint="-0.249977111117893"/>
        <bgColor indexed="64"/>
      </patternFill>
    </fill>
    <fill>
      <patternFill patternType="solid">
        <fgColor theme="5" tint="0.79998168889431442"/>
        <bgColor indexed="64"/>
      </patternFill>
    </fill>
  </fills>
  <borders count="20">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top/>
      <bottom/>
      <diagonal/>
    </border>
  </borders>
  <cellStyleXfs count="11">
    <xf numFmtId="0" fontId="0" fillId="0" borderId="0"/>
    <xf numFmtId="0" fontId="2" fillId="2" borderId="0" applyNumberFormat="0" applyBorder="0" applyAlignment="0" applyProtection="0"/>
    <xf numFmtId="0" fontId="3" fillId="0" borderId="0"/>
    <xf numFmtId="0" fontId="6" fillId="0" borderId="0"/>
    <xf numFmtId="0" fontId="1" fillId="0" borderId="0"/>
    <xf numFmtId="0" fontId="13" fillId="0" borderId="0" applyNumberFormat="0" applyFill="0" applyBorder="0" applyAlignment="0" applyProtection="0"/>
    <xf numFmtId="0" fontId="24" fillId="0" borderId="0"/>
    <xf numFmtId="0" fontId="3" fillId="0" borderId="0"/>
    <xf numFmtId="0" fontId="38" fillId="21" borderId="0" applyNumberFormat="0" applyBorder="0" applyAlignment="0" applyProtection="0"/>
    <xf numFmtId="0" fontId="41" fillId="24" borderId="0" applyNumberFormat="0" applyBorder="0" applyAlignment="0" applyProtection="0"/>
    <xf numFmtId="0" fontId="41" fillId="25" borderId="0" applyNumberFormat="0" applyBorder="0" applyAlignment="0" applyProtection="0"/>
  </cellStyleXfs>
  <cellXfs count="306">
    <xf numFmtId="0" fontId="0" fillId="0" borderId="0" xfId="0"/>
    <xf numFmtId="0" fontId="4" fillId="3" borderId="1" xfId="2" applyFont="1" applyFill="1" applyBorder="1" applyAlignment="1">
      <alignment horizontal="center" vertical="center"/>
    </xf>
    <xf numFmtId="0" fontId="4" fillId="3" borderId="2" xfId="2" applyFont="1" applyFill="1" applyBorder="1" applyAlignment="1">
      <alignment horizontal="center" vertical="center"/>
    </xf>
    <xf numFmtId="0" fontId="4" fillId="3" borderId="2" xfId="2" applyFont="1" applyFill="1" applyBorder="1" applyAlignment="1">
      <alignment horizontal="left" vertical="center" wrapText="1"/>
    </xf>
    <xf numFmtId="0" fontId="4" fillId="3" borderId="2" xfId="2" applyFont="1" applyFill="1" applyBorder="1" applyAlignment="1">
      <alignment horizontal="center" vertical="center" wrapText="1"/>
    </xf>
    <xf numFmtId="0" fontId="4" fillId="3" borderId="3" xfId="2" applyFont="1" applyFill="1" applyBorder="1" applyAlignment="1">
      <alignment horizontal="center" vertical="center"/>
    </xf>
    <xf numFmtId="0" fontId="5" fillId="0" borderId="0" xfId="2" applyFont="1"/>
    <xf numFmtId="0" fontId="5" fillId="0" borderId="4" xfId="2" applyFont="1" applyBorder="1" applyAlignment="1">
      <alignment horizontal="center" vertical="center"/>
    </xf>
    <xf numFmtId="0" fontId="5" fillId="0" borderId="5" xfId="2" applyFont="1" applyBorder="1" applyAlignment="1">
      <alignment horizontal="center" vertical="center"/>
    </xf>
    <xf numFmtId="0" fontId="5" fillId="0" borderId="5" xfId="2" applyFont="1" applyBorder="1" applyAlignment="1">
      <alignment horizontal="left" vertical="center" wrapText="1"/>
    </xf>
    <xf numFmtId="0" fontId="5" fillId="0" borderId="5" xfId="2" applyFont="1" applyBorder="1" applyAlignment="1">
      <alignment horizontal="center" vertical="center" wrapText="1"/>
    </xf>
    <xf numFmtId="0" fontId="5" fillId="0" borderId="6" xfId="2" applyFont="1" applyBorder="1" applyAlignment="1">
      <alignment horizontal="center" vertical="center"/>
    </xf>
    <xf numFmtId="0" fontId="5" fillId="4" borderId="7" xfId="2" applyFont="1" applyFill="1" applyBorder="1" applyAlignment="1">
      <alignment vertical="center"/>
    </xf>
    <xf numFmtId="0" fontId="5" fillId="4" borderId="8" xfId="2" applyFont="1" applyFill="1" applyBorder="1" applyAlignment="1">
      <alignment vertical="center"/>
    </xf>
    <xf numFmtId="0" fontId="5" fillId="4" borderId="9" xfId="2" applyFont="1" applyFill="1" applyBorder="1" applyAlignment="1">
      <alignment vertical="center"/>
    </xf>
    <xf numFmtId="0" fontId="5" fillId="4" borderId="10" xfId="2" applyFont="1" applyFill="1" applyBorder="1" applyAlignment="1">
      <alignment horizontal="center" vertical="center"/>
    </xf>
    <xf numFmtId="0" fontId="5" fillId="4" borderId="5" xfId="2" applyFont="1" applyFill="1" applyBorder="1" applyAlignment="1">
      <alignment horizontal="center" vertical="center"/>
    </xf>
    <xf numFmtId="0" fontId="5" fillId="4" borderId="11" xfId="2" applyFont="1" applyFill="1" applyBorder="1" applyAlignment="1">
      <alignment horizontal="center" vertical="center"/>
    </xf>
    <xf numFmtId="0" fontId="5" fillId="4" borderId="12" xfId="2" applyFont="1" applyFill="1" applyBorder="1" applyAlignment="1">
      <alignment horizontal="center" vertical="center" wrapText="1"/>
    </xf>
    <xf numFmtId="0" fontId="5" fillId="4" borderId="13" xfId="2" applyFont="1" applyFill="1" applyBorder="1" applyAlignment="1">
      <alignment horizontal="center" vertical="center"/>
    </xf>
    <xf numFmtId="0" fontId="5" fillId="4" borderId="14" xfId="2" applyFont="1" applyFill="1" applyBorder="1" applyAlignment="1">
      <alignment horizontal="center" vertical="center"/>
    </xf>
    <xf numFmtId="0" fontId="5" fillId="0" borderId="5" xfId="3" applyFont="1" applyBorder="1" applyAlignment="1">
      <alignment horizontal="left" vertical="center" wrapText="1"/>
    </xf>
    <xf numFmtId="0" fontId="7" fillId="0" borderId="5" xfId="3" applyFont="1" applyBorder="1" applyAlignment="1">
      <alignment horizontal="justify" vertical="center" wrapText="1"/>
    </xf>
    <xf numFmtId="0" fontId="5" fillId="0" borderId="4" xfId="1" applyFont="1" applyFill="1" applyBorder="1" applyAlignment="1">
      <alignment horizontal="center" vertical="center"/>
    </xf>
    <xf numFmtId="0" fontId="5" fillId="0" borderId="5" xfId="1" applyFont="1" applyFill="1" applyBorder="1" applyAlignment="1">
      <alignment horizontal="center" vertical="center" wrapText="1"/>
    </xf>
    <xf numFmtId="0" fontId="5" fillId="0" borderId="5" xfId="2" applyFont="1" applyBorder="1" applyAlignment="1">
      <alignment vertical="center" wrapText="1"/>
    </xf>
    <xf numFmtId="0" fontId="5" fillId="0" borderId="16" xfId="2" applyFont="1" applyBorder="1" applyAlignment="1">
      <alignment horizontal="center" vertical="center"/>
    </xf>
    <xf numFmtId="0" fontId="5" fillId="0" borderId="16" xfId="2" applyFont="1" applyBorder="1" applyAlignment="1">
      <alignment horizontal="left" vertical="center" wrapText="1"/>
    </xf>
    <xf numFmtId="0" fontId="5" fillId="0" borderId="16" xfId="2" applyFont="1" applyBorder="1" applyAlignment="1">
      <alignment horizontal="center" vertical="center" wrapText="1"/>
    </xf>
    <xf numFmtId="0" fontId="5" fillId="0" borderId="17" xfId="2" applyFont="1" applyBorder="1" applyAlignment="1">
      <alignment horizontal="center" vertical="center"/>
    </xf>
    <xf numFmtId="0" fontId="5" fillId="0" borderId="0" xfId="2" applyFont="1" applyAlignment="1">
      <alignment horizontal="center" vertical="center"/>
    </xf>
    <xf numFmtId="0" fontId="5" fillId="0" borderId="0" xfId="2" applyFont="1" applyAlignment="1">
      <alignment horizontal="left" vertical="center"/>
    </xf>
    <xf numFmtId="0" fontId="8" fillId="0" borderId="0" xfId="4" applyFont="1" applyAlignment="1">
      <alignment horizontal="center" vertical="top" wrapText="1"/>
    </xf>
    <xf numFmtId="0" fontId="1" fillId="0" borderId="0" xfId="4"/>
    <xf numFmtId="0" fontId="9" fillId="0" borderId="0" xfId="4" applyFont="1" applyAlignment="1">
      <alignment horizontal="center" vertical="center" wrapText="1"/>
    </xf>
    <xf numFmtId="0" fontId="9" fillId="0" borderId="0" xfId="4" applyFont="1" applyAlignment="1">
      <alignment horizontal="left" vertical="center" wrapText="1"/>
    </xf>
    <xf numFmtId="0" fontId="9" fillId="5" borderId="0" xfId="4" applyFont="1" applyFill="1" applyAlignment="1">
      <alignment horizontal="center" vertical="center" wrapText="1"/>
    </xf>
    <xf numFmtId="0" fontId="1" fillId="0" borderId="0" xfId="4" applyAlignment="1">
      <alignment horizontal="center"/>
    </xf>
    <xf numFmtId="0" fontId="8" fillId="0" borderId="0" xfId="4" applyFont="1" applyAlignment="1">
      <alignment horizontal="left" vertical="top" wrapText="1"/>
    </xf>
    <xf numFmtId="0" fontId="9" fillId="5" borderId="0" xfId="4" applyFont="1" applyFill="1" applyAlignment="1">
      <alignment horizontal="left" vertical="center" wrapText="1"/>
    </xf>
    <xf numFmtId="0" fontId="1" fillId="0" borderId="0" xfId="4" applyAlignment="1">
      <alignment horizontal="left"/>
    </xf>
    <xf numFmtId="0" fontId="5" fillId="6" borderId="5" xfId="2" applyFont="1" applyFill="1" applyBorder="1" applyAlignment="1">
      <alignment horizontal="left" vertical="center" wrapText="1"/>
    </xf>
    <xf numFmtId="0" fontId="0" fillId="0" borderId="0" xfId="0" applyAlignment="1">
      <alignment horizontal="center" vertical="center"/>
    </xf>
    <xf numFmtId="0" fontId="11" fillId="0" borderId="5" xfId="2" applyFont="1" applyBorder="1" applyAlignment="1">
      <alignment horizontal="left" vertical="center" wrapText="1"/>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5" xfId="0" applyFont="1" applyBorder="1" applyAlignment="1">
      <alignment horizontal="left" vertical="center" wrapText="1"/>
    </xf>
    <xf numFmtId="0" fontId="5" fillId="0" borderId="5" xfId="0" applyFont="1" applyBorder="1" applyAlignment="1">
      <alignment horizontal="center" vertical="center" wrapText="1"/>
    </xf>
    <xf numFmtId="0" fontId="5" fillId="0" borderId="5" xfId="1" applyFont="1" applyFill="1" applyBorder="1" applyAlignment="1">
      <alignment horizontal="center" vertical="center"/>
    </xf>
    <xf numFmtId="0" fontId="5" fillId="0" borderId="16" xfId="0" applyFont="1" applyBorder="1" applyAlignment="1">
      <alignment horizontal="center" vertical="center" wrapText="1"/>
    </xf>
    <xf numFmtId="0" fontId="5" fillId="0" borderId="15" xfId="0" applyFont="1" applyBorder="1" applyAlignment="1">
      <alignment horizontal="center" vertical="center"/>
    </xf>
    <xf numFmtId="0" fontId="5" fillId="0" borderId="16" xfId="0" applyFont="1" applyBorder="1" applyAlignment="1">
      <alignment horizontal="center" vertical="center"/>
    </xf>
    <xf numFmtId="0" fontId="5" fillId="0" borderId="15" xfId="1" applyFont="1" applyFill="1" applyBorder="1" applyAlignment="1">
      <alignment horizontal="center" vertical="center"/>
    </xf>
    <xf numFmtId="0" fontId="5" fillId="0" borderId="2" xfId="2" applyFont="1" applyBorder="1" applyAlignment="1">
      <alignment horizontal="left" vertical="center" wrapText="1"/>
    </xf>
    <xf numFmtId="0" fontId="11" fillId="0" borderId="4" xfId="2" applyFont="1" applyBorder="1" applyAlignment="1">
      <alignment horizontal="center" vertical="center"/>
    </xf>
    <xf numFmtId="0" fontId="0" fillId="0" borderId="5" xfId="0" applyBorder="1"/>
    <xf numFmtId="0" fontId="0" fillId="0" borderId="5" xfId="0" applyBorder="1" applyAlignment="1">
      <alignment horizontal="center"/>
    </xf>
    <xf numFmtId="0" fontId="0" fillId="0" borderId="5" xfId="0" applyBorder="1" applyAlignment="1">
      <alignment horizontal="center" vertical="center"/>
    </xf>
    <xf numFmtId="0" fontId="0" fillId="7" borderId="5" xfId="0" applyFill="1" applyBorder="1" applyAlignment="1">
      <alignment horizontal="center" vertical="center"/>
    </xf>
    <xf numFmtId="0" fontId="0" fillId="7" borderId="5" xfId="0" applyFill="1" applyBorder="1"/>
    <xf numFmtId="0" fontId="5" fillId="0" borderId="15" xfId="2" applyFont="1" applyBorder="1" applyAlignment="1">
      <alignment horizontal="center" vertical="center"/>
    </xf>
    <xf numFmtId="0" fontId="12" fillId="0" borderId="0" xfId="0" applyFont="1"/>
    <xf numFmtId="0" fontId="12" fillId="7" borderId="5" xfId="0" applyFont="1" applyFill="1" applyBorder="1"/>
    <xf numFmtId="0" fontId="12" fillId="0" borderId="5" xfId="0" applyFont="1" applyBorder="1" applyAlignment="1">
      <alignment horizontal="center" vertical="center"/>
    </xf>
    <xf numFmtId="0" fontId="12" fillId="0" borderId="5" xfId="0" applyFont="1" applyBorder="1"/>
    <xf numFmtId="0" fontId="12" fillId="7" borderId="5" xfId="0" applyFont="1" applyFill="1" applyBorder="1" applyAlignment="1">
      <alignment horizontal="center" vertical="center"/>
    </xf>
    <xf numFmtId="0" fontId="12" fillId="0" borderId="5" xfId="0" applyFont="1" applyBorder="1" applyAlignment="1">
      <alignment horizontal="center"/>
    </xf>
    <xf numFmtId="0" fontId="13" fillId="0" borderId="0" xfId="5"/>
    <xf numFmtId="0" fontId="12" fillId="0" borderId="0" xfId="0" applyFont="1" applyAlignment="1">
      <alignment horizontal="center" vertical="center"/>
    </xf>
    <xf numFmtId="0" fontId="12" fillId="0" borderId="5" xfId="0" applyFont="1" applyBorder="1" applyAlignment="1">
      <alignment horizontal="left" vertical="center"/>
    </xf>
    <xf numFmtId="0" fontId="3" fillId="0" borderId="5" xfId="2" applyBorder="1" applyAlignment="1">
      <alignment horizontal="center" vertical="center"/>
    </xf>
    <xf numFmtId="15" fontId="3" fillId="0" borderId="5" xfId="2" applyNumberFormat="1" applyBorder="1" applyAlignment="1">
      <alignment horizontal="center" vertical="center"/>
    </xf>
    <xf numFmtId="164" fontId="3" fillId="0" borderId="5" xfId="2" applyNumberFormat="1" applyBorder="1" applyAlignment="1">
      <alignment horizontal="center" vertical="center"/>
    </xf>
    <xf numFmtId="0" fontId="3" fillId="0" borderId="5" xfId="2" applyBorder="1" applyAlignment="1">
      <alignment vertical="center" wrapText="1"/>
    </xf>
    <xf numFmtId="0" fontId="3" fillId="0" borderId="5" xfId="2" applyBorder="1" applyAlignment="1">
      <alignment horizontal="left" vertical="center" wrapText="1"/>
    </xf>
    <xf numFmtId="0" fontId="3" fillId="0" borderId="0" xfId="2" applyAlignment="1">
      <alignment vertical="center"/>
    </xf>
    <xf numFmtId="15" fontId="0" fillId="0" borderId="5" xfId="0" applyNumberFormat="1" applyBorder="1" applyAlignment="1">
      <alignment horizontal="center" vertical="center"/>
    </xf>
    <xf numFmtId="0" fontId="0" fillId="0" borderId="0" xfId="0" applyAlignment="1">
      <alignment wrapText="1"/>
    </xf>
    <xf numFmtId="0" fontId="12" fillId="0" borderId="5" xfId="0" applyFont="1" applyBorder="1" applyAlignment="1">
      <alignment horizontal="center" wrapText="1"/>
    </xf>
    <xf numFmtId="0" fontId="31" fillId="14" borderId="5" xfId="0" applyFont="1" applyFill="1" applyBorder="1" applyAlignment="1">
      <alignment horizontal="center" vertical="center" wrapText="1"/>
    </xf>
    <xf numFmtId="0" fontId="0" fillId="0" borderId="0" xfId="0" applyAlignment="1">
      <alignment horizontal="center"/>
    </xf>
    <xf numFmtId="0" fontId="3" fillId="0" borderId="5" xfId="2" applyBorder="1" applyAlignment="1">
      <alignment vertical="center"/>
    </xf>
    <xf numFmtId="0" fontId="5" fillId="10" borderId="5" xfId="2" applyFont="1" applyFill="1" applyBorder="1" applyAlignment="1">
      <alignment horizontal="left" vertical="center" wrapText="1"/>
    </xf>
    <xf numFmtId="0" fontId="17" fillId="8" borderId="5" xfId="3" applyFont="1" applyFill="1" applyBorder="1" applyAlignment="1">
      <alignment horizontal="left" vertical="center" wrapText="1"/>
    </xf>
    <xf numFmtId="0" fontId="11" fillId="0" borderId="15" xfId="2" applyFont="1" applyBorder="1" applyAlignment="1">
      <alignment horizontal="center" vertical="center"/>
    </xf>
    <xf numFmtId="0" fontId="5" fillId="19" borderId="16" xfId="2" applyFont="1" applyFill="1" applyBorder="1" applyAlignment="1">
      <alignment horizontal="left" vertical="center" wrapText="1"/>
    </xf>
    <xf numFmtId="0" fontId="12" fillId="20" borderId="5" xfId="0" applyFont="1" applyFill="1" applyBorder="1" applyAlignment="1">
      <alignment horizontal="left" vertical="center"/>
    </xf>
    <xf numFmtId="0" fontId="11" fillId="5" borderId="5" xfId="2" applyFont="1" applyFill="1" applyBorder="1" applyAlignment="1">
      <alignment horizontal="left" vertical="center" wrapText="1"/>
    </xf>
    <xf numFmtId="0" fontId="5" fillId="0" borderId="18" xfId="2" applyFont="1" applyBorder="1" applyAlignment="1">
      <alignment horizontal="left" vertical="center" wrapText="1"/>
    </xf>
    <xf numFmtId="0" fontId="0" fillId="0" borderId="0" xfId="0" applyAlignment="1">
      <alignment vertical="center"/>
    </xf>
    <xf numFmtId="0" fontId="12" fillId="0" borderId="5" xfId="0" applyFont="1" applyBorder="1" applyAlignment="1">
      <alignment wrapText="1"/>
    </xf>
    <xf numFmtId="0" fontId="5" fillId="0" borderId="5" xfId="2" applyFont="1" applyBorder="1"/>
    <xf numFmtId="0" fontId="26" fillId="0" borderId="5" xfId="2" applyFont="1" applyBorder="1" applyAlignment="1">
      <alignment horizontal="left" vertical="center" wrapText="1"/>
    </xf>
    <xf numFmtId="0" fontId="12" fillId="0" borderId="5" xfId="0" applyFont="1" applyBorder="1" applyAlignment="1">
      <alignment vertical="center"/>
    </xf>
    <xf numFmtId="0" fontId="5" fillId="5" borderId="5" xfId="2" applyFont="1" applyFill="1" applyBorder="1" applyAlignment="1">
      <alignment horizontal="left" vertical="center" wrapText="1"/>
    </xf>
    <xf numFmtId="0" fontId="5" fillId="5" borderId="16" xfId="2" applyFont="1" applyFill="1" applyBorder="1" applyAlignment="1">
      <alignment horizontal="left" vertical="center" wrapText="1"/>
    </xf>
    <xf numFmtId="0" fontId="27" fillId="15" borderId="16" xfId="0" applyFont="1" applyFill="1" applyBorder="1" applyAlignment="1">
      <alignment vertical="center" wrapText="1"/>
    </xf>
    <xf numFmtId="0" fontId="17" fillId="8" borderId="5" xfId="3" applyFont="1" applyFill="1" applyBorder="1" applyAlignment="1">
      <alignment horizontal="center" vertical="center" wrapText="1"/>
    </xf>
    <xf numFmtId="0" fontId="17" fillId="8" borderId="5" xfId="3" applyFont="1" applyFill="1" applyBorder="1" applyAlignment="1">
      <alignment horizontal="justify" vertical="center" wrapText="1"/>
    </xf>
    <xf numFmtId="0" fontId="20" fillId="0" borderId="5" xfId="2" applyFont="1" applyBorder="1" applyAlignment="1">
      <alignment vertical="center" wrapText="1"/>
    </xf>
    <xf numFmtId="0" fontId="5" fillId="0" borderId="5" xfId="2" applyFont="1" applyBorder="1" applyAlignment="1">
      <alignment wrapText="1"/>
    </xf>
    <xf numFmtId="0" fontId="14" fillId="0" borderId="5" xfId="2" applyFont="1" applyBorder="1" applyAlignment="1">
      <alignment vertical="center" wrapText="1"/>
    </xf>
    <xf numFmtId="0" fontId="7" fillId="0" borderId="5" xfId="3" applyFont="1" applyBorder="1" applyAlignment="1">
      <alignment horizontal="left" vertical="center" wrapText="1"/>
    </xf>
    <xf numFmtId="0" fontId="5" fillId="0" borderId="5" xfId="0" applyFont="1" applyBorder="1" applyAlignment="1">
      <alignment vertical="center" wrapText="1"/>
    </xf>
    <xf numFmtId="0" fontId="5" fillId="0" borderId="16" xfId="2" applyFont="1" applyBorder="1" applyAlignment="1">
      <alignment vertical="center" wrapText="1"/>
    </xf>
    <xf numFmtId="0" fontId="5" fillId="11" borderId="5" xfId="2" applyFont="1" applyFill="1" applyBorder="1" applyAlignment="1">
      <alignment vertical="center" wrapText="1"/>
    </xf>
    <xf numFmtId="0" fontId="20" fillId="0" borderId="5" xfId="2" applyFont="1" applyBorder="1" applyAlignment="1">
      <alignment horizontal="left" vertical="center" wrapText="1"/>
    </xf>
    <xf numFmtId="0" fontId="5" fillId="0" borderId="5" xfId="2" applyFont="1" applyBorder="1" applyAlignment="1">
      <alignment horizontal="left" wrapText="1"/>
    </xf>
    <xf numFmtId="0" fontId="36" fillId="0" borderId="16" xfId="0" applyFont="1" applyBorder="1" applyAlignment="1">
      <alignment horizontal="left" vertical="center" wrapText="1"/>
    </xf>
    <xf numFmtId="0" fontId="36" fillId="0" borderId="18" xfId="0" applyFont="1" applyBorder="1" applyAlignment="1">
      <alignment horizontal="left" vertical="center" wrapText="1"/>
    </xf>
    <xf numFmtId="0" fontId="36" fillId="0" borderId="2" xfId="0" applyFont="1" applyBorder="1" applyAlignment="1">
      <alignment horizontal="left" vertical="center" wrapText="1"/>
    </xf>
    <xf numFmtId="0" fontId="5" fillId="0" borderId="16" xfId="0" applyFont="1" applyBorder="1" applyAlignment="1">
      <alignment horizontal="left" wrapText="1"/>
    </xf>
    <xf numFmtId="0" fontId="5" fillId="0" borderId="18" xfId="0" applyFont="1" applyBorder="1" applyAlignment="1">
      <alignment horizontal="left" wrapText="1"/>
    </xf>
    <xf numFmtId="0" fontId="5" fillId="0" borderId="2" xfId="0" applyFont="1" applyBorder="1" applyAlignment="1">
      <alignment horizontal="left" wrapText="1"/>
    </xf>
    <xf numFmtId="0" fontId="27" fillId="15" borderId="16" xfId="0" applyFont="1" applyFill="1" applyBorder="1" applyAlignment="1">
      <alignment horizontal="left" vertical="center" wrapText="1"/>
    </xf>
    <xf numFmtId="0" fontId="36" fillId="0" borderId="5" xfId="0" applyFont="1" applyBorder="1" applyAlignment="1">
      <alignment horizontal="left" vertical="center" wrapText="1"/>
    </xf>
    <xf numFmtId="0" fontId="4" fillId="15" borderId="16" xfId="0" applyFont="1" applyFill="1" applyBorder="1" applyAlignment="1">
      <alignment horizontal="left" vertical="center" wrapText="1"/>
    </xf>
    <xf numFmtId="0" fontId="5" fillId="0" borderId="16" xfId="0" applyFont="1" applyBorder="1" applyAlignment="1">
      <alignment horizontal="left" vertical="center" wrapText="1"/>
    </xf>
    <xf numFmtId="0" fontId="5" fillId="0" borderId="18" xfId="0" applyFont="1" applyBorder="1" applyAlignment="1">
      <alignment horizontal="left" vertical="center" wrapText="1"/>
    </xf>
    <xf numFmtId="0" fontId="5" fillId="0" borderId="2" xfId="0" applyFont="1" applyBorder="1" applyAlignment="1">
      <alignment horizontal="left" vertical="center" wrapText="1"/>
    </xf>
    <xf numFmtId="0" fontId="27" fillId="15" borderId="18" xfId="0" applyFont="1" applyFill="1" applyBorder="1" applyAlignment="1">
      <alignment horizontal="left" vertical="center" wrapText="1"/>
    </xf>
    <xf numFmtId="0" fontId="27" fillId="15" borderId="2" xfId="0" applyFont="1" applyFill="1" applyBorder="1" applyAlignment="1">
      <alignment horizontal="left" vertical="center" wrapText="1"/>
    </xf>
    <xf numFmtId="0" fontId="5" fillId="0" borderId="0" xfId="2" applyFont="1" applyAlignment="1">
      <alignment horizontal="left" vertical="center" wrapText="1"/>
    </xf>
    <xf numFmtId="0" fontId="5" fillId="4" borderId="5" xfId="2" applyFont="1" applyFill="1" applyBorder="1" applyAlignment="1">
      <alignment horizontal="left" vertical="center" wrapText="1"/>
    </xf>
    <xf numFmtId="0" fontId="12" fillId="4" borderId="5" xfId="2" applyFont="1" applyFill="1" applyBorder="1" applyAlignment="1">
      <alignment horizontal="left" vertical="center" wrapText="1"/>
    </xf>
    <xf numFmtId="0" fontId="12" fillId="0" borderId="5" xfId="2" applyFont="1" applyBorder="1" applyAlignment="1">
      <alignment horizontal="left" vertical="center" wrapText="1"/>
    </xf>
    <xf numFmtId="0" fontId="5" fillId="4" borderId="2" xfId="2" applyFont="1" applyFill="1" applyBorder="1" applyAlignment="1">
      <alignment horizontal="left" vertical="center" wrapText="1"/>
    </xf>
    <xf numFmtId="0" fontId="5" fillId="17" borderId="16" xfId="0" applyFont="1" applyFill="1" applyBorder="1" applyAlignment="1">
      <alignment horizontal="left" vertical="center" wrapText="1"/>
    </xf>
    <xf numFmtId="0" fontId="5" fillId="5" borderId="0" xfId="2" applyFont="1" applyFill="1"/>
    <xf numFmtId="0" fontId="5" fillId="0" borderId="5" xfId="3" applyFont="1" applyBorder="1" applyAlignment="1">
      <alignment horizontal="justify" vertical="center" wrapText="1"/>
    </xf>
    <xf numFmtId="0" fontId="12" fillId="0" borderId="5" xfId="2" applyFont="1" applyBorder="1" applyAlignment="1">
      <alignment horizontal="center" vertical="center" wrapText="1"/>
    </xf>
    <xf numFmtId="0" fontId="40" fillId="0" borderId="5" xfId="0" applyFont="1" applyBorder="1" applyAlignment="1">
      <alignment vertical="center"/>
    </xf>
    <xf numFmtId="0" fontId="0" fillId="0" borderId="5" xfId="0" applyBorder="1" applyAlignment="1">
      <alignment vertical="center"/>
    </xf>
    <xf numFmtId="0" fontId="0" fillId="0" borderId="5" xfId="0" applyBorder="1" applyAlignment="1">
      <alignment vertical="center" wrapText="1"/>
    </xf>
    <xf numFmtId="0" fontId="39" fillId="5" borderId="5" xfId="0" applyFont="1" applyFill="1" applyBorder="1" applyAlignment="1">
      <alignment vertical="center"/>
    </xf>
    <xf numFmtId="0" fontId="0" fillId="19" borderId="5" xfId="0" applyFill="1" applyBorder="1" applyAlignment="1">
      <alignment vertical="center"/>
    </xf>
    <xf numFmtId="0" fontId="40" fillId="23" borderId="5" xfId="0" applyFont="1" applyFill="1" applyBorder="1" applyAlignment="1">
      <alignment horizontal="center" vertical="center"/>
    </xf>
    <xf numFmtId="0" fontId="40" fillId="0" borderId="0" xfId="0" applyFont="1" applyAlignment="1">
      <alignment horizontal="center" vertical="center"/>
    </xf>
    <xf numFmtId="0" fontId="0" fillId="5" borderId="5" xfId="0" applyFill="1" applyBorder="1" applyAlignment="1">
      <alignment vertical="center" wrapText="1"/>
    </xf>
    <xf numFmtId="0" fontId="0" fillId="5" borderId="5" xfId="0" applyFill="1" applyBorder="1" applyAlignment="1">
      <alignment vertical="center"/>
    </xf>
    <xf numFmtId="0" fontId="40" fillId="0" borderId="0" xfId="0" applyFont="1" applyAlignment="1">
      <alignment vertical="center"/>
    </xf>
    <xf numFmtId="0" fontId="28" fillId="13" borderId="5" xfId="2" applyFont="1" applyFill="1" applyBorder="1" applyAlignment="1">
      <alignment horizontal="center" vertical="center"/>
    </xf>
    <xf numFmtId="0" fontId="28" fillId="13" borderId="5" xfId="2" applyFont="1" applyFill="1" applyBorder="1" applyAlignment="1">
      <alignment vertical="center"/>
    </xf>
    <xf numFmtId="0" fontId="3" fillId="0" borderId="5" xfId="2" quotePrefix="1" applyBorder="1" applyAlignment="1">
      <alignment horizontal="center" vertical="center"/>
    </xf>
    <xf numFmtId="0" fontId="3" fillId="0" borderId="5" xfId="2" applyBorder="1" applyAlignment="1">
      <alignment horizontal="left" vertical="center"/>
    </xf>
    <xf numFmtId="0" fontId="3" fillId="0" borderId="0" xfId="2" applyAlignment="1">
      <alignment horizontal="center" vertical="center"/>
    </xf>
    <xf numFmtId="0" fontId="41" fillId="25" borderId="5" xfId="10" applyBorder="1" applyAlignment="1">
      <alignment horizontal="center" vertical="center" wrapText="1"/>
    </xf>
    <xf numFmtId="0" fontId="41" fillId="24" borderId="5" xfId="9" applyBorder="1" applyAlignment="1">
      <alignment horizontal="center" vertical="center" wrapText="1"/>
    </xf>
    <xf numFmtId="0" fontId="19" fillId="0" borderId="5" xfId="2" applyFont="1" applyBorder="1" applyAlignment="1">
      <alignment horizontal="left" vertical="center" wrapText="1"/>
    </xf>
    <xf numFmtId="0" fontId="41" fillId="25" borderId="5" xfId="10" applyBorder="1" applyAlignment="1">
      <alignment horizontal="left" vertical="center" wrapText="1"/>
    </xf>
    <xf numFmtId="0" fontId="42" fillId="25" borderId="5" xfId="10" applyFont="1" applyBorder="1" applyAlignment="1">
      <alignment horizontal="left" vertical="center" wrapText="1"/>
    </xf>
    <xf numFmtId="0" fontId="43" fillId="21" borderId="5" xfId="8" applyFont="1" applyBorder="1" applyAlignment="1">
      <alignment horizontal="left" vertical="center" wrapText="1"/>
    </xf>
    <xf numFmtId="0" fontId="5" fillId="0" borderId="6" xfId="2" applyFont="1" applyBorder="1" applyAlignment="1">
      <alignment horizontal="left" vertical="center" wrapText="1"/>
    </xf>
    <xf numFmtId="0" fontId="7" fillId="4" borderId="5" xfId="2" applyFont="1" applyFill="1" applyBorder="1" applyAlignment="1">
      <alignment vertical="center" wrapText="1"/>
    </xf>
    <xf numFmtId="0" fontId="19" fillId="0" borderId="16" xfId="2" applyFont="1" applyBorder="1" applyAlignment="1">
      <alignment horizontal="center" vertical="center"/>
    </xf>
    <xf numFmtId="0" fontId="19" fillId="0" borderId="5" xfId="0" applyFont="1" applyBorder="1" applyAlignment="1">
      <alignment horizontal="center" vertical="center"/>
    </xf>
    <xf numFmtId="0" fontId="19" fillId="0" borderId="16" xfId="2" applyFont="1" applyBorder="1" applyAlignment="1">
      <alignment horizontal="left" vertical="center" wrapText="1"/>
    </xf>
    <xf numFmtId="0" fontId="19" fillId="0" borderId="16" xfId="2" applyFont="1" applyBorder="1" applyAlignment="1">
      <alignment horizontal="center" vertical="center" wrapText="1"/>
    </xf>
    <xf numFmtId="0" fontId="19" fillId="0" borderId="5" xfId="2" applyFont="1" applyBorder="1" applyAlignment="1">
      <alignment vertical="center" wrapText="1"/>
    </xf>
    <xf numFmtId="0" fontId="18" fillId="9" borderId="5" xfId="3" applyFont="1" applyFill="1" applyBorder="1" applyAlignment="1">
      <alignment horizontal="left" vertical="center" wrapText="1"/>
    </xf>
    <xf numFmtId="0" fontId="5" fillId="0" borderId="0" xfId="2" applyFont="1" applyAlignment="1">
      <alignment horizontal="justify" vertical="center" wrapText="1"/>
    </xf>
    <xf numFmtId="0" fontId="7" fillId="0" borderId="5" xfId="3" applyFont="1" applyBorder="1" applyAlignment="1">
      <alignment horizontal="center" vertical="center" wrapText="1"/>
    </xf>
    <xf numFmtId="0" fontId="7" fillId="0" borderId="0" xfId="2" applyFont="1" applyAlignment="1">
      <alignment vertical="center" wrapText="1"/>
    </xf>
    <xf numFmtId="0" fontId="7" fillId="0" borderId="0" xfId="3" applyFont="1" applyAlignment="1">
      <alignment horizontal="justify" vertical="center" wrapText="1"/>
    </xf>
    <xf numFmtId="0" fontId="22" fillId="0" borderId="5" xfId="3" applyFont="1" applyBorder="1" applyAlignment="1">
      <alignment horizontal="justify" vertical="center" wrapText="1"/>
    </xf>
    <xf numFmtId="0" fontId="5" fillId="0" borderId="5" xfId="2" quotePrefix="1" applyFont="1" applyBorder="1" applyAlignment="1">
      <alignment vertical="center" wrapText="1"/>
    </xf>
    <xf numFmtId="0" fontId="5" fillId="0" borderId="5" xfId="3" applyFont="1" applyBorder="1" applyAlignment="1">
      <alignment horizontal="center" vertical="center" wrapText="1"/>
    </xf>
    <xf numFmtId="0" fontId="12" fillId="0" borderId="5" xfId="2" applyFont="1" applyBorder="1" applyAlignment="1">
      <alignment vertical="center" wrapText="1"/>
    </xf>
    <xf numFmtId="0" fontId="12" fillId="0" borderId="5" xfId="2" applyFont="1" applyBorder="1" applyAlignment="1">
      <alignment horizontal="justify" vertical="center" wrapText="1"/>
    </xf>
    <xf numFmtId="0" fontId="12" fillId="0" borderId="5" xfId="3" applyFont="1" applyBorder="1" applyAlignment="1">
      <alignment horizontal="left" vertical="center" wrapText="1"/>
    </xf>
    <xf numFmtId="0" fontId="12" fillId="0" borderId="5" xfId="3" applyFont="1" applyBorder="1" applyAlignment="1">
      <alignment horizontal="justify" vertical="center" wrapText="1"/>
    </xf>
    <xf numFmtId="0" fontId="12" fillId="0" borderId="5" xfId="3" applyFont="1" applyBorder="1" applyAlignment="1">
      <alignment horizontal="center" vertical="center" wrapText="1"/>
    </xf>
    <xf numFmtId="0" fontId="12" fillId="0" borderId="0" xfId="2" applyFont="1" applyAlignment="1">
      <alignment horizontal="justify" vertical="center" wrapText="1"/>
    </xf>
    <xf numFmtId="0" fontId="5" fillId="0" borderId="5" xfId="2" applyFont="1" applyBorder="1" applyAlignment="1">
      <alignment horizontal="justify" vertical="center" wrapText="1"/>
    </xf>
    <xf numFmtId="0" fontId="5" fillId="0" borderId="5" xfId="6" applyFont="1" applyBorder="1" applyAlignment="1">
      <alignment vertical="center" wrapText="1"/>
    </xf>
    <xf numFmtId="0" fontId="5" fillId="0" borderId="0" xfId="6" applyFont="1" applyAlignment="1">
      <alignment wrapText="1"/>
    </xf>
    <xf numFmtId="0" fontId="5" fillId="10" borderId="5" xfId="3" applyFont="1" applyFill="1" applyBorder="1" applyAlignment="1">
      <alignment horizontal="left" vertical="center" wrapText="1"/>
    </xf>
    <xf numFmtId="0" fontId="5" fillId="12" borderId="5" xfId="2" applyFont="1" applyFill="1" applyBorder="1" applyAlignment="1">
      <alignment vertical="center" wrapText="1"/>
    </xf>
    <xf numFmtId="0" fontId="5" fillId="0" borderId="0" xfId="2" applyFont="1" applyAlignment="1">
      <alignment vertical="center" wrapText="1"/>
    </xf>
    <xf numFmtId="0" fontId="7" fillId="10" borderId="5" xfId="3" applyFont="1" applyFill="1" applyBorder="1" applyAlignment="1">
      <alignment horizontal="left" vertical="center" wrapText="1"/>
    </xf>
    <xf numFmtId="0" fontId="11" fillId="0" borderId="5" xfId="2" quotePrefix="1" applyFont="1" applyBorder="1" applyAlignment="1">
      <alignment vertical="center" wrapText="1"/>
    </xf>
    <xf numFmtId="0" fontId="5" fillId="0" borderId="0" xfId="2" applyFont="1" applyAlignment="1">
      <alignment wrapText="1"/>
    </xf>
    <xf numFmtId="0" fontId="23" fillId="0" borderId="5" xfId="2" applyFont="1" applyBorder="1" applyAlignment="1">
      <alignment vertical="center" wrapText="1"/>
    </xf>
    <xf numFmtId="0" fontId="5" fillId="0" borderId="0" xfId="0" applyFont="1" applyAlignment="1">
      <alignment vertical="center" wrapText="1"/>
    </xf>
    <xf numFmtId="0" fontId="5" fillId="0" borderId="0" xfId="0" applyFont="1" applyAlignment="1">
      <alignment wrapText="1"/>
    </xf>
    <xf numFmtId="0" fontId="7" fillId="0" borderId="2" xfId="3" applyFont="1" applyBorder="1" applyAlignment="1">
      <alignment horizontal="left" vertical="center" wrapText="1"/>
    </xf>
    <xf numFmtId="0" fontId="7" fillId="0" borderId="2" xfId="3" applyFont="1" applyBorder="1" applyAlignment="1">
      <alignment horizontal="justify" vertical="center" wrapText="1"/>
    </xf>
    <xf numFmtId="0" fontId="7" fillId="0" borderId="2" xfId="3" applyFont="1" applyBorder="1" applyAlignment="1">
      <alignment horizontal="center" vertical="center" wrapText="1"/>
    </xf>
    <xf numFmtId="0" fontId="5" fillId="0" borderId="2" xfId="2" applyFont="1" applyBorder="1" applyAlignment="1">
      <alignment vertical="center" wrapText="1"/>
    </xf>
    <xf numFmtId="0" fontId="19" fillId="11" borderId="5" xfId="2" applyFont="1" applyFill="1" applyBorder="1" applyAlignment="1">
      <alignment vertical="center" wrapText="1"/>
    </xf>
    <xf numFmtId="0" fontId="37" fillId="22" borderId="16" xfId="0" applyFont="1" applyFill="1" applyBorder="1" applyAlignment="1">
      <alignment vertical="center" wrapText="1"/>
    </xf>
    <xf numFmtId="0" fontId="27" fillId="15" borderId="16" xfId="0" applyFont="1" applyFill="1" applyBorder="1" applyAlignment="1">
      <alignment horizontal="justify" vertical="center" wrapText="1"/>
    </xf>
    <xf numFmtId="0" fontId="27" fillId="15" borderId="16" xfId="0" applyFont="1" applyFill="1" applyBorder="1" applyAlignment="1">
      <alignment horizontal="center" vertical="center" wrapText="1"/>
    </xf>
    <xf numFmtId="0" fontId="36" fillId="18" borderId="16" xfId="0" applyFont="1" applyFill="1" applyBorder="1" applyAlignment="1">
      <alignment horizontal="left" vertical="center" wrapText="1"/>
    </xf>
    <xf numFmtId="0" fontId="36" fillId="0" borderId="5" xfId="0" applyFont="1" applyBorder="1" applyAlignment="1">
      <alignment vertical="center" wrapText="1"/>
    </xf>
    <xf numFmtId="0" fontId="36" fillId="18" borderId="5" xfId="0" applyFont="1" applyFill="1" applyBorder="1" applyAlignment="1">
      <alignment horizontal="left" vertical="center" wrapText="1"/>
    </xf>
    <xf numFmtId="0" fontId="37" fillId="16" borderId="16" xfId="0" applyFont="1" applyFill="1" applyBorder="1" applyAlignment="1">
      <alignment horizontal="left" vertical="center" wrapText="1"/>
    </xf>
    <xf numFmtId="0" fontId="4" fillId="15" borderId="16" xfId="0" applyFont="1" applyFill="1" applyBorder="1" applyAlignment="1">
      <alignment horizontal="justify" vertical="center" wrapText="1"/>
    </xf>
    <xf numFmtId="0" fontId="4" fillId="15" borderId="16" xfId="0" applyFont="1" applyFill="1" applyBorder="1" applyAlignment="1">
      <alignment horizontal="center" vertical="center" wrapText="1"/>
    </xf>
    <xf numFmtId="0" fontId="5" fillId="0" borderId="19" xfId="0" applyFont="1" applyBorder="1" applyAlignment="1">
      <alignment vertical="center" wrapText="1"/>
    </xf>
    <xf numFmtId="0" fontId="5" fillId="0" borderId="19" xfId="0" applyFont="1" applyBorder="1" applyAlignment="1">
      <alignment horizontal="justify" vertical="center" wrapText="1"/>
    </xf>
    <xf numFmtId="0" fontId="5" fillId="0" borderId="0" xfId="0" applyFont="1" applyAlignment="1">
      <alignment horizontal="justify" vertical="center" wrapText="1"/>
    </xf>
    <xf numFmtId="0" fontId="37" fillId="22" borderId="16" xfId="0" applyFont="1" applyFill="1" applyBorder="1" applyAlignment="1">
      <alignment horizontal="left" vertical="center" wrapText="1"/>
    </xf>
    <xf numFmtId="0" fontId="19" fillId="4" borderId="5" xfId="2" applyFont="1" applyFill="1" applyBorder="1" applyAlignment="1">
      <alignment horizontal="left" vertical="center" wrapText="1"/>
    </xf>
    <xf numFmtId="0" fontId="22" fillId="0" borderId="5" xfId="3" applyFont="1" applyBorder="1" applyAlignment="1">
      <alignment horizontal="left" vertical="center" wrapText="1"/>
    </xf>
    <xf numFmtId="0" fontId="22" fillId="0" borderId="5" xfId="3" applyFont="1" applyBorder="1" applyAlignment="1">
      <alignment horizontal="center" vertical="center" wrapText="1"/>
    </xf>
    <xf numFmtId="0" fontId="22" fillId="4" borderId="5" xfId="2" applyFont="1" applyFill="1" applyBorder="1" applyAlignment="1">
      <alignment vertical="center" wrapText="1"/>
    </xf>
    <xf numFmtId="0" fontId="22" fillId="0" borderId="0" xfId="2" applyFont="1" applyAlignment="1">
      <alignment vertical="center" wrapText="1"/>
    </xf>
    <xf numFmtId="0" fontId="19" fillId="0" borderId="5" xfId="2" applyFont="1" applyBorder="1" applyAlignment="1">
      <alignment horizontal="center" vertical="center" wrapText="1"/>
    </xf>
    <xf numFmtId="0" fontId="19" fillId="0" borderId="5" xfId="0" applyFont="1" applyBorder="1" applyAlignment="1">
      <alignment horizontal="center" vertical="center" wrapText="1"/>
    </xf>
    <xf numFmtId="0" fontId="19" fillId="0" borderId="6" xfId="2" applyFont="1" applyBorder="1" applyAlignment="1">
      <alignment horizontal="center" vertical="center"/>
    </xf>
    <xf numFmtId="0" fontId="46" fillId="0" borderId="0" xfId="0" applyFont="1"/>
    <xf numFmtId="0" fontId="46" fillId="7" borderId="5" xfId="0" applyFont="1" applyFill="1" applyBorder="1"/>
    <xf numFmtId="0" fontId="46" fillId="0" borderId="5" xfId="0" applyFont="1" applyBorder="1"/>
    <xf numFmtId="0" fontId="19" fillId="0" borderId="0" xfId="2" applyFont="1"/>
    <xf numFmtId="0" fontId="5" fillId="5" borderId="5" xfId="2" applyFont="1" applyFill="1" applyBorder="1" applyAlignment="1">
      <alignment horizontal="center" vertical="center"/>
    </xf>
    <xf numFmtId="0" fontId="42" fillId="26" borderId="5" xfId="10" applyFont="1" applyFill="1" applyBorder="1" applyAlignment="1">
      <alignment horizontal="left" vertical="center" wrapText="1"/>
    </xf>
    <xf numFmtId="0" fontId="5" fillId="26" borderId="5" xfId="2" applyFont="1" applyFill="1" applyBorder="1" applyAlignment="1">
      <alignment horizontal="center" vertical="center" wrapText="1"/>
    </xf>
    <xf numFmtId="0" fontId="4" fillId="3" borderId="3" xfId="2" applyFont="1" applyFill="1" applyBorder="1" applyAlignment="1">
      <alignment horizontal="center" vertical="center" wrapText="1"/>
    </xf>
    <xf numFmtId="0" fontId="5" fillId="0" borderId="6" xfId="2" applyFont="1" applyBorder="1" applyAlignment="1">
      <alignment horizontal="center" vertical="center" wrapText="1"/>
    </xf>
    <xf numFmtId="0" fontId="5" fillId="0" borderId="17" xfId="2" applyFont="1" applyBorder="1" applyAlignment="1">
      <alignment horizontal="center" vertical="center" wrapText="1"/>
    </xf>
    <xf numFmtId="0" fontId="5" fillId="0" borderId="0" xfId="2" applyFont="1" applyAlignment="1">
      <alignment horizontal="center" vertical="center" wrapText="1"/>
    </xf>
    <xf numFmtId="0" fontId="19" fillId="26" borderId="5" xfId="2" applyFont="1" applyFill="1" applyBorder="1" applyAlignment="1">
      <alignment horizontal="left" vertical="center" wrapText="1"/>
    </xf>
    <xf numFmtId="0" fontId="5" fillId="26" borderId="5" xfId="2" applyFont="1" applyFill="1" applyBorder="1" applyAlignment="1">
      <alignment horizontal="left" vertical="center" wrapText="1"/>
    </xf>
    <xf numFmtId="0" fontId="5" fillId="26" borderId="16" xfId="2" applyFont="1" applyFill="1" applyBorder="1" applyAlignment="1">
      <alignment horizontal="center" vertical="center" wrapText="1"/>
    </xf>
    <xf numFmtId="0" fontId="5" fillId="12" borderId="5" xfId="2" applyFont="1" applyFill="1" applyBorder="1" applyAlignment="1">
      <alignment horizontal="left" vertical="center" wrapText="1"/>
    </xf>
    <xf numFmtId="0" fontId="5" fillId="12" borderId="16" xfId="2" applyFont="1" applyFill="1" applyBorder="1" applyAlignment="1">
      <alignment horizontal="left" vertical="center" wrapText="1"/>
    </xf>
    <xf numFmtId="0" fontId="19" fillId="12" borderId="5" xfId="2" applyFont="1" applyFill="1" applyBorder="1" applyAlignment="1">
      <alignment horizontal="left" vertical="center" wrapText="1"/>
    </xf>
    <xf numFmtId="0" fontId="5" fillId="12" borderId="5" xfId="2" applyFont="1" applyFill="1" applyBorder="1" applyAlignment="1">
      <alignment horizontal="center" vertical="center" wrapText="1"/>
    </xf>
    <xf numFmtId="0" fontId="5" fillId="12" borderId="5" xfId="0" applyFont="1" applyFill="1" applyBorder="1" applyAlignment="1">
      <alignment horizontal="center" vertical="center" wrapText="1"/>
    </xf>
    <xf numFmtId="0" fontId="19" fillId="12" borderId="16" xfId="2" applyFont="1" applyFill="1" applyBorder="1" applyAlignment="1">
      <alignment horizontal="left" vertical="center" wrapText="1"/>
    </xf>
    <xf numFmtId="0" fontId="19" fillId="27" borderId="5" xfId="0" applyFont="1" applyFill="1" applyBorder="1" applyAlignment="1">
      <alignment horizontal="left" vertical="center" wrapText="1"/>
    </xf>
    <xf numFmtId="0" fontId="3" fillId="0" borderId="5" xfId="2" applyBorder="1" applyAlignment="1">
      <alignment horizontal="center" vertical="center" wrapText="1"/>
    </xf>
    <xf numFmtId="0" fontId="0" fillId="0" borderId="0" xfId="0" pivotButton="1"/>
    <xf numFmtId="0" fontId="3" fillId="0" borderId="0" xfId="2" applyAlignment="1">
      <alignment vertical="center" wrapText="1"/>
    </xf>
    <xf numFmtId="15" fontId="0" fillId="0" borderId="0" xfId="0" applyNumberFormat="1" applyAlignment="1">
      <alignment horizontal="left"/>
    </xf>
    <xf numFmtId="0" fontId="3" fillId="0" borderId="0" xfId="2" applyAlignment="1">
      <alignment horizontal="left" vertical="center"/>
    </xf>
    <xf numFmtId="47" fontId="5" fillId="0" borderId="0" xfId="2" applyNumberFormat="1" applyFont="1"/>
    <xf numFmtId="0" fontId="5" fillId="17" borderId="18" xfId="0" applyFont="1" applyFill="1" applyBorder="1" applyAlignment="1">
      <alignment horizontal="left" vertical="center" wrapText="1"/>
    </xf>
    <xf numFmtId="0" fontId="5" fillId="17" borderId="2" xfId="0" applyFont="1" applyFill="1" applyBorder="1" applyAlignment="1">
      <alignment horizontal="left" vertical="center" wrapText="1"/>
    </xf>
    <xf numFmtId="0" fontId="5" fillId="0" borderId="18" xfId="0" applyFont="1" applyBorder="1" applyAlignment="1">
      <alignment vertical="center" wrapText="1"/>
    </xf>
    <xf numFmtId="0" fontId="17" fillId="8" borderId="0" xfId="3" applyFont="1" applyFill="1" applyAlignment="1">
      <alignment horizontal="left" vertical="center" wrapText="1"/>
    </xf>
    <xf numFmtId="0" fontId="37" fillId="16" borderId="0" xfId="0" applyFont="1" applyFill="1" applyAlignment="1">
      <alignment horizontal="left" vertical="center" wrapText="1"/>
    </xf>
    <xf numFmtId="0" fontId="27" fillId="15" borderId="0" xfId="0" applyFont="1" applyFill="1" applyAlignment="1">
      <alignment horizontal="justify" vertical="center" wrapText="1"/>
    </xf>
    <xf numFmtId="0" fontId="27" fillId="15" borderId="0" xfId="0" applyFont="1" applyFill="1" applyAlignment="1">
      <alignment horizontal="center" vertical="center" wrapText="1"/>
    </xf>
    <xf numFmtId="0" fontId="27" fillId="15" borderId="0" xfId="0" applyFont="1" applyFill="1" applyAlignment="1">
      <alignment horizontal="left" vertical="center" wrapText="1"/>
    </xf>
    <xf numFmtId="0" fontId="5" fillId="17" borderId="0" xfId="0" applyFont="1" applyFill="1" applyAlignment="1">
      <alignment horizontal="left" vertical="center" wrapText="1"/>
    </xf>
    <xf numFmtId="0" fontId="5" fillId="0" borderId="18" xfId="2" applyFont="1" applyBorder="1" applyAlignment="1">
      <alignment horizontal="center" vertical="center" wrapText="1"/>
    </xf>
    <xf numFmtId="0" fontId="0" fillId="0" borderId="5" xfId="0" applyBorder="1" applyAlignment="1">
      <alignment horizontal="left" vertical="center" wrapText="1"/>
    </xf>
    <xf numFmtId="0" fontId="5" fillId="0" borderId="4" xfId="2" applyFont="1" applyBorder="1" applyAlignment="1">
      <alignment horizontal="center" vertical="center" wrapText="1"/>
    </xf>
    <xf numFmtId="0" fontId="4" fillId="3" borderId="2" xfId="2" applyFont="1" applyFill="1" applyBorder="1" applyAlignment="1">
      <alignment horizontal="left" vertical="center"/>
    </xf>
    <xf numFmtId="0" fontId="5" fillId="0" borderId="5" xfId="0" applyFont="1" applyBorder="1" applyAlignment="1">
      <alignment horizontal="left" vertical="center"/>
    </xf>
    <xf numFmtId="0" fontId="19" fillId="27" borderId="5" xfId="0" applyFont="1" applyFill="1" applyBorder="1" applyAlignment="1">
      <alignment horizontal="left" vertical="center"/>
    </xf>
    <xf numFmtId="0" fontId="0" fillId="0" borderId="5" xfId="0" applyBorder="1" applyAlignment="1">
      <alignment horizontal="left" vertical="center"/>
    </xf>
    <xf numFmtId="0" fontId="5" fillId="0" borderId="5" xfId="2" applyFont="1" applyBorder="1" applyAlignment="1">
      <alignment horizontal="left" vertical="center"/>
    </xf>
    <xf numFmtId="0" fontId="19" fillId="0" borderId="4" xfId="2" applyFont="1" applyBorder="1" applyAlignment="1">
      <alignment horizontal="center" vertical="center"/>
    </xf>
    <xf numFmtId="0" fontId="46" fillId="0" borderId="5" xfId="0" applyFont="1" applyBorder="1" applyAlignment="1">
      <alignment horizontal="left" vertical="center" wrapText="1"/>
    </xf>
    <xf numFmtId="0" fontId="5" fillId="28" borderId="5" xfId="3" applyFont="1" applyFill="1" applyBorder="1" applyAlignment="1">
      <alignment horizontal="left" vertical="center" wrapText="1"/>
    </xf>
    <xf numFmtId="0" fontId="5" fillId="28" borderId="5" xfId="3" applyFont="1" applyFill="1" applyBorder="1" applyAlignment="1">
      <alignment horizontal="justify" vertical="center" wrapText="1"/>
    </xf>
    <xf numFmtId="0" fontId="5" fillId="28" borderId="5" xfId="2" applyFont="1" applyFill="1" applyBorder="1" applyAlignment="1">
      <alignment horizontal="center" vertical="center" wrapText="1"/>
    </xf>
    <xf numFmtId="0" fontId="5" fillId="28" borderId="5" xfId="2" applyFont="1" applyFill="1" applyBorder="1" applyAlignment="1">
      <alignment vertical="center" wrapText="1"/>
    </xf>
    <xf numFmtId="0" fontId="5" fillId="28" borderId="16" xfId="3" applyFont="1" applyFill="1" applyBorder="1" applyAlignment="1">
      <alignment horizontal="left" vertical="center" wrapText="1"/>
    </xf>
    <xf numFmtId="0" fontId="5" fillId="28" borderId="16" xfId="3" applyFont="1" applyFill="1" applyBorder="1" applyAlignment="1">
      <alignment horizontal="justify" vertical="center" wrapText="1"/>
    </xf>
    <xf numFmtId="0" fontId="5" fillId="28" borderId="16" xfId="2" applyFont="1" applyFill="1" applyBorder="1" applyAlignment="1">
      <alignment horizontal="center" vertical="center" wrapText="1"/>
    </xf>
    <xf numFmtId="0" fontId="5" fillId="28" borderId="16" xfId="2" applyFont="1" applyFill="1" applyBorder="1" applyAlignment="1">
      <alignment vertical="center" wrapText="1"/>
    </xf>
    <xf numFmtId="0" fontId="36" fillId="0" borderId="16" xfId="0" applyFont="1" applyBorder="1" applyAlignment="1">
      <alignment horizontal="center" vertical="center" wrapText="1"/>
    </xf>
    <xf numFmtId="0" fontId="36" fillId="0" borderId="18" xfId="0" applyFont="1" applyBorder="1" applyAlignment="1">
      <alignment horizontal="center" vertical="center" wrapText="1"/>
    </xf>
    <xf numFmtId="0" fontId="36" fillId="0" borderId="2" xfId="0" applyFont="1" applyBorder="1" applyAlignment="1">
      <alignment horizontal="center" vertical="center" wrapText="1"/>
    </xf>
    <xf numFmtId="0" fontId="5" fillId="17" borderId="16" xfId="0" applyFont="1" applyFill="1" applyBorder="1" applyAlignment="1">
      <alignment horizontal="left" vertical="center" wrapText="1"/>
    </xf>
    <xf numFmtId="0" fontId="5" fillId="17" borderId="18" xfId="0" applyFont="1" applyFill="1" applyBorder="1" applyAlignment="1">
      <alignment horizontal="left" vertical="center" wrapText="1"/>
    </xf>
    <xf numFmtId="0" fontId="5" fillId="17" borderId="2" xfId="0" applyFont="1" applyFill="1" applyBorder="1" applyAlignment="1">
      <alignment horizontal="left" vertical="center" wrapText="1"/>
    </xf>
    <xf numFmtId="0" fontId="36" fillId="0" borderId="16" xfId="0" applyFont="1" applyBorder="1" applyAlignment="1">
      <alignment horizontal="left" vertical="center" wrapText="1"/>
    </xf>
    <xf numFmtId="0" fontId="36" fillId="0" borderId="18" xfId="0" applyFont="1" applyBorder="1" applyAlignment="1">
      <alignment horizontal="left" vertical="center" wrapText="1"/>
    </xf>
    <xf numFmtId="0" fontId="36" fillId="0" borderId="2" xfId="0" applyFont="1" applyBorder="1" applyAlignment="1">
      <alignment horizontal="left" vertical="center" wrapText="1"/>
    </xf>
    <xf numFmtId="0" fontId="36" fillId="0" borderId="16" xfId="0" applyFont="1" applyBorder="1" applyAlignment="1">
      <alignment horizontal="justify" vertical="center" wrapText="1"/>
    </xf>
    <xf numFmtId="0" fontId="36" fillId="0" borderId="18" xfId="0" applyFont="1" applyBorder="1" applyAlignment="1">
      <alignment horizontal="justify" vertical="center" wrapText="1"/>
    </xf>
    <xf numFmtId="0" fontId="36" fillId="0" borderId="2" xfId="0" applyFont="1" applyBorder="1" applyAlignment="1">
      <alignment horizontal="justify" vertical="center" wrapText="1"/>
    </xf>
    <xf numFmtId="0" fontId="5" fillId="0" borderId="16" xfId="0" applyFont="1" applyBorder="1" applyAlignment="1">
      <alignment horizontal="left" vertical="center" wrapText="1"/>
    </xf>
    <xf numFmtId="0" fontId="5" fillId="0" borderId="18" xfId="0" applyFont="1" applyBorder="1" applyAlignment="1">
      <alignment horizontal="left" vertical="center" wrapText="1"/>
    </xf>
    <xf numFmtId="0" fontId="5" fillId="0" borderId="2" xfId="0" applyFont="1" applyBorder="1" applyAlignment="1">
      <alignment horizontal="left" vertical="center" wrapText="1"/>
    </xf>
    <xf numFmtId="0" fontId="5" fillId="0" borderId="16" xfId="0" applyFont="1" applyBorder="1" applyAlignment="1">
      <alignment horizontal="justify" vertical="center" wrapText="1"/>
    </xf>
    <xf numFmtId="0" fontId="5" fillId="0" borderId="18" xfId="0" applyFont="1" applyBorder="1" applyAlignment="1">
      <alignment horizontal="justify" vertical="center" wrapText="1"/>
    </xf>
    <xf numFmtId="0" fontId="5" fillId="0" borderId="2" xfId="0" applyFont="1" applyBorder="1" applyAlignment="1">
      <alignment horizontal="justify" vertical="center" wrapText="1"/>
    </xf>
    <xf numFmtId="0" fontId="5" fillId="0" borderId="16" xfId="0" applyFont="1" applyBorder="1" applyAlignment="1">
      <alignment horizontal="center" vertical="center" wrapText="1"/>
    </xf>
    <xf numFmtId="0" fontId="5" fillId="0" borderId="18" xfId="0" applyFont="1" applyBorder="1" applyAlignment="1">
      <alignment horizontal="center" vertical="center" wrapText="1"/>
    </xf>
    <xf numFmtId="0" fontId="5" fillId="0" borderId="2" xfId="0" applyFont="1" applyBorder="1" applyAlignment="1">
      <alignment horizontal="center" vertical="center" wrapText="1"/>
    </xf>
    <xf numFmtId="0" fontId="5" fillId="0" borderId="16" xfId="0" applyFont="1" applyBorder="1" applyAlignment="1">
      <alignment vertical="center" wrapText="1"/>
    </xf>
    <xf numFmtId="0" fontId="5" fillId="0" borderId="18" xfId="0" applyFont="1" applyBorder="1" applyAlignment="1">
      <alignment vertical="center" wrapText="1"/>
    </xf>
    <xf numFmtId="0" fontId="5" fillId="0" borderId="2" xfId="0" applyFont="1" applyBorder="1" applyAlignment="1">
      <alignment vertical="center" wrapText="1"/>
    </xf>
    <xf numFmtId="0" fontId="5" fillId="0" borderId="19" xfId="0" applyFont="1" applyBorder="1" applyAlignment="1">
      <alignment vertical="center" wrapText="1"/>
    </xf>
    <xf numFmtId="0" fontId="5" fillId="0" borderId="0" xfId="0" applyFont="1" applyAlignment="1">
      <alignment vertical="center" wrapText="1"/>
    </xf>
    <xf numFmtId="0" fontId="27" fillId="15" borderId="16" xfId="0" applyFont="1" applyFill="1" applyBorder="1" applyAlignment="1">
      <alignment horizontal="left" vertical="center" wrapText="1"/>
    </xf>
    <xf numFmtId="0" fontId="27" fillId="15" borderId="18" xfId="0" applyFont="1" applyFill="1" applyBorder="1" applyAlignment="1">
      <alignment horizontal="left" vertical="center" wrapText="1"/>
    </xf>
    <xf numFmtId="0" fontId="27" fillId="15" borderId="2" xfId="0" applyFont="1" applyFill="1" applyBorder="1" applyAlignment="1">
      <alignment horizontal="left" vertical="center" wrapText="1"/>
    </xf>
    <xf numFmtId="0" fontId="37" fillId="16" borderId="16" xfId="0" applyFont="1" applyFill="1" applyBorder="1" applyAlignment="1">
      <alignment horizontal="left" vertical="center" wrapText="1"/>
    </xf>
    <xf numFmtId="0" fontId="37" fillId="16" borderId="18" xfId="0" applyFont="1" applyFill="1" applyBorder="1" applyAlignment="1">
      <alignment horizontal="left" vertical="center" wrapText="1"/>
    </xf>
    <xf numFmtId="0" fontId="37" fillId="16" borderId="2" xfId="0" applyFont="1" applyFill="1" applyBorder="1" applyAlignment="1">
      <alignment horizontal="left" vertical="center" wrapText="1"/>
    </xf>
    <xf numFmtId="0" fontId="27" fillId="15" borderId="16" xfId="0" applyFont="1" applyFill="1" applyBorder="1" applyAlignment="1">
      <alignment horizontal="justify" vertical="center" wrapText="1"/>
    </xf>
    <xf numFmtId="0" fontId="27" fillId="15" borderId="18" xfId="0" applyFont="1" applyFill="1" applyBorder="1" applyAlignment="1">
      <alignment horizontal="justify" vertical="center" wrapText="1"/>
    </xf>
    <xf numFmtId="0" fontId="27" fillId="15" borderId="2" xfId="0" applyFont="1" applyFill="1" applyBorder="1" applyAlignment="1">
      <alignment horizontal="justify" vertical="center" wrapText="1"/>
    </xf>
    <xf numFmtId="0" fontId="27" fillId="15" borderId="16" xfId="0" applyFont="1" applyFill="1" applyBorder="1" applyAlignment="1">
      <alignment horizontal="center" vertical="center" wrapText="1"/>
    </xf>
    <xf numFmtId="0" fontId="27" fillId="15" borderId="18" xfId="0" applyFont="1" applyFill="1" applyBorder="1" applyAlignment="1">
      <alignment horizontal="center" vertical="center" wrapText="1"/>
    </xf>
    <xf numFmtId="0" fontId="27" fillId="15" borderId="2" xfId="0" applyFont="1" applyFill="1" applyBorder="1" applyAlignment="1">
      <alignment horizontal="center" vertical="center" wrapText="1"/>
    </xf>
    <xf numFmtId="0" fontId="0" fillId="0" borderId="0" xfId="0" applyAlignment="1">
      <alignment horizontal="center" wrapText="1"/>
    </xf>
    <xf numFmtId="0" fontId="28" fillId="13" borderId="5" xfId="2" applyFont="1" applyFill="1" applyBorder="1" applyAlignment="1">
      <alignment horizontal="center" vertical="center"/>
    </xf>
    <xf numFmtId="0" fontId="5" fillId="5" borderId="5" xfId="2" applyFont="1" applyFill="1" applyBorder="1" applyAlignment="1">
      <alignment vertical="center" wrapText="1"/>
    </xf>
  </cellXfs>
  <cellStyles count="11">
    <cellStyle name="Accent1" xfId="9" builtinId="29"/>
    <cellStyle name="Accent5" xfId="10" builtinId="45"/>
    <cellStyle name="Bad" xfId="8" builtinId="27"/>
    <cellStyle name="Excel Built-in Normal" xfId="6" xr:uid="{18EB9187-30CC-436F-90DF-0D3B41BBD91A}"/>
    <cellStyle name="Excel Built-in Normal 1" xfId="3" xr:uid="{763B60F8-61C8-4090-9624-BD69DF90BFF9}"/>
    <cellStyle name="Good" xfId="1" builtinId="26"/>
    <cellStyle name="Hyperlink" xfId="5" builtinId="8"/>
    <cellStyle name="Normal" xfId="0" builtinId="0"/>
    <cellStyle name="Normal 2" xfId="2" xr:uid="{6A3F7A0D-8B7C-47E0-B4C0-A6E40C79C898}"/>
    <cellStyle name="Normal 2 2 3 7" xfId="7" xr:uid="{533644B3-6B2C-4657-9B19-F4F54FB5B8A5}"/>
    <cellStyle name="Normal 3" xfId="4" xr:uid="{E723306F-87B3-4F28-AE01-FB6CD3B02824}"/>
  </cellStyles>
  <dxfs count="784">
    <dxf>
      <fill>
        <patternFill patternType="solid">
          <fgColor indexed="34"/>
          <bgColor indexed="13"/>
        </patternFill>
      </fill>
    </dxf>
    <dxf>
      <fill>
        <patternFill patternType="solid">
          <fgColor indexed="49"/>
          <bgColor indexed="11"/>
        </patternFill>
      </fill>
    </dxf>
    <dxf>
      <fill>
        <patternFill patternType="solid">
          <fgColor indexed="51"/>
          <bgColor indexed="52"/>
        </patternFill>
      </fill>
    </dxf>
    <dxf>
      <fill>
        <patternFill patternType="solid">
          <fgColor indexed="34"/>
          <bgColor indexed="13"/>
        </patternFill>
      </fill>
    </dxf>
    <dxf>
      <fill>
        <patternFill patternType="solid">
          <fgColor indexed="49"/>
          <bgColor indexed="11"/>
        </patternFill>
      </fill>
    </dxf>
    <dxf>
      <fill>
        <patternFill patternType="solid">
          <fgColor indexed="51"/>
          <bgColor indexed="52"/>
        </patternFill>
      </fill>
    </dxf>
    <dxf>
      <fill>
        <patternFill patternType="solid">
          <fgColor indexed="34"/>
          <bgColor indexed="13"/>
        </patternFill>
      </fill>
    </dxf>
    <dxf>
      <fill>
        <patternFill patternType="solid">
          <fgColor indexed="49"/>
          <bgColor indexed="11"/>
        </patternFill>
      </fill>
    </dxf>
    <dxf>
      <fill>
        <patternFill patternType="solid">
          <fgColor indexed="51"/>
          <bgColor indexed="52"/>
        </patternFill>
      </fill>
    </dxf>
    <dxf>
      <fill>
        <patternFill patternType="solid">
          <fgColor indexed="51"/>
          <bgColor indexed="52"/>
        </patternFill>
      </fill>
    </dxf>
    <dxf>
      <fill>
        <patternFill patternType="solid">
          <fgColor indexed="34"/>
          <bgColor indexed="13"/>
        </patternFill>
      </fill>
    </dxf>
    <dxf>
      <fill>
        <patternFill patternType="solid">
          <fgColor indexed="49"/>
          <bgColor indexed="11"/>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34"/>
          <bgColor indexed="13"/>
        </patternFill>
      </fill>
    </dxf>
    <dxf>
      <fill>
        <patternFill patternType="solid">
          <fgColor indexed="49"/>
          <bgColor indexed="11"/>
        </patternFill>
      </fill>
    </dxf>
    <dxf>
      <fill>
        <patternFill patternType="solid">
          <fgColor indexed="49"/>
          <bgColor indexed="11"/>
        </patternFill>
      </fill>
    </dxf>
    <dxf>
      <fill>
        <patternFill patternType="solid">
          <fgColor indexed="34"/>
          <bgColor indexed="13"/>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34"/>
          <bgColor indexed="13"/>
        </patternFill>
      </fill>
    </dxf>
    <dxf>
      <fill>
        <patternFill patternType="solid">
          <fgColor indexed="49"/>
          <bgColor indexed="11"/>
        </patternFill>
      </fill>
    </dxf>
    <dxf>
      <fill>
        <patternFill patternType="solid">
          <fgColor indexed="51"/>
          <bgColor indexed="52"/>
        </patternFill>
      </fill>
    </dxf>
    <dxf>
      <fill>
        <patternFill patternType="solid">
          <fgColor indexed="34"/>
          <bgColor indexed="13"/>
        </patternFill>
      </fill>
    </dxf>
    <dxf>
      <fill>
        <patternFill patternType="solid">
          <fgColor indexed="49"/>
          <bgColor indexed="11"/>
        </patternFill>
      </fill>
    </dxf>
    <dxf>
      <fill>
        <patternFill patternType="solid">
          <fgColor indexed="51"/>
          <bgColor indexed="52"/>
        </patternFill>
      </fill>
    </dxf>
    <dxf>
      <fill>
        <patternFill patternType="solid">
          <fgColor indexed="51"/>
          <bgColor indexed="52"/>
        </patternFill>
      </fill>
    </dxf>
    <dxf>
      <fill>
        <patternFill patternType="solid">
          <fgColor indexed="34"/>
          <bgColor indexed="13"/>
        </patternFill>
      </fill>
    </dxf>
    <dxf>
      <fill>
        <patternFill patternType="solid">
          <fgColor indexed="49"/>
          <bgColor indexed="11"/>
        </patternFill>
      </fill>
    </dxf>
    <dxf>
      <fill>
        <patternFill patternType="solid">
          <fgColor indexed="34"/>
          <bgColor indexed="13"/>
        </patternFill>
      </fill>
    </dxf>
    <dxf>
      <fill>
        <patternFill patternType="solid">
          <fgColor indexed="49"/>
          <bgColor indexed="11"/>
        </patternFill>
      </fill>
    </dxf>
    <dxf>
      <fill>
        <patternFill patternType="solid">
          <fgColor indexed="51"/>
          <bgColor indexed="52"/>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49"/>
          <bgColor indexed="11"/>
        </patternFill>
      </fill>
    </dxf>
    <dxf>
      <fill>
        <patternFill patternType="solid">
          <fgColor indexed="51"/>
          <bgColor indexed="52"/>
        </patternFill>
      </fill>
    </dxf>
    <dxf>
      <fill>
        <patternFill patternType="solid">
          <fgColor indexed="34"/>
          <bgColor indexed="13"/>
        </patternFill>
      </fill>
    </dxf>
    <dxf>
      <fill>
        <patternFill patternType="solid">
          <fgColor indexed="49"/>
          <bgColor indexed="11"/>
        </patternFill>
      </fill>
    </dxf>
    <dxf>
      <fill>
        <patternFill patternType="solid">
          <fgColor indexed="51"/>
          <bgColor indexed="52"/>
        </patternFill>
      </fill>
    </dxf>
    <dxf>
      <fill>
        <patternFill patternType="solid">
          <fgColor indexed="49"/>
          <bgColor indexed="11"/>
        </patternFill>
      </fill>
    </dxf>
    <dxf>
      <fill>
        <patternFill patternType="solid">
          <fgColor indexed="51"/>
          <bgColor indexed="52"/>
        </patternFill>
      </fill>
    </dxf>
    <dxf>
      <fill>
        <patternFill patternType="solid">
          <fgColor indexed="34"/>
          <bgColor indexed="13"/>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34"/>
          <bgColor indexed="13"/>
        </patternFill>
      </fill>
    </dxf>
    <dxf>
      <fill>
        <patternFill patternType="solid">
          <fgColor indexed="49"/>
          <bgColor indexed="11"/>
        </patternFill>
      </fill>
    </dxf>
    <dxf>
      <fill>
        <patternFill patternType="solid">
          <fgColor indexed="51"/>
          <bgColor indexed="52"/>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49"/>
          <bgColor indexed="11"/>
        </patternFill>
      </fill>
    </dxf>
    <dxf>
      <fill>
        <patternFill patternType="solid">
          <fgColor indexed="51"/>
          <bgColor indexed="52"/>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49"/>
          <bgColor indexed="11"/>
        </patternFill>
      </fill>
    </dxf>
    <dxf>
      <fill>
        <patternFill patternType="solid">
          <fgColor indexed="51"/>
          <bgColor indexed="52"/>
        </patternFill>
      </fill>
    </dxf>
    <dxf>
      <fill>
        <patternFill patternType="solid">
          <fgColor indexed="49"/>
          <bgColor indexed="11"/>
        </patternFill>
      </fill>
    </dxf>
    <dxf>
      <fill>
        <patternFill patternType="solid">
          <fgColor indexed="51"/>
          <bgColor indexed="52"/>
        </patternFill>
      </fill>
    </dxf>
    <dxf>
      <fill>
        <patternFill patternType="solid">
          <fgColor indexed="34"/>
          <bgColor indexed="13"/>
        </patternFill>
      </fill>
    </dxf>
    <dxf>
      <fill>
        <patternFill patternType="solid">
          <fgColor indexed="49"/>
          <bgColor indexed="11"/>
        </patternFill>
      </fill>
    </dxf>
    <dxf>
      <fill>
        <patternFill patternType="solid">
          <fgColor indexed="51"/>
          <bgColor indexed="52"/>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34"/>
          <bgColor indexed="13"/>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51"/>
          <bgColor indexed="52"/>
        </patternFill>
      </fill>
    </dxf>
    <dxf>
      <fill>
        <patternFill patternType="solid">
          <fgColor indexed="49"/>
          <bgColor indexed="11"/>
        </patternFill>
      </fill>
    </dxf>
    <dxf>
      <fill>
        <patternFill patternType="solid">
          <fgColor indexed="51"/>
          <bgColor indexed="52"/>
        </patternFill>
      </fill>
    </dxf>
    <dxf>
      <fill>
        <patternFill patternType="solid">
          <fgColor indexed="34"/>
          <bgColor indexed="13"/>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49"/>
          <bgColor indexed="11"/>
        </patternFill>
      </fill>
    </dxf>
    <dxf>
      <fill>
        <patternFill patternType="solid">
          <fgColor indexed="51"/>
          <bgColor indexed="52"/>
        </patternFill>
      </fill>
    </dxf>
    <dxf>
      <fill>
        <patternFill patternType="solid">
          <fgColor indexed="34"/>
          <bgColor indexed="13"/>
        </patternFill>
      </fill>
    </dxf>
    <dxf>
      <fill>
        <patternFill patternType="solid">
          <fgColor indexed="49"/>
          <bgColor indexed="11"/>
        </patternFill>
      </fill>
    </dxf>
    <dxf>
      <fill>
        <patternFill patternType="solid">
          <fgColor indexed="51"/>
          <bgColor indexed="52"/>
        </patternFill>
      </fill>
    </dxf>
    <dxf>
      <fill>
        <patternFill patternType="solid">
          <fgColor indexed="49"/>
          <bgColor indexed="11"/>
        </patternFill>
      </fill>
    </dxf>
    <dxf>
      <fill>
        <patternFill patternType="solid">
          <fgColor indexed="51"/>
          <bgColor indexed="52"/>
        </patternFill>
      </fill>
    </dxf>
    <dxf>
      <fill>
        <patternFill patternType="solid">
          <fgColor indexed="34"/>
          <bgColor indexed="13"/>
        </patternFill>
      </fill>
    </dxf>
    <dxf>
      <fill>
        <patternFill patternType="solid">
          <fgColor indexed="51"/>
          <bgColor indexed="52"/>
        </patternFill>
      </fill>
    </dxf>
    <dxf>
      <fill>
        <patternFill patternType="solid">
          <fgColor indexed="34"/>
          <bgColor indexed="13"/>
        </patternFill>
      </fill>
    </dxf>
    <dxf>
      <fill>
        <patternFill patternType="solid">
          <fgColor indexed="49"/>
          <bgColor indexed="11"/>
        </patternFill>
      </fill>
    </dxf>
    <dxf>
      <fill>
        <patternFill patternType="solid">
          <fgColor indexed="34"/>
          <bgColor indexed="13"/>
        </patternFill>
      </fill>
    </dxf>
    <dxf>
      <fill>
        <patternFill patternType="solid">
          <fgColor indexed="49"/>
          <bgColor indexed="11"/>
        </patternFill>
      </fill>
    </dxf>
    <dxf>
      <fill>
        <patternFill patternType="solid">
          <fgColor indexed="51"/>
          <bgColor indexed="52"/>
        </patternFill>
      </fill>
    </dxf>
    <dxf>
      <fill>
        <patternFill patternType="solid">
          <fgColor indexed="34"/>
          <bgColor indexed="13"/>
        </patternFill>
      </fill>
    </dxf>
    <dxf>
      <fill>
        <patternFill patternType="solid">
          <fgColor indexed="49"/>
          <bgColor indexed="11"/>
        </patternFill>
      </fill>
    </dxf>
    <dxf>
      <fill>
        <patternFill patternType="solid">
          <fgColor indexed="51"/>
          <bgColor indexed="52"/>
        </patternFill>
      </fill>
    </dxf>
    <dxf>
      <fill>
        <patternFill patternType="solid">
          <fgColor indexed="49"/>
          <bgColor indexed="11"/>
        </patternFill>
      </fill>
    </dxf>
    <dxf>
      <fill>
        <patternFill patternType="solid">
          <fgColor indexed="51"/>
          <bgColor indexed="52"/>
        </patternFill>
      </fill>
    </dxf>
    <dxf>
      <fill>
        <patternFill patternType="solid">
          <fgColor indexed="34"/>
          <bgColor indexed="13"/>
        </patternFill>
      </fill>
    </dxf>
    <dxf>
      <fill>
        <patternFill patternType="solid">
          <fgColor indexed="49"/>
          <bgColor indexed="11"/>
        </patternFill>
      </fill>
    </dxf>
    <dxf>
      <fill>
        <patternFill patternType="solid">
          <fgColor indexed="51"/>
          <bgColor indexed="52"/>
        </patternFill>
      </fill>
    </dxf>
    <dxf>
      <fill>
        <patternFill patternType="solid">
          <fgColor indexed="51"/>
          <bgColor indexed="52"/>
        </patternFill>
      </fill>
    </dxf>
    <dxf>
      <fill>
        <patternFill patternType="solid">
          <fgColor indexed="49"/>
          <bgColor indexed="11"/>
        </patternFill>
      </fill>
    </dxf>
    <dxf>
      <fill>
        <patternFill patternType="solid">
          <fgColor indexed="51"/>
          <bgColor indexed="52"/>
        </patternFill>
      </fill>
    </dxf>
    <dxf>
      <fill>
        <patternFill patternType="solid">
          <fgColor indexed="34"/>
          <bgColor indexed="13"/>
        </patternFill>
      </fill>
    </dxf>
    <dxf>
      <fill>
        <patternFill patternType="solid">
          <fgColor indexed="51"/>
          <bgColor indexed="52"/>
        </patternFill>
      </fill>
    </dxf>
    <dxf>
      <fill>
        <patternFill patternType="solid">
          <fgColor indexed="34"/>
          <bgColor indexed="13"/>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34"/>
          <bgColor indexed="13"/>
        </patternFill>
      </fill>
    </dxf>
    <dxf>
      <fill>
        <patternFill patternType="solid">
          <fgColor indexed="49"/>
          <bgColor indexed="11"/>
        </patternFill>
      </fill>
    </dxf>
    <dxf>
      <fill>
        <patternFill patternType="solid">
          <fgColor indexed="51"/>
          <bgColor indexed="52"/>
        </patternFill>
      </fill>
    </dxf>
    <dxf>
      <fill>
        <patternFill patternType="solid">
          <fgColor indexed="49"/>
          <bgColor indexed="11"/>
        </patternFill>
      </fill>
    </dxf>
    <dxf>
      <fill>
        <patternFill patternType="solid">
          <fgColor indexed="51"/>
          <bgColor indexed="52"/>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49"/>
          <bgColor indexed="11"/>
        </patternFill>
      </fill>
    </dxf>
    <dxf>
      <fill>
        <patternFill patternType="solid">
          <fgColor indexed="34"/>
          <bgColor indexed="13"/>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49"/>
          <bgColor indexed="11"/>
        </patternFill>
      </fill>
    </dxf>
    <dxf>
      <fill>
        <patternFill patternType="solid">
          <fgColor indexed="34"/>
          <bgColor indexed="13"/>
        </patternFill>
      </fill>
    </dxf>
    <dxf>
      <fill>
        <patternFill patternType="solid">
          <fgColor indexed="49"/>
          <bgColor indexed="11"/>
        </patternFill>
      </fill>
    </dxf>
    <dxf>
      <fill>
        <patternFill patternType="solid">
          <fgColor indexed="51"/>
          <bgColor indexed="52"/>
        </patternFill>
      </fill>
    </dxf>
    <dxf>
      <fill>
        <patternFill patternType="solid">
          <fgColor indexed="34"/>
          <bgColor indexed="13"/>
        </patternFill>
      </fill>
    </dxf>
    <dxf>
      <fill>
        <patternFill patternType="solid">
          <fgColor indexed="49"/>
          <bgColor indexed="11"/>
        </patternFill>
      </fill>
    </dxf>
    <dxf>
      <fill>
        <patternFill patternType="solid">
          <fgColor indexed="51"/>
          <bgColor indexed="52"/>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51"/>
          <bgColor indexed="52"/>
        </patternFill>
      </fill>
    </dxf>
    <dxf>
      <fill>
        <patternFill patternType="solid">
          <fgColor indexed="49"/>
          <bgColor indexed="11"/>
        </patternFill>
      </fill>
    </dxf>
    <dxf>
      <fill>
        <patternFill patternType="solid">
          <fgColor indexed="51"/>
          <bgColor indexed="52"/>
        </patternFill>
      </fill>
    </dxf>
    <dxf>
      <fill>
        <patternFill patternType="solid">
          <fgColor indexed="34"/>
          <bgColor indexed="13"/>
        </patternFill>
      </fill>
    </dxf>
    <dxf>
      <fill>
        <patternFill patternType="solid">
          <fgColor indexed="34"/>
          <bgColor indexed="13"/>
        </patternFill>
      </fill>
    </dxf>
    <dxf>
      <fill>
        <patternFill patternType="solid">
          <fgColor indexed="49"/>
          <bgColor indexed="11"/>
        </patternFill>
      </fill>
    </dxf>
    <dxf>
      <fill>
        <patternFill patternType="solid">
          <fgColor indexed="51"/>
          <bgColor indexed="52"/>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34"/>
          <bgColor indexed="13"/>
        </patternFill>
      </fill>
    </dxf>
    <dxf>
      <fill>
        <patternFill patternType="solid">
          <fgColor indexed="34"/>
          <bgColor indexed="13"/>
        </patternFill>
      </fill>
    </dxf>
    <dxf>
      <fill>
        <patternFill patternType="solid">
          <fgColor indexed="49"/>
          <bgColor indexed="11"/>
        </patternFill>
      </fill>
    </dxf>
    <dxf>
      <fill>
        <patternFill patternType="solid">
          <fgColor indexed="51"/>
          <bgColor indexed="52"/>
        </patternFill>
      </fill>
    </dxf>
    <dxf>
      <fill>
        <patternFill patternType="solid">
          <fgColor indexed="51"/>
          <bgColor indexed="52"/>
        </patternFill>
      </fill>
    </dxf>
    <dxf>
      <fill>
        <patternFill patternType="solid">
          <fgColor indexed="51"/>
          <bgColor indexed="52"/>
        </patternFill>
      </fill>
    </dxf>
    <dxf>
      <fill>
        <patternFill patternType="solid">
          <fgColor indexed="34"/>
          <bgColor indexed="13"/>
        </patternFill>
      </fill>
    </dxf>
    <dxf>
      <fill>
        <patternFill patternType="solid">
          <fgColor indexed="49"/>
          <bgColor indexed="11"/>
        </patternFill>
      </fill>
    </dxf>
    <dxf>
      <font>
        <b val="0"/>
        <condense val="0"/>
        <extend val="0"/>
        <sz val="11"/>
        <color indexed="8"/>
      </font>
      <fill>
        <patternFill patternType="solid">
          <fgColor indexed="49"/>
          <bgColor indexed="11"/>
        </patternFill>
      </fill>
    </dxf>
    <dxf>
      <font>
        <b val="0"/>
        <condense val="0"/>
        <extend val="0"/>
        <sz val="11"/>
        <color indexed="8"/>
      </font>
      <fill>
        <patternFill patternType="solid">
          <fgColor indexed="34"/>
          <bgColor indexed="13"/>
        </patternFill>
      </fill>
    </dxf>
    <dxf>
      <font>
        <b val="0"/>
        <condense val="0"/>
        <extend val="0"/>
        <sz val="11"/>
        <color indexed="8"/>
      </font>
      <fill>
        <patternFill patternType="solid">
          <fgColor indexed="34"/>
          <bgColor indexed="13"/>
        </patternFill>
      </fill>
    </dxf>
    <dxf>
      <font>
        <b val="0"/>
        <condense val="0"/>
        <extend val="0"/>
        <sz val="11"/>
        <color indexed="8"/>
      </font>
      <fill>
        <patternFill patternType="solid">
          <fgColor indexed="49"/>
          <bgColor indexed="11"/>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51"/>
          <bgColor indexed="52"/>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49"/>
          <bgColor indexed="11"/>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49"/>
          <bgColor indexed="11"/>
        </patternFill>
      </fill>
    </dxf>
    <dxf>
      <fill>
        <patternFill patternType="solid">
          <fgColor indexed="51"/>
          <bgColor indexed="52"/>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49"/>
          <bgColor indexed="11"/>
        </patternFill>
      </fill>
    </dxf>
    <dxf>
      <fill>
        <patternFill patternType="solid">
          <fgColor indexed="51"/>
          <bgColor indexed="52"/>
        </patternFill>
      </fill>
    </dxf>
    <dxf>
      <fill>
        <patternFill patternType="solid">
          <fgColor indexed="49"/>
          <bgColor indexed="11"/>
        </patternFill>
      </fill>
    </dxf>
    <dxf>
      <fill>
        <patternFill patternType="solid">
          <fgColor indexed="51"/>
          <bgColor indexed="52"/>
        </patternFill>
      </fill>
    </dxf>
    <dxf>
      <fill>
        <patternFill patternType="solid">
          <fgColor indexed="49"/>
          <bgColor indexed="11"/>
        </patternFill>
      </fill>
    </dxf>
    <dxf>
      <fill>
        <patternFill patternType="solid">
          <fgColor indexed="51"/>
          <bgColor indexed="52"/>
        </patternFill>
      </fill>
    </dxf>
    <dxf>
      <fill>
        <patternFill patternType="solid">
          <fgColor indexed="34"/>
          <bgColor indexed="13"/>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51"/>
          <bgColor indexed="52"/>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51"/>
          <bgColor indexed="52"/>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51"/>
          <bgColor indexed="52"/>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49"/>
          <bgColor indexed="11"/>
        </patternFill>
      </fill>
    </dxf>
    <dxf>
      <fill>
        <patternFill patternType="solid">
          <fgColor indexed="51"/>
          <bgColor indexed="52"/>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49"/>
          <bgColor indexed="11"/>
        </patternFill>
      </fill>
    </dxf>
    <dxf>
      <fill>
        <patternFill patternType="solid">
          <fgColor indexed="51"/>
          <bgColor indexed="52"/>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51"/>
          <bgColor indexed="52"/>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51"/>
          <bgColor indexed="52"/>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51"/>
          <bgColor indexed="52"/>
        </patternFill>
      </fill>
    </dxf>
    <dxf>
      <fill>
        <patternFill patternType="solid">
          <fgColor indexed="34"/>
          <bgColor indexed="13"/>
        </patternFill>
      </fill>
    </dxf>
    <dxf>
      <fill>
        <patternFill patternType="solid">
          <fgColor indexed="49"/>
          <bgColor indexed="11"/>
        </patternFill>
      </fill>
    </dxf>
    <dxf>
      <fill>
        <patternFill patternType="solid">
          <fgColor indexed="51"/>
          <bgColor indexed="52"/>
        </patternFill>
      </fill>
    </dxf>
    <dxf>
      <fill>
        <patternFill patternType="solid">
          <fgColor indexed="49"/>
          <bgColor indexed="11"/>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51"/>
          <bgColor indexed="52"/>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49"/>
          <bgColor indexed="11"/>
        </patternFill>
      </fill>
    </dxf>
    <dxf>
      <fill>
        <patternFill patternType="solid">
          <fgColor indexed="51"/>
          <bgColor indexed="52"/>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51"/>
          <bgColor indexed="52"/>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49"/>
          <bgColor indexed="11"/>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51"/>
          <bgColor indexed="52"/>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49"/>
          <bgColor indexed="11"/>
        </patternFill>
      </fill>
    </dxf>
    <dxf>
      <fill>
        <patternFill patternType="solid">
          <fgColor indexed="34"/>
          <bgColor indexed="13"/>
        </patternFill>
      </fill>
    </dxf>
    <dxf>
      <fill>
        <patternFill patternType="solid">
          <fgColor indexed="49"/>
          <bgColor indexed="11"/>
        </patternFill>
      </fill>
    </dxf>
    <dxf>
      <fill>
        <patternFill patternType="solid">
          <fgColor indexed="51"/>
          <bgColor indexed="52"/>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51"/>
          <bgColor indexed="52"/>
        </patternFill>
      </fill>
    </dxf>
    <dxf>
      <fill>
        <patternFill patternType="solid">
          <fgColor indexed="49"/>
          <bgColor indexed="11"/>
        </patternFill>
      </fill>
    </dxf>
    <dxf>
      <fill>
        <patternFill patternType="solid">
          <fgColor indexed="34"/>
          <bgColor indexed="13"/>
        </patternFill>
      </fill>
    </dxf>
    <dxf>
      <fill>
        <patternFill patternType="solid">
          <fgColor indexed="34"/>
          <bgColor indexed="13"/>
        </patternFill>
      </fill>
    </dxf>
    <dxf>
      <fill>
        <patternFill patternType="solid">
          <fgColor indexed="49"/>
          <bgColor indexed="11"/>
        </patternFill>
      </fill>
    </dxf>
    <dxf>
      <fill>
        <patternFill patternType="solid">
          <fgColor indexed="51"/>
          <bgColor indexed="52"/>
        </patternFill>
      </fill>
    </dxf>
    <dxf>
      <fill>
        <patternFill patternType="solid">
          <fgColor indexed="34"/>
          <bgColor indexed="13"/>
        </patternFill>
      </fill>
    </dxf>
    <dxf>
      <fill>
        <patternFill patternType="solid">
          <fgColor indexed="49"/>
          <bgColor indexed="11"/>
        </patternFill>
      </fill>
    </dxf>
    <dxf>
      <fill>
        <patternFill patternType="solid">
          <fgColor indexed="34"/>
          <bgColor indexed="13"/>
        </patternFill>
      </fill>
    </dxf>
    <dxf>
      <font>
        <b val="0"/>
        <condense val="0"/>
        <extend val="0"/>
        <sz val="11"/>
        <color indexed="8"/>
      </font>
      <fill>
        <patternFill patternType="solid">
          <fgColor indexed="49"/>
          <bgColor indexed="11"/>
        </patternFill>
      </fill>
    </dxf>
    <dxf>
      <font>
        <b val="0"/>
        <condense val="0"/>
        <extend val="0"/>
        <sz val="11"/>
        <color indexed="8"/>
      </font>
      <fill>
        <patternFill patternType="solid">
          <fgColor indexed="34"/>
          <bgColor indexed="13"/>
        </patternFill>
      </fill>
    </dxf>
    <dxf>
      <font>
        <b val="0"/>
        <condense val="0"/>
        <extend val="0"/>
        <sz val="11"/>
        <color indexed="8"/>
      </font>
      <fill>
        <patternFill patternType="solid">
          <fgColor indexed="34"/>
          <bgColor indexed="13"/>
        </patternFill>
      </fill>
    </dxf>
    <dxf>
      <font>
        <b val="0"/>
        <condense val="0"/>
        <extend val="0"/>
        <sz val="11"/>
        <color indexed="8"/>
      </font>
      <fill>
        <patternFill patternType="solid">
          <fgColor indexed="49"/>
          <bgColor indexed="11"/>
        </patternFill>
      </fill>
    </dxf>
    <dxf>
      <font>
        <b val="0"/>
        <condense val="0"/>
        <extend val="0"/>
        <sz val="11"/>
        <color indexed="8"/>
      </font>
      <fill>
        <patternFill patternType="solid">
          <fgColor indexed="34"/>
          <bgColor indexed="13"/>
        </patternFill>
      </fill>
    </dxf>
    <dxf>
      <font>
        <b val="0"/>
        <condense val="0"/>
        <extend val="0"/>
        <sz val="11"/>
        <color indexed="8"/>
      </font>
      <fill>
        <patternFill patternType="solid">
          <fgColor indexed="49"/>
          <bgColor indexed="11"/>
        </patternFill>
      </fill>
    </dxf>
    <dxf>
      <font>
        <b val="0"/>
        <condense val="0"/>
        <extend val="0"/>
        <sz val="11"/>
        <color indexed="8"/>
      </font>
      <fill>
        <patternFill patternType="solid">
          <fgColor indexed="34"/>
          <bgColor indexed="13"/>
        </patternFill>
      </fill>
    </dxf>
    <dxf>
      <font>
        <b val="0"/>
        <condense val="0"/>
        <extend val="0"/>
        <sz val="11"/>
        <color indexed="8"/>
      </font>
      <fill>
        <patternFill patternType="solid">
          <fgColor indexed="49"/>
          <bgColor indexed="11"/>
        </patternFill>
      </fill>
    </dxf>
    <dxf>
      <font>
        <b val="0"/>
        <condense val="0"/>
        <extend val="0"/>
        <sz val="11"/>
        <color indexed="8"/>
      </font>
      <fill>
        <patternFill patternType="solid">
          <fgColor indexed="34"/>
          <bgColor indexed="13"/>
        </patternFill>
      </fill>
    </dxf>
    <dxf>
      <font>
        <b val="0"/>
        <condense val="0"/>
        <extend val="0"/>
        <sz val="11"/>
        <color indexed="8"/>
      </font>
      <fill>
        <patternFill patternType="solid">
          <fgColor indexed="49"/>
          <bgColor indexed="11"/>
        </patternFill>
      </fill>
    </dxf>
    <dxf>
      <font>
        <b val="0"/>
        <condense val="0"/>
        <extend val="0"/>
        <sz val="11"/>
        <color indexed="8"/>
      </font>
      <fill>
        <patternFill patternType="solid">
          <fgColor indexed="49"/>
          <bgColor indexed="11"/>
        </patternFill>
      </fill>
    </dxf>
    <dxf>
      <font>
        <b val="0"/>
        <condense val="0"/>
        <extend val="0"/>
        <sz val="11"/>
        <color indexed="8"/>
      </font>
      <fill>
        <patternFill patternType="solid">
          <fgColor indexed="34"/>
          <bgColor indexed="13"/>
        </patternFill>
      </fill>
    </dxf>
    <dxf>
      <font>
        <b val="0"/>
        <condense val="0"/>
        <extend val="0"/>
        <sz val="11"/>
        <color indexed="8"/>
      </font>
      <fill>
        <patternFill patternType="solid">
          <fgColor indexed="34"/>
          <bgColor indexed="13"/>
        </patternFill>
      </fill>
    </dxf>
    <dxf>
      <font>
        <b val="0"/>
        <condense val="0"/>
        <extend val="0"/>
        <sz val="11"/>
        <color indexed="8"/>
      </font>
      <fill>
        <patternFill patternType="solid">
          <fgColor indexed="49"/>
          <bgColor indexed="11"/>
        </patternFill>
      </fill>
    </dxf>
    <dxf>
      <font>
        <b val="0"/>
        <condense val="0"/>
        <extend val="0"/>
        <sz val="11"/>
        <color indexed="8"/>
      </font>
      <fill>
        <patternFill patternType="solid">
          <fgColor indexed="34"/>
          <bgColor indexed="13"/>
        </patternFill>
      </fill>
    </dxf>
    <dxf>
      <font>
        <b val="0"/>
        <condense val="0"/>
        <extend val="0"/>
        <sz val="11"/>
        <color indexed="8"/>
      </font>
      <fill>
        <patternFill patternType="solid">
          <fgColor indexed="49"/>
          <bgColor indexed="11"/>
        </patternFill>
      </fill>
    </dxf>
    <dxf>
      <font>
        <b val="0"/>
        <condense val="0"/>
        <extend val="0"/>
        <sz val="11"/>
        <color indexed="8"/>
      </font>
      <fill>
        <patternFill patternType="solid">
          <fgColor indexed="49"/>
          <bgColor indexed="11"/>
        </patternFill>
      </fill>
    </dxf>
    <dxf>
      <font>
        <b val="0"/>
        <condense val="0"/>
        <extend val="0"/>
        <sz val="11"/>
        <color indexed="8"/>
      </font>
      <fill>
        <patternFill patternType="solid">
          <fgColor indexed="34"/>
          <bgColor indexed="13"/>
        </patternFill>
      </fill>
    </dxf>
    <dxf>
      <font>
        <b val="0"/>
        <condense val="0"/>
        <extend val="0"/>
        <sz val="11"/>
        <color indexed="8"/>
      </font>
      <fill>
        <patternFill patternType="solid">
          <fgColor indexed="34"/>
          <bgColor indexed="13"/>
        </patternFill>
      </fill>
    </dxf>
    <dxf>
      <font>
        <b val="0"/>
        <condense val="0"/>
        <extend val="0"/>
        <sz val="11"/>
        <color indexed="8"/>
      </font>
      <fill>
        <patternFill patternType="solid">
          <fgColor indexed="49"/>
          <bgColor indexed="11"/>
        </patternFill>
      </fill>
    </dxf>
    <dxf>
      <font>
        <b val="0"/>
        <condense val="0"/>
        <extend val="0"/>
        <sz val="11"/>
        <color indexed="8"/>
      </font>
      <fill>
        <patternFill patternType="solid">
          <fgColor indexed="49"/>
          <bgColor indexed="11"/>
        </patternFill>
      </fill>
    </dxf>
    <dxf>
      <font>
        <b val="0"/>
        <condense val="0"/>
        <extend val="0"/>
        <sz val="11"/>
        <color indexed="8"/>
      </font>
      <fill>
        <patternFill patternType="solid">
          <fgColor indexed="34"/>
          <bgColor indexed="13"/>
        </patternFill>
      </fill>
    </dxf>
    <dxf>
      <font>
        <b val="0"/>
        <condense val="0"/>
        <extend val="0"/>
        <sz val="11"/>
        <color indexed="8"/>
      </font>
      <fill>
        <patternFill patternType="solid">
          <fgColor indexed="34"/>
          <bgColor indexed="13"/>
        </patternFill>
      </fill>
    </dxf>
    <dxf>
      <font>
        <b val="0"/>
        <condense val="0"/>
        <extend val="0"/>
        <sz val="11"/>
        <color indexed="8"/>
      </font>
      <fill>
        <patternFill patternType="solid">
          <fgColor indexed="49"/>
          <bgColor indexed="11"/>
        </patternFill>
      </fill>
    </dxf>
    <dxf>
      <font>
        <b val="0"/>
        <condense val="0"/>
        <extend val="0"/>
        <sz val="11"/>
        <color indexed="8"/>
      </font>
      <fill>
        <patternFill patternType="solid">
          <fgColor indexed="34"/>
          <bgColor indexed="13"/>
        </patternFill>
      </fill>
    </dxf>
    <dxf>
      <font>
        <b val="0"/>
        <condense val="0"/>
        <extend val="0"/>
        <sz val="11"/>
        <color indexed="8"/>
      </font>
      <fill>
        <patternFill patternType="solid">
          <fgColor indexed="49"/>
          <bgColor indexed="11"/>
        </patternFill>
      </fill>
    </dxf>
    <dxf>
      <font>
        <b val="0"/>
        <condense val="0"/>
        <extend val="0"/>
        <sz val="11"/>
        <color indexed="8"/>
      </font>
      <fill>
        <patternFill patternType="solid">
          <fgColor indexed="49"/>
          <bgColor indexed="11"/>
        </patternFill>
      </fill>
    </dxf>
    <dxf>
      <font>
        <b val="0"/>
        <condense val="0"/>
        <extend val="0"/>
        <sz val="11"/>
        <color indexed="8"/>
      </font>
      <fill>
        <patternFill patternType="solid">
          <fgColor indexed="34"/>
          <bgColor indexed="13"/>
        </patternFill>
      </fill>
    </dxf>
    <dxf>
      <font>
        <b val="0"/>
        <i val="0"/>
        <strike val="0"/>
        <condense val="0"/>
        <extend val="0"/>
        <outline val="0"/>
        <shadow val="0"/>
        <u val="none"/>
        <vertAlign val="baseline"/>
        <sz val="11"/>
        <color rgb="FF000000"/>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right" vertical="center" textRotation="0" wrapText="1" indent="0" justifyLastLine="0" shrinkToFit="0" readingOrder="0"/>
    </dxf>
    <dxf>
      <font>
        <b/>
        <i val="0"/>
        <strike val="0"/>
        <condense val="0"/>
        <extend val="0"/>
        <outline val="0"/>
        <shadow val="0"/>
        <u val="none"/>
        <vertAlign val="baseline"/>
        <sz val="11"/>
        <color rgb="FF000000"/>
        <name val="Calibri"/>
        <family val="2"/>
        <scheme val="none"/>
      </font>
      <alignment horizontal="center" vertical="top" textRotation="0" wrapText="1"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right" vertical="center" textRotation="0" wrapText="1" indent="0" justifyLastLine="0" shrinkToFit="0" readingOrder="0"/>
    </dxf>
    <dxf>
      <font>
        <b/>
        <i val="0"/>
        <strike val="0"/>
        <condense val="0"/>
        <extend val="0"/>
        <outline val="0"/>
        <shadow val="0"/>
        <u val="none"/>
        <vertAlign val="baseline"/>
        <sz val="11"/>
        <color rgb="FF000000"/>
        <name val="Calibri"/>
        <family val="2"/>
        <scheme val="none"/>
      </font>
      <alignment horizontal="center" vertical="top" textRotation="0" wrapText="1" indent="0" justifyLastLine="0" shrinkToFit="0" readingOrder="0"/>
    </dxf>
    <dxf>
      <font>
        <strike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0"/>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thin">
          <color rgb="FF000000"/>
        </left>
        <right style="thin">
          <color rgb="FF000000"/>
        </right>
        <top style="thin">
          <color rgb="FF000000"/>
        </top>
        <bottom style="thin">
          <color rgb="FF000000"/>
        </bottom>
      </border>
    </dxf>
    <dxf>
      <font>
        <strike val="0"/>
        <outline val="0"/>
        <shadow val="0"/>
        <u val="none"/>
        <vertAlign val="baseline"/>
        <sz val="10"/>
        <color auto="1"/>
        <name val="Calibri"/>
        <family val="2"/>
        <scheme val="none"/>
      </font>
      <alignment horizontal="center" vertical="center" textRotation="0" wrapText="0" indent="0" justifyLastLine="0" shrinkToFit="0" readingOrder="0"/>
    </dxf>
    <dxf>
      <border>
        <bottom style="thin">
          <color rgb="FF000000"/>
        </bottom>
      </border>
    </dxf>
    <dxf>
      <font>
        <b/>
        <i val="0"/>
        <strike val="0"/>
        <condense val="0"/>
        <extend val="0"/>
        <outline val="0"/>
        <shadow val="0"/>
        <u val="none"/>
        <vertAlign val="baseline"/>
        <sz val="10"/>
        <color auto="1"/>
        <name val="Calibri"/>
        <family val="2"/>
        <scheme val="minor"/>
      </font>
      <fill>
        <patternFill patternType="solid">
          <fgColor theme="4"/>
          <bgColor theme="4"/>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0"/>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thin">
          <color rgb="FF000000"/>
        </left>
        <right style="thin">
          <color rgb="FF000000"/>
        </right>
        <top style="thin">
          <color rgb="FF000000"/>
        </top>
        <bottom style="thin">
          <color rgb="FF000000"/>
        </bottom>
      </border>
    </dxf>
    <dxf>
      <font>
        <strike val="0"/>
        <outline val="0"/>
        <shadow val="0"/>
        <u val="none"/>
        <vertAlign val="baseline"/>
        <sz val="10"/>
        <color auto="1"/>
        <name val="Calibri"/>
        <family val="2"/>
        <scheme val="none"/>
      </font>
      <alignment horizontal="center" vertical="center" textRotation="0" wrapText="0" indent="0" justifyLastLine="0" shrinkToFit="0" readingOrder="0"/>
    </dxf>
    <dxf>
      <border>
        <bottom style="thin">
          <color rgb="FF000000"/>
        </bottom>
      </border>
    </dxf>
    <dxf>
      <font>
        <b/>
        <i val="0"/>
        <strike val="0"/>
        <condense val="0"/>
        <extend val="0"/>
        <outline val="0"/>
        <shadow val="0"/>
        <u val="none"/>
        <vertAlign val="baseline"/>
        <sz val="10"/>
        <color auto="1"/>
        <name val="Calibri"/>
        <family val="2"/>
        <scheme val="minor"/>
      </font>
      <fill>
        <patternFill patternType="solid">
          <fgColor theme="4"/>
          <bgColor theme="4"/>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0"/>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thin">
          <color rgb="FF000000"/>
        </left>
        <right style="thin">
          <color rgb="FF000000"/>
        </right>
        <top style="thin">
          <color rgb="FF000000"/>
        </top>
        <bottom style="thin">
          <color rgb="FF000000"/>
        </bottom>
      </border>
    </dxf>
    <dxf>
      <font>
        <strike val="0"/>
        <outline val="0"/>
        <shadow val="0"/>
        <u val="none"/>
        <vertAlign val="baseline"/>
        <sz val="10"/>
        <color auto="1"/>
        <name val="Calibri"/>
        <family val="2"/>
        <scheme val="none"/>
      </font>
      <alignment horizontal="center" vertical="center" textRotation="0" wrapText="0" indent="0" justifyLastLine="0" shrinkToFit="0" readingOrder="0"/>
    </dxf>
    <dxf>
      <border>
        <bottom style="thin">
          <color rgb="FF000000"/>
        </bottom>
      </border>
    </dxf>
    <dxf>
      <font>
        <b/>
        <i val="0"/>
        <strike val="0"/>
        <condense val="0"/>
        <extend val="0"/>
        <outline val="0"/>
        <shadow val="0"/>
        <u val="none"/>
        <vertAlign val="baseline"/>
        <sz val="10"/>
        <color auto="1"/>
        <name val="Calibri"/>
        <family val="2"/>
        <scheme val="minor"/>
      </font>
      <fill>
        <patternFill patternType="solid">
          <fgColor theme="4"/>
          <bgColor theme="4"/>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0"/>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thin">
          <color rgb="FF000000"/>
        </left>
        <right style="thin">
          <color rgb="FF000000"/>
        </right>
        <top style="thin">
          <color rgb="FF000000"/>
        </top>
        <bottom style="thin">
          <color rgb="FF000000"/>
        </bottom>
      </border>
    </dxf>
    <dxf>
      <font>
        <strike val="0"/>
        <outline val="0"/>
        <shadow val="0"/>
        <u val="none"/>
        <vertAlign val="baseline"/>
        <sz val="10"/>
        <color auto="1"/>
        <name val="Calibri"/>
        <family val="2"/>
        <scheme val="none"/>
      </font>
      <alignment horizontal="center" vertical="center" textRotation="0" wrapText="0" indent="0" justifyLastLine="0" shrinkToFit="0" readingOrder="0"/>
    </dxf>
    <dxf>
      <border>
        <bottom style="thin">
          <color rgb="FF000000"/>
        </bottom>
      </border>
    </dxf>
    <dxf>
      <font>
        <b/>
        <i val="0"/>
        <strike val="0"/>
        <condense val="0"/>
        <extend val="0"/>
        <outline val="0"/>
        <shadow val="0"/>
        <u val="none"/>
        <vertAlign val="baseline"/>
        <sz val="10"/>
        <color auto="1"/>
        <name val="Calibri"/>
        <family val="2"/>
        <scheme val="minor"/>
      </font>
      <fill>
        <patternFill patternType="solid">
          <fgColor theme="4"/>
          <bgColor theme="4"/>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0"/>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thin">
          <color rgb="FF000000"/>
        </left>
        <right style="thin">
          <color rgb="FF000000"/>
        </right>
        <top style="thin">
          <color rgb="FF000000"/>
        </top>
        <bottom style="thin">
          <color rgb="FF000000"/>
        </bottom>
      </border>
    </dxf>
    <dxf>
      <font>
        <strike val="0"/>
        <outline val="0"/>
        <shadow val="0"/>
        <u val="none"/>
        <vertAlign val="baseline"/>
        <sz val="10"/>
        <color auto="1"/>
        <name val="Calibri"/>
        <family val="2"/>
        <scheme val="none"/>
      </font>
      <alignment horizontal="center" vertical="center" textRotation="0" wrapText="0" indent="0" justifyLastLine="0" shrinkToFit="0" readingOrder="0"/>
    </dxf>
    <dxf>
      <border>
        <bottom style="thin">
          <color rgb="FF000000"/>
        </bottom>
      </border>
    </dxf>
    <dxf>
      <font>
        <b/>
        <i val="0"/>
        <strike val="0"/>
        <condense val="0"/>
        <extend val="0"/>
        <outline val="0"/>
        <shadow val="0"/>
        <u val="none"/>
        <vertAlign val="baseline"/>
        <sz val="10"/>
        <color auto="1"/>
        <name val="Calibri"/>
        <family val="2"/>
        <scheme val="minor"/>
      </font>
      <fill>
        <patternFill patternType="solid">
          <fgColor theme="4"/>
          <bgColor theme="4"/>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0"/>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thin">
          <color rgb="FF000000"/>
        </left>
        <right style="thin">
          <color rgb="FF000000"/>
        </right>
        <top style="thin">
          <color rgb="FF000000"/>
        </top>
        <bottom style="thin">
          <color rgb="FF000000"/>
        </bottom>
      </border>
    </dxf>
    <dxf>
      <font>
        <strike val="0"/>
        <outline val="0"/>
        <shadow val="0"/>
        <u val="none"/>
        <vertAlign val="baseline"/>
        <sz val="10"/>
        <color auto="1"/>
        <name val="Calibri"/>
        <family val="2"/>
        <scheme val="none"/>
      </font>
      <alignment horizontal="center" vertical="center" textRotation="0" wrapText="0" indent="0" justifyLastLine="0" shrinkToFit="0" readingOrder="0"/>
    </dxf>
    <dxf>
      <border>
        <bottom style="thin">
          <color rgb="FF000000"/>
        </bottom>
      </border>
    </dxf>
    <dxf>
      <font>
        <b/>
        <i val="0"/>
        <strike val="0"/>
        <condense val="0"/>
        <extend val="0"/>
        <outline val="0"/>
        <shadow val="0"/>
        <u val="none"/>
        <vertAlign val="baseline"/>
        <sz val="10"/>
        <color auto="1"/>
        <name val="Calibri"/>
        <family val="2"/>
        <scheme val="minor"/>
      </font>
      <fill>
        <patternFill patternType="solid">
          <fgColor theme="4"/>
          <bgColor theme="4"/>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0"/>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thin">
          <color rgb="FF000000"/>
        </left>
        <right style="thin">
          <color rgb="FF000000"/>
        </right>
        <top style="thin">
          <color rgb="FF000000"/>
        </top>
        <bottom style="thin">
          <color rgb="FF000000"/>
        </bottom>
      </border>
    </dxf>
    <dxf>
      <font>
        <strike val="0"/>
        <outline val="0"/>
        <shadow val="0"/>
        <u val="none"/>
        <vertAlign val="baseline"/>
        <sz val="10"/>
        <color auto="1"/>
        <name val="Calibri"/>
        <family val="2"/>
        <scheme val="none"/>
      </font>
      <alignment horizontal="center" vertical="center" textRotation="0" wrapText="0" indent="0" justifyLastLine="0" shrinkToFit="0" readingOrder="0"/>
    </dxf>
    <dxf>
      <border>
        <bottom style="thin">
          <color rgb="FF000000"/>
        </bottom>
      </border>
    </dxf>
    <dxf>
      <font>
        <b/>
        <i val="0"/>
        <strike val="0"/>
        <condense val="0"/>
        <extend val="0"/>
        <outline val="0"/>
        <shadow val="0"/>
        <u val="none"/>
        <vertAlign val="baseline"/>
        <sz val="10"/>
        <color auto="1"/>
        <name val="Calibri"/>
        <family val="2"/>
        <scheme val="minor"/>
      </font>
      <fill>
        <patternFill patternType="solid">
          <fgColor theme="4"/>
          <bgColor theme="4"/>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0"/>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thin">
          <color rgb="FF000000"/>
        </left>
        <right style="thin">
          <color rgb="FF000000"/>
        </right>
        <top style="thin">
          <color rgb="FF000000"/>
        </top>
        <bottom style="thin">
          <color rgb="FF000000"/>
        </bottom>
      </border>
    </dxf>
    <dxf>
      <font>
        <strike val="0"/>
        <outline val="0"/>
        <shadow val="0"/>
        <u val="none"/>
        <vertAlign val="baseline"/>
        <sz val="10"/>
        <color auto="1"/>
        <name val="Calibri"/>
        <family val="2"/>
        <scheme val="none"/>
      </font>
      <alignment horizontal="center" vertical="center" textRotation="0" wrapText="0" indent="0" justifyLastLine="0" shrinkToFit="0" readingOrder="0"/>
    </dxf>
    <dxf>
      <border>
        <bottom style="thin">
          <color rgb="FF000000"/>
        </bottom>
      </border>
    </dxf>
    <dxf>
      <font>
        <b/>
        <i val="0"/>
        <strike val="0"/>
        <condense val="0"/>
        <extend val="0"/>
        <outline val="0"/>
        <shadow val="0"/>
        <u val="none"/>
        <vertAlign val="baseline"/>
        <sz val="10"/>
        <color auto="1"/>
        <name val="Calibri"/>
        <family val="2"/>
        <scheme val="minor"/>
      </font>
      <fill>
        <patternFill patternType="solid">
          <fgColor theme="4"/>
          <bgColor theme="4"/>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0"/>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minor"/>
      </font>
      <alignment horizontal="center" vertical="center" textRotation="0" wrapText="0" indent="0" justifyLastLine="0" shrinkToFit="0" readingOrder="0"/>
    </dxf>
    <dxf>
      <border>
        <bottom style="thin">
          <color indexed="64"/>
        </bottom>
      </border>
    </dxf>
    <dxf>
      <font>
        <b/>
        <i val="0"/>
        <strike val="0"/>
        <condense val="0"/>
        <extend val="0"/>
        <outline val="0"/>
        <shadow val="0"/>
        <u val="none"/>
        <vertAlign val="baseline"/>
        <sz val="10"/>
        <color auto="1"/>
        <name val="Calibri"/>
        <family val="2"/>
        <scheme val="minor"/>
      </font>
      <fill>
        <patternFill patternType="solid">
          <fgColor theme="4"/>
          <bgColor theme="4"/>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minor"/>
      </font>
      <alignment horizontal="center" vertical="center" textRotation="0" wrapText="0" indent="0" justifyLastLine="0" shrinkToFit="0" readingOrder="0"/>
    </dxf>
    <dxf>
      <border>
        <bottom style="thin">
          <color indexed="64"/>
        </bottom>
      </border>
    </dxf>
    <dxf>
      <font>
        <b/>
        <i val="0"/>
        <strike val="0"/>
        <condense val="0"/>
        <extend val="0"/>
        <outline val="0"/>
        <shadow val="0"/>
        <u val="none"/>
        <vertAlign val="baseline"/>
        <sz val="10"/>
        <color auto="1"/>
        <name val="Calibri"/>
        <family val="2"/>
        <scheme val="minor"/>
      </font>
      <fill>
        <patternFill patternType="solid">
          <fgColor theme="4"/>
          <bgColor theme="4"/>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minor"/>
      </font>
      <alignment horizontal="center" vertical="center" textRotation="0" wrapText="0" indent="0" justifyLastLine="0" shrinkToFit="0" readingOrder="0"/>
    </dxf>
    <dxf>
      <border>
        <bottom style="thin">
          <color indexed="64"/>
        </bottom>
      </border>
    </dxf>
    <dxf>
      <font>
        <b/>
        <i val="0"/>
        <strike val="0"/>
        <condense val="0"/>
        <extend val="0"/>
        <outline val="0"/>
        <shadow val="0"/>
        <u val="none"/>
        <vertAlign val="baseline"/>
        <sz val="10"/>
        <color auto="1"/>
        <name val="Calibri"/>
        <family val="2"/>
        <scheme val="minor"/>
      </font>
      <fill>
        <patternFill patternType="solid">
          <fgColor theme="4"/>
          <bgColor theme="4"/>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Calibri"/>
        <family val="2"/>
        <scheme val="minor"/>
      </font>
      <numFmt numFmtId="0" formatCode="Genera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auto="1"/>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minor"/>
      </font>
      <alignment horizontal="center" vertical="center" textRotation="0" wrapText="0" indent="0" justifyLastLine="0" shrinkToFit="0" readingOrder="0"/>
    </dxf>
    <dxf>
      <border>
        <bottom style="thin">
          <color indexed="64"/>
        </bottom>
      </border>
    </dxf>
    <dxf>
      <font>
        <b/>
        <i val="0"/>
        <strike val="0"/>
        <condense val="0"/>
        <extend val="0"/>
        <outline val="0"/>
        <shadow val="0"/>
        <u val="none"/>
        <vertAlign val="baseline"/>
        <sz val="10"/>
        <color auto="1"/>
        <name val="Calibri"/>
        <family val="2"/>
        <scheme val="minor"/>
      </font>
      <fill>
        <patternFill patternType="solid">
          <fgColor theme="4"/>
          <bgColor theme="4"/>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auto="1"/>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minor"/>
      </font>
      <alignment horizontal="center" vertical="center" textRotation="0" wrapText="0" indent="0" justifyLastLine="0" shrinkToFit="0" readingOrder="0"/>
    </dxf>
    <dxf>
      <border>
        <bottom style="thin">
          <color indexed="64"/>
        </bottom>
      </border>
    </dxf>
    <dxf>
      <font>
        <b/>
        <i val="0"/>
        <strike val="0"/>
        <condense val="0"/>
        <extend val="0"/>
        <outline val="0"/>
        <shadow val="0"/>
        <u val="none"/>
        <vertAlign val="baseline"/>
        <sz val="10"/>
        <color auto="1"/>
        <name val="Calibri"/>
        <family val="2"/>
        <scheme val="minor"/>
      </font>
      <fill>
        <patternFill patternType="solid">
          <fgColor theme="4"/>
          <bgColor theme="4"/>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115762</xdr:colOff>
      <xdr:row>31</xdr:row>
      <xdr:rowOff>10309</xdr:rowOff>
    </xdr:to>
    <xdr:pic>
      <xdr:nvPicPr>
        <xdr:cNvPr id="2" name="Picture 1">
          <a:extLst>
            <a:ext uri="{FF2B5EF4-FFF2-40B4-BE49-F238E27FC236}">
              <a16:creationId xmlns:a16="http://schemas.microsoft.com/office/drawing/2014/main" id="{B360558E-DCDC-B436-7339-1298CE2D88FB}"/>
            </a:ext>
          </a:extLst>
        </xdr:cNvPr>
        <xdr:cNvPicPr>
          <a:picLocks noChangeAspect="1"/>
        </xdr:cNvPicPr>
      </xdr:nvPicPr>
      <xdr:blipFill>
        <a:blip xmlns:r="http://schemas.openxmlformats.org/officeDocument/2006/relationships" r:embed="rId1"/>
        <a:stretch>
          <a:fillRect/>
        </a:stretch>
      </xdr:blipFill>
      <xdr:spPr>
        <a:xfrm>
          <a:off x="0" y="0"/>
          <a:ext cx="10478962" cy="5620534"/>
        </a:xfrm>
        <a:prstGeom prst="rect">
          <a:avLst/>
        </a:prstGeom>
      </xdr:spPr>
    </xdr:pic>
    <xdr:clientData/>
  </xdr:twoCellAnchor>
  <xdr:twoCellAnchor editAs="oneCell">
    <xdr:from>
      <xdr:col>0</xdr:col>
      <xdr:colOff>0</xdr:colOff>
      <xdr:row>32</xdr:row>
      <xdr:rowOff>0</xdr:rowOff>
    </xdr:from>
    <xdr:to>
      <xdr:col>17</xdr:col>
      <xdr:colOff>372973</xdr:colOff>
      <xdr:row>59</xdr:row>
      <xdr:rowOff>153103</xdr:rowOff>
    </xdr:to>
    <xdr:pic>
      <xdr:nvPicPr>
        <xdr:cNvPr id="3" name="Picture 2">
          <a:extLst>
            <a:ext uri="{FF2B5EF4-FFF2-40B4-BE49-F238E27FC236}">
              <a16:creationId xmlns:a16="http://schemas.microsoft.com/office/drawing/2014/main" id="{75477B4C-7FC5-B1D2-D3FC-2A29DC4C9493}"/>
            </a:ext>
          </a:extLst>
        </xdr:cNvPr>
        <xdr:cNvPicPr>
          <a:picLocks noChangeAspect="1"/>
        </xdr:cNvPicPr>
      </xdr:nvPicPr>
      <xdr:blipFill>
        <a:blip xmlns:r="http://schemas.openxmlformats.org/officeDocument/2006/relationships" r:embed="rId2"/>
        <a:stretch>
          <a:fillRect/>
        </a:stretch>
      </xdr:blipFill>
      <xdr:spPr>
        <a:xfrm>
          <a:off x="0" y="5791200"/>
          <a:ext cx="10736173" cy="5039428"/>
        </a:xfrm>
        <a:prstGeom prst="rect">
          <a:avLst/>
        </a:prstGeom>
      </xdr:spPr>
    </xdr:pic>
    <xdr:clientData/>
  </xdr:twoCellAnchor>
  <xdr:twoCellAnchor editAs="oneCell">
    <xdr:from>
      <xdr:col>0</xdr:col>
      <xdr:colOff>0</xdr:colOff>
      <xdr:row>61</xdr:row>
      <xdr:rowOff>0</xdr:rowOff>
    </xdr:from>
    <xdr:to>
      <xdr:col>21</xdr:col>
      <xdr:colOff>493058</xdr:colOff>
      <xdr:row>104</xdr:row>
      <xdr:rowOff>96349</xdr:rowOff>
    </xdr:to>
    <xdr:pic>
      <xdr:nvPicPr>
        <xdr:cNvPr id="4" name="Picture 3">
          <a:extLst>
            <a:ext uri="{FF2B5EF4-FFF2-40B4-BE49-F238E27FC236}">
              <a16:creationId xmlns:a16="http://schemas.microsoft.com/office/drawing/2014/main" id="{C5186536-E899-236E-8305-DE6B8084DFED}"/>
            </a:ext>
          </a:extLst>
        </xdr:cNvPr>
        <xdr:cNvPicPr>
          <a:picLocks noChangeAspect="1"/>
        </xdr:cNvPicPr>
      </xdr:nvPicPr>
      <xdr:blipFill>
        <a:blip xmlns:r="http://schemas.openxmlformats.org/officeDocument/2006/relationships" r:embed="rId3"/>
        <a:stretch>
          <a:fillRect/>
        </a:stretch>
      </xdr:blipFill>
      <xdr:spPr>
        <a:xfrm>
          <a:off x="0" y="10936941"/>
          <a:ext cx="13200529" cy="78059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nileshdp_wipropari_com/Documents/PROJECTS/ASRS/WMS_Industary_2.0/Docs/Software%202.0%20Design%20Document.xlsx" TargetMode="External"/><Relationship Id="rId2" Type="http://schemas.openxmlformats.org/officeDocument/2006/relationships/externalLinkPath" Target="https://parirobotics-my.sharepoint.com/personal/nileshdp_wipropari_com/Documents/PROJECTS/ASRS/WMS_Industary_2.0/Docs/Software%202.0%20Design%20Document.xlsx" TargetMode="External"/><Relationship Id="rId1" Type="http://schemas.openxmlformats.org/officeDocument/2006/relationships/externalLinkPath" Target="/personal/nileshdp_wipropari_com/Documents/PROJECTS/ASRS/WMS_Industary_2.0/Docs/Software%202.0%20Design%20Document.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vishalr_wipropari_com/Documents/Desktop/Himalaya/5.%20Software/ICD%20External/WCS%20ICD/P24V3_PLC_WMS_ICD_V1.8.4.xlsx" TargetMode="External"/><Relationship Id="rId2" Type="http://schemas.openxmlformats.org/officeDocument/2006/relationships/externalLinkPath" Target="file:///\\parienggnew\BUSINESS%20PRODUCTS%201\ASRS\2024-2025\P24V3-ASRS%20Himalaya,%20Sanand\2-Electrical%20Design\11-Software\2.OA%20&amp;%20ICD%20&amp;%20Error_list%20&amp;%20HMI%20Navigation%20&amp;%20IP%20Address\ICD%20External\WCS%20ICD\P24V3_PLC_WMS_ICD_V1.8.4.xlsx" TargetMode="External"/><Relationship Id="rId1" Type="http://schemas.openxmlformats.org/officeDocument/2006/relationships/externalLinkPath" Target="/personal/vishalr_wipropari_com/Documents/Desktop/Himalaya/5.%20Software/ICD%20External/WCS%20ICD/P24V3_PLC_WMS_ICD_V1.8.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roject Information"/>
      <sheetName val="Layout (Name)"/>
      <sheetName val="Layout (ID)"/>
      <sheetName val="Path List"/>
      <sheetName val="Path Planning"/>
      <sheetName val="M_Station"/>
      <sheetName val="StationType"/>
      <sheetName val="StationFunction"/>
      <sheetName val="StationConnectivity"/>
      <sheetName val="Discussion"/>
      <sheetName val="Sheet6"/>
      <sheetName val="Sheet2"/>
      <sheetName val="Sheet5"/>
      <sheetName val="Sheet4"/>
      <sheetName val="Subsystems"/>
      <sheetName val="Infeed"/>
      <sheetName val="Rejection"/>
      <sheetName val="Outfeed"/>
      <sheetName val="Stacker(s)"/>
      <sheetName val="Shuttle"/>
      <sheetName val="Outfeed Bay(s)"/>
      <sheetName val="Interfacing"/>
      <sheetName val="Sheet3"/>
      <sheetName val="Sheet1"/>
      <sheetName val="Suggestion1"/>
      <sheetName val="Software 2.0 Design Documen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vision"/>
      <sheetName val="Note"/>
      <sheetName val="PLC ↔ WCS ICD"/>
      <sheetName val="Station Details"/>
      <sheetName val="Inbound"/>
      <sheetName val="ASRS"/>
      <sheetName val="OB to Man Unwrapping"/>
      <sheetName val="GTP"/>
      <sheetName val="Outbound"/>
      <sheetName val="Flammable"/>
      <sheetName val="Prod G AMB"/>
      <sheetName val="Prod G Cold"/>
      <sheetName val="Prod G floor"/>
      <sheetName val="Prod G+1&amp;2 AMB"/>
      <sheetName val="Prod G+1&amp;2 Cold"/>
      <sheetName val="Prod G 10M AMB"/>
      <sheetName val="Prod G+1 10M AMB"/>
      <sheetName val="Pallet Type"/>
      <sheetName val="PLC PC IP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persons/person.xml><?xml version="1.0" encoding="utf-8"?>
<personList xmlns="http://schemas.microsoft.com/office/spreadsheetml/2018/threadedcomments" xmlns:x="http://schemas.openxmlformats.org/spreadsheetml/2006/main">
  <person displayName="Ganesh T. Kamble" id="{34758114-9FA9-4BC4-AEAD-F53F69E839E8}" userId="S::ganeshtk@wipropari.com::ec6a40ed-c23d-4720-94a6-436ce7c9a0d0"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jay V. Khandalkar" refreshedDate="46231.710615972224" createdVersion="8" refreshedVersion="8" minRefreshableVersion="3" recordCount="21" xr:uid="{F16689C6-19D2-4B3A-81AF-B5C5FDEAFF9D}">
  <cacheSource type="worksheet">
    <worksheetSource ref="B2:H23" sheet="Revision"/>
  </cacheSource>
  <cacheFields count="10">
    <cacheField name="Sr.No." numFmtId="0">
      <sharedItems containsSemiMixedTypes="0" containsString="0" containsNumber="1" containsInteger="1" minValue="1" maxValue="21"/>
    </cacheField>
    <cacheField name="Date" numFmtId="15">
      <sharedItems containsSemiMixedTypes="0" containsNonDate="0" containsDate="1" containsString="0" minDate="2025-05-13T00:00:00" maxDate="2026-07-07T00:00:00" count="19">
        <d v="2025-05-13T00:00:00"/>
        <d v="2025-07-29T00:00:00"/>
        <d v="2025-08-26T00:00:00"/>
        <d v="2025-10-07T00:00:00"/>
        <d v="2025-10-15T00:00:00"/>
        <d v="2025-11-11T00:00:00"/>
        <d v="2025-11-28T00:00:00"/>
        <d v="2025-12-04T00:00:00"/>
        <d v="2025-12-12T00:00:00"/>
        <d v="2026-01-07T00:00:00"/>
        <d v="2026-01-13T00:00:00"/>
        <d v="2026-01-21T00:00:00"/>
        <d v="2026-01-23T00:00:00"/>
        <d v="2026-03-24T00:00:00"/>
        <d v="2026-05-15T00:00:00"/>
        <d v="2026-06-11T00:00:00"/>
        <d v="2026-06-25T00:00:00"/>
        <d v="2026-06-26T00:00:00"/>
        <d v="2026-07-06T00:00:00"/>
      </sharedItems>
      <fieldGroup par="9"/>
    </cacheField>
    <cacheField name="Rev.No." numFmtId="0">
      <sharedItems containsMixedTypes="1" containsNumber="1" minValue="1" maxValue="1.9"/>
    </cacheField>
    <cacheField name="Description of revision" numFmtId="0">
      <sharedItems longText="1"/>
    </cacheField>
    <cacheField name="Change Type" numFmtId="0">
      <sharedItems containsBlank="1" count="4">
        <s v="Internal"/>
        <s v="Devlopment"/>
        <s v="Config"/>
        <m u="1"/>
      </sharedItems>
    </cacheField>
    <cacheField name="Attendee" numFmtId="0">
      <sharedItems/>
    </cacheField>
    <cacheField name="Remarks" numFmtId="0">
      <sharedItems containsBlank="1" longText="1"/>
    </cacheField>
    <cacheField name="Months (Date)" numFmtId="0" databaseField="0">
      <fieldGroup base="1">
        <rangePr groupBy="months" startDate="2025-05-13T00:00:00" endDate="2026-07-07T00:00:00"/>
        <groupItems count="14">
          <s v="&lt;13/05/2025"/>
          <s v="Jan"/>
          <s v="Feb"/>
          <s v="Mar"/>
          <s v="Apr"/>
          <s v="May"/>
          <s v="Jun"/>
          <s v="Jul"/>
          <s v="Aug"/>
          <s v="Sep"/>
          <s v="Oct"/>
          <s v="Nov"/>
          <s v="Dec"/>
          <s v="&gt;07/07/2026"/>
        </groupItems>
      </fieldGroup>
    </cacheField>
    <cacheField name="Quarters (Date)" numFmtId="0" databaseField="0">
      <fieldGroup base="1">
        <rangePr groupBy="quarters" startDate="2025-05-13T00:00:00" endDate="2026-07-07T00:00:00"/>
        <groupItems count="6">
          <s v="&lt;13/05/2025"/>
          <s v="Qtr1"/>
          <s v="Qtr2"/>
          <s v="Qtr3"/>
          <s v="Qtr4"/>
          <s v="&gt;07/07/2026"/>
        </groupItems>
      </fieldGroup>
    </cacheField>
    <cacheField name="Years (Date)" numFmtId="0" databaseField="0">
      <fieldGroup base="1">
        <rangePr groupBy="years" startDate="2025-05-13T00:00:00" endDate="2026-07-07T00:00:00"/>
        <groupItems count="4">
          <s v="&lt;13/05/2025"/>
          <s v="2025"/>
          <s v="2026"/>
          <s v="&gt;07/07/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n v="1"/>
    <x v="0"/>
    <n v="1"/>
    <s v="Initial draft"/>
    <x v="0"/>
    <s v="Ganesh K"/>
    <s v="Initial draft"/>
  </r>
  <r>
    <n v="2"/>
    <x v="1"/>
    <n v="1.1000000000000001"/>
    <s v="as per flow ICD updated in various station"/>
    <x v="0"/>
    <s v="Raja, Kautubha, Vishal, Ganesh"/>
    <m/>
  </r>
  <r>
    <n v="3"/>
    <x v="2"/>
    <n v="1.2"/>
    <s v="Below var added_x000a_StackDestackStation- Abort, Abort_Ack_x000a_LabellingStation- Pallet_Labelling_Status_Ack_x000a_WrapUnwrapStation- Wrapping_Status_x000a_UnloadingStation- Type_of_Operation"/>
    <x v="0"/>
    <s v="Ganesh K"/>
    <m/>
  </r>
  <r>
    <n v="4"/>
    <x v="3"/>
    <n v="1.3"/>
    <s v="All area station master sheets added"/>
    <x v="0"/>
    <s v="Ganesh K"/>
    <m/>
  </r>
  <r>
    <n v="5"/>
    <x v="4"/>
    <n v="1.4"/>
    <s v="abort and its ack added in conveyor station and cross transfer station"/>
    <x v="0"/>
    <s v="Ganesh K"/>
    <m/>
  </r>
  <r>
    <n v="6"/>
    <x v="5"/>
    <n v="1.5"/>
    <s v="ElevatorStation added"/>
    <x v="0"/>
    <s v="Ganesh K"/>
    <m/>
  </r>
  <r>
    <n v="7"/>
    <x v="6"/>
    <n v="1.6"/>
    <s v="Pallet_Status variable added in profile check station"/>
    <x v="0"/>
    <s v="Rohit P"/>
    <m/>
  </r>
  <r>
    <n v="8"/>
    <x v="7"/>
    <n v="1.7"/>
    <s v="GTP decision station added"/>
    <x v="0"/>
    <s v="Ganesh K"/>
    <m/>
  </r>
  <r>
    <n v="9"/>
    <x v="8"/>
    <n v="1.8"/>
    <s v="• In the &quot;PLC ↔ WCS ICD&quot; sheet, the below ICDs have been added for logging purposes only._x000a_CNV_Movimot_Drive_x000a_STR_Lifter_Movimot_Drive_x000a_STR_Gripper_Movimot_Drive_x000a_CT_Mofivit_Drive_x000a_CT_Moviswitch_Drive_x000a_CNV_Barcode_Scanner_x000a_CT_Barcode_Scanner_x000a_Inbound_Main_Panel_Error_Mgr_x000a_Inbound_Branch_Error_Manager_x000a_Inbound_Safety_Door_x000a_Inbound_Cross_Over_x000a_• In the &quot;Inbound&quot; sheet, the above ICDs were added in the Functionality3 column, and a &quot;Barcode Present&quot; column was also added."/>
    <x v="1"/>
    <s v="Ganesh K"/>
    <s v="Variable added for diagnostic logging purposes only, to easier issue identification and tracking_x000a_Shared With Mukunda Haveris, Abhijeet Phatak &amp; Raja Date 16-12-2025"/>
  </r>
  <r>
    <n v="10"/>
    <x v="9"/>
    <s v="1.8.1"/>
    <s v="Loading Station ICD: Removed extra space from the Loading_Type variable._x000a_Stack De-stack Station ICD: Removed extra space from the Loading_Type variable._x000a_Wrap/Unwrap Station ICD: Corrected spelling of the Pallet_Operation_Status variable._x000a_Separator Station ICD: Corrected spelling of the Pallet_Operation_Status variable."/>
    <x v="1"/>
    <s v="Ganesh K"/>
    <s v="Extra Space removed &amp; Spelling corrected."/>
  </r>
  <r>
    <n v="11"/>
    <x v="9"/>
    <s v="1.8.2"/>
    <s v="Updated &quot;Prod G 10M AMB&quot; &amp; &quot;Prod G+1 10M AMB&quot; sheet for source &amp; destination requirment"/>
    <x v="2"/>
    <s v=" Vishal, Ganesh K"/>
    <s v="Related areas are on hold from the customer side."/>
  </r>
  <r>
    <n v="12"/>
    <x v="10"/>
    <s v="1.8.3"/>
    <s v="• Below variables data type changed from bool to byte_x000a_Request_For_Labelling_ACK_x000a_Request_For_Operation_ACK"/>
    <x v="2"/>
    <s v="Ganesh K"/>
    <s v="Only the data type was corrected"/>
  </r>
  <r>
    <n v="13"/>
    <x v="11"/>
    <s v="1.8.4"/>
    <s v="_x000a_Pallet_ID_From_WCS: change string length from 35 to 10_x000a_Pallet_ID_From_PLC: change string length from 35 to 10_x000a_Vendor_Pallet_ID_From_PLC: change string length from 35 to 50_x000a_&quot;Note&quot; sheet modified for Source and destination requirement_x000a_&quot;SeparatorStationIP[X].Pallet_type&quot; variable remark added_x000a_"/>
    <x v="2"/>
    <s v="Ganesh K"/>
    <s v="Updated to comply with the customer pallet ID length of 10 characters"/>
  </r>
  <r>
    <n v="14"/>
    <x v="12"/>
    <n v="1.9"/>
    <s v="• In the ASRS, OB to Man Unwrapping, GTP, Outbound, Flammable, Prod G AMB, Prod G Cold, Prod G floor, Prod G+1&amp;2 AMB, Prod G+1&amp;2 Cold, Prod G 10M AMB and Prod G+1 10M AMB sheets added  Functionality3 column, and a &quot;Barcode Present&quot; column."/>
    <x v="1"/>
    <s v="Ganesh K"/>
    <s v="Variable added for diagnostic logging purposes only, to easier issue identification and tracking"/>
  </r>
  <r>
    <n v="15"/>
    <x v="13"/>
    <s v="1.10"/>
    <s v="Redundancy sheet added"/>
    <x v="2"/>
    <s v="Mahesh Joshi"/>
    <s v="Conceptulisation was pending as it needs discussion with mWCs team"/>
  </r>
  <r>
    <n v="16"/>
    <x v="14"/>
    <n v="1.1100000000000001"/>
    <s v="Below mentioned changes are updated during testing on site_x000a_1. Updated description for pallet &quot;Profile_Status&quot; variable ( no-9)_x000a_2. Updated description for &quot;Type_of_Operation&quot; varibale for loading, unloading &amp; stacke_Destack stations_x000a_3. Added 64 no in &quot;State&quot; of unloading station _x000a_4. Updated description for &quot;Vendor_Pallet_ID_From_PLC&quot; in profile check station_x000a_5. Station master updated as per changes on site "/>
    <x v="2"/>
    <s v=" Vishal, Ganesh K, Mukunda"/>
    <s v="The changes were implemented in the mWCS and PLC during testing and have been documented in the ICD."/>
  </r>
  <r>
    <n v="17"/>
    <x v="15"/>
    <n v="1.1200000000000001"/>
    <s v="&quot; PLC Zone Interface&quot; ICD updated _x000a_--- Removed conveyor_numbers"/>
    <x v="2"/>
    <s v=" Vishal, Ganesh K"/>
    <s v="Conveyor no. Not required (This is related to redundancy logic)"/>
  </r>
  <r>
    <n v="18"/>
    <x v="15"/>
    <n v="1.1299999999999999"/>
    <s v="In GTP, B88C1, B88C2, B88C4, B93C1 &amp; B93C2 station removed"/>
    <x v="2"/>
    <s v="Vishal, Ganesh K, Kaustubh, Raja"/>
    <s v="As agreed during the discussion with Raja, Mukunda H., Kaustubh Bapat, and Abhijit Phatak, unused stations (conveyors) were removed from the Station Master, as they are unable to accommodate full pallets - Layout issue - only config change on mWCS side"/>
  </r>
  <r>
    <n v="19"/>
    <x v="16"/>
    <n v="1.1399999999999999"/>
    <s v="In EZ9: B86C1, B80C1 &amp; EZ8: B64C1 stations removed"/>
    <x v="2"/>
    <s v="Ajay K, Abhijeet, Mukunda"/>
    <s v="Based on the recommendation of Abhijit Phatak and Mukunda Ji, the decision points associated with stations B86C1, B80C1, and B64C1 have been removed. (This is done to easy handling of Source / detination on mWCS side)- Only Configuration change in mWCS side"/>
  </r>
  <r>
    <n v="20"/>
    <x v="17"/>
    <n v="1.1499999999999999"/>
    <s v="EZ8:B61C7,B61C8,B61C9,B62C1,B62C2_x000a_EZ9:B77C7,B77C8,B77C9,B78C1,B78C2,B78C3 Stations has been removed"/>
    <x v="2"/>
    <s v="Ajay K, Abhijeet, Mukunda"/>
    <s v="As discussed on Site B61C7,B61C8,B61C9,B62C1,B62C2,B77C7,B77C8,B77C9,B78C1,B78C2,B78C3 Decision Points has been removed (mWCS no need to give source &amp; destination for this station) - This was tested at site in May26 on Both sitdes; but not modified in ICD.- only config change on mWCS side"/>
  </r>
  <r>
    <n v="21"/>
    <x v="18"/>
    <n v="1.1599999999999999"/>
    <s v="EZ6:B40C1, B38C3_x000a_EZ8:B59C1, B60C1,B68C1,B69C1_x000a_EZ9:B75C1, B76C1, B84C1, B85C1 Stations has been removed"/>
    <x v="2"/>
    <s v="Ajay K, Abhijeet, Mukunda"/>
    <s v="There is no change required from mWCS &amp; PLC, also tested on site &amp; NVIDIA, unsed station has beed removed from station master - Layout issue only config change on mWCS sid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BD79FD-2737-442B-B699-2B70ABD3440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6" firstHeaderRow="1" firstDataRow="2" firstDataCol="1"/>
  <pivotFields count="10">
    <pivotField showAll="0"/>
    <pivotField axis="axisRow" numFmtId="15" showAll="0">
      <items count="20">
        <item h="1" x="0"/>
        <item h="1" x="1"/>
        <item h="1" x="2"/>
        <item h="1" x="3"/>
        <item h="1" x="4"/>
        <item h="1" x="5"/>
        <item h="1" x="6"/>
        <item h="1" x="7"/>
        <item x="8"/>
        <item x="9"/>
        <item x="10"/>
        <item x="11"/>
        <item x="12"/>
        <item x="13"/>
        <item x="14"/>
        <item x="15"/>
        <item x="16"/>
        <item x="17"/>
        <item x="18"/>
        <item t="default"/>
      </items>
    </pivotField>
    <pivotField dataField="1" showAll="0"/>
    <pivotField showAll="0"/>
    <pivotField axis="axisCol" showAll="0">
      <items count="5">
        <item x="2"/>
        <item x="1"/>
        <item m="1" x="3"/>
        <item x="0"/>
        <item t="default"/>
      </items>
    </pivotField>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
  </rowFields>
  <rowItems count="12">
    <i>
      <x v="8"/>
    </i>
    <i>
      <x v="9"/>
    </i>
    <i>
      <x v="10"/>
    </i>
    <i>
      <x v="11"/>
    </i>
    <i>
      <x v="12"/>
    </i>
    <i>
      <x v="13"/>
    </i>
    <i>
      <x v="14"/>
    </i>
    <i>
      <x v="15"/>
    </i>
    <i>
      <x v="16"/>
    </i>
    <i>
      <x v="17"/>
    </i>
    <i>
      <x v="18"/>
    </i>
    <i t="grand">
      <x/>
    </i>
  </rowItems>
  <colFields count="1">
    <field x="4"/>
  </colFields>
  <colItems count="3">
    <i>
      <x/>
    </i>
    <i>
      <x v="1"/>
    </i>
    <i t="grand">
      <x/>
    </i>
  </colItems>
  <dataFields count="1">
    <dataField name="Count of Rev.No."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8C14BA-9E52-4DAF-B9BF-4F3E2901CCAE}" name="Table3" displayName="Table3" ref="A1:N48" totalsRowShown="0" headerRowDxfId="783" dataDxfId="781" headerRowBorderDxfId="782" tableBorderDxfId="780" totalsRowBorderDxfId="779">
  <autoFilter ref="A1:N48" xr:uid="{6143F340-ADC2-401F-9AF5-0591B2295C12}"/>
  <tableColumns count="14">
    <tableColumn id="1" xr3:uid="{4E40CA4A-D6FF-4C00-B340-7AC9890B2E37}" name="ID" dataDxfId="778">
      <calculatedColumnFormula>IF(ISNUMBER(SEARCH("CT",B2)),"1"&amp;MID(B2,2,FIND("CT",B2)-2)&amp;RIGHT(B2,1),MID(B2,2,FIND("C",B2)-2)&amp;RIGHT(B2,1))</calculatedColumnFormula>
    </tableColumn>
    <tableColumn id="2" xr3:uid="{0F40FB20-3318-45C4-928B-86CBB6F8C51E}" name="Name" dataDxfId="777"/>
    <tableColumn id="3" xr3:uid="{E73CA930-D540-4E54-B5DB-634A135FC92E}" name="PLC ID" dataDxfId="776"/>
    <tableColumn id="4" xr3:uid="{6B18D017-32F5-4684-BAF6-D9635F89D3CC}" name="Zone ID" dataDxfId="775"/>
    <tableColumn id="5" xr3:uid="{A47B0C6D-4E01-4581-8D85-96715EBB6F5E}" name="Functionality 1 with Array Index" dataDxfId="774">
      <calculatedColumnFormula>IF(ISNUMBER(SEARCH("CT",B2)),
   "CrossTransferStation[" &amp; (Q$3 + COUNTIF($B$2:B2,"*CT*")-1) &amp; "]",
   IF(AND(ISNUMBER(SEARCH("C",B2)),NOT(ISNUMBER(SEARCH("CT",B2)))),
      "ConveyorStation[" &amp; (Q$2 + COUNTIF($B$2:B2,"*C*") - COUNTIF($B$2:B2,"*CT*")-1) &amp; "]",
      ""))</calculatedColumnFormula>
    </tableColumn>
    <tableColumn id="10" xr3:uid="{934914CC-D66A-4BEC-B358-752A52D04164}" name="Functionality 2 with Array Index" dataDxfId="773"/>
    <tableColumn id="7" xr3:uid="{8B8469ED-5666-432D-9569-0F8E051E3DED}" name="Functionality 3 with Array Index_x000a_" dataDxfId="772"/>
    <tableColumn id="11" xr3:uid="{C025A0F1-C024-4EE9-B338-EF0079E4E597}" name="Functionality 4 with Array Index" dataDxfId="771"/>
    <tableColumn id="12" xr3:uid="{65A7E937-BF03-4ADC-907B-2958967DCF00}" name="Functionality 5 with Array Index" dataDxfId="770"/>
    <tableColumn id="14" xr3:uid="{37A5B897-5C81-4E63-8CC3-6874EFA6DCB5}" name="Functionality Logging purpose only" dataDxfId="769" dataCellStyle="Normal 2"/>
    <tableColumn id="13" xr3:uid="{2239168A-9F4B-40C4-96AE-73AF8CAD3A42}" name="Barcode Present (Yes/No)" dataDxfId="768" dataCellStyle="Normal 2"/>
    <tableColumn id="8" xr3:uid="{FFDFB957-480D-4417-979F-38B864EF6E0E}" name="Source requirement" dataDxfId="767"/>
    <tableColumn id="9" xr3:uid="{B36B9937-7581-4A75-A587-A2FA2DEF05DA}" name="Destination requirement" dataDxfId="766"/>
    <tableColumn id="6" xr3:uid="{85E120EC-85F9-4E96-AF32-4D362ABA176D}" name="Remarks" dataDxfId="76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05FC868-0251-42F8-9537-694E4FF5DFF8}" name="Table35" displayName="Table35" ref="A1:N56" totalsRowShown="0" headerRowDxfId="764" dataDxfId="762" headerRowBorderDxfId="763" tableBorderDxfId="761" totalsRowBorderDxfId="760">
  <autoFilter ref="A1:N56" xr:uid="{705FC868-0251-42F8-9537-694E4FF5DFF8}"/>
  <tableColumns count="14">
    <tableColumn id="1" xr3:uid="{10823FB0-D535-4831-8269-2B88FA662BA9}" name="ID" dataDxfId="759">
      <calculatedColumnFormula>IF(ISNUMBER(SEARCH("CT",B2)),"1"&amp;MID(B2,2,FIND("CT",B2)-2)&amp;RIGHT(B2,1),MID(B2,2,FIND("C",B2)-2)&amp;RIGHT(B2,1))</calculatedColumnFormula>
    </tableColumn>
    <tableColumn id="2" xr3:uid="{8729EB6B-9B27-41D1-B08E-719935C0B74C}" name="Name" dataDxfId="758"/>
    <tableColumn id="3" xr3:uid="{EF2D3BBB-D77E-4A43-9E72-072F5E478A07}" name="PLC ID" dataDxfId="757"/>
    <tableColumn id="4" xr3:uid="{B7009BDC-EEDE-473A-B7EA-20D283DA8F25}" name="Zone ID" dataDxfId="756"/>
    <tableColumn id="5" xr3:uid="{53E7607F-FD25-465A-AECA-BCED546AB6C1}" name="Functionality 1 with Array Index" dataDxfId="755">
      <calculatedColumnFormula>IF(ISNUMBER(SEARCH("CT",B2)),
   "CrossTransferStation[" &amp; (Q$3 + COUNTIF($B$2:B2,"*CT*")-1) &amp; "]",
   IF(AND(ISNUMBER(SEARCH("C",B2)),NOT(ISNUMBER(SEARCH("CT",B2)))),
      "ConveyorStation[" &amp; (Q$2 + COUNTIF($B$2:B2,"*C*") - COUNTIF($B$2:B2,"*CT*")-1) &amp; "]",
      ""))</calculatedColumnFormula>
    </tableColumn>
    <tableColumn id="10" xr3:uid="{9DAA36D0-E8AD-491B-A57D-BDDA48059C8C}" name="Functionality 2 with Array Index" dataDxfId="754"/>
    <tableColumn id="7" xr3:uid="{9D23DB14-6DF0-47DA-B90E-AA4D6FF749D9}" name="Functionality 3 with Array Index" dataDxfId="753"/>
    <tableColumn id="11" xr3:uid="{B13F687E-3BFA-4F00-9A76-C24D05181C4B}" name="Functionality 4 with Array Index" dataDxfId="752"/>
    <tableColumn id="12" xr3:uid="{3ED2CD42-5090-4B85-BEED-A206250E3CCD}" name="Functionality 5 with Array Index" dataDxfId="751"/>
    <tableColumn id="13" xr3:uid="{6DA17036-E22C-44B1-A6A2-92CF5B986B18}" name="Functionality Logging purpose only" dataDxfId="750" dataCellStyle="Normal 2"/>
    <tableColumn id="14" xr3:uid="{6D38B691-B364-49D5-8858-FA37C7B992F8}" name="Barcode Present (Yes/No)" dataDxfId="749" dataCellStyle="Normal 2"/>
    <tableColumn id="8" xr3:uid="{3128CE53-5B27-4293-B7EF-453281379956}" name="Source requirement" dataDxfId="748"/>
    <tableColumn id="9" xr3:uid="{E5A6F503-AFAF-4BCC-ABCD-77A9AD0848A2}" name="Destination requirement" dataDxfId="747"/>
    <tableColumn id="6" xr3:uid="{EE3FB003-DB6D-49F1-A50E-EC42B24D2199}" name="Remarks" dataDxfId="74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DF7A75A-6AF5-4AA8-8E9D-89740249CAAC}" name="Table356" displayName="Table356" ref="A1:N40" totalsRowShown="0" headerRowDxfId="745" dataDxfId="743" headerRowBorderDxfId="744" tableBorderDxfId="742" totalsRowBorderDxfId="741">
  <autoFilter ref="A1:N40" xr:uid="{CDF7A75A-6AF5-4AA8-8E9D-89740249CAAC}"/>
  <tableColumns count="14">
    <tableColumn id="1" xr3:uid="{DB82E5C5-B6EC-4134-BA8C-2E5A5534D681}" name="ID" dataDxfId="740">
      <calculatedColumnFormula>IF(ISNUMBER(SEARCH("CT",B2)),"1"&amp;MID(B2,2,FIND("CT",B2)-2)&amp;RIGHT(B2,1),MID(B2,2,FIND("C",B2)-2)&amp;RIGHT(B2,1))</calculatedColumnFormula>
    </tableColumn>
    <tableColumn id="2" xr3:uid="{735E045E-7245-4876-9191-FB5EF8A10A5D}" name="Name" dataDxfId="739"/>
    <tableColumn id="3" xr3:uid="{A854689B-01A2-4018-BA4A-512DE5B0B970}" name="PLC ID" dataDxfId="738"/>
    <tableColumn id="4" xr3:uid="{1122AD07-EFA7-443D-BC53-04F51B17ECBC}" name="Zone ID" dataDxfId="737"/>
    <tableColumn id="5" xr3:uid="{5E3AA1BE-824C-4317-9A6A-48795D9726B4}" name="Functionality 1 with Array Index" dataDxfId="736">
      <calculatedColumnFormula>IF(ISNUMBER(SEARCH("CT",B2)),
   "CrossTransferStation[" &amp; (Q$3 + COUNTIF($B$2:B2,"*CT*") - 1) &amp; "]",
   IF( OR(ISNUMBER(SEARCH("TT",B2)), AND(ISNUMBER(SEARCH("C",B2)), NOT(ISNUMBER(SEARCH("CT",B2)))) ),
      "ConveyorStation[" &amp; (Q$2 + COUNTIFS($B$2:B2,"*C*",$B$2:B2,"&lt;&gt;*CT*") + COUNTIF($B$2:B2,"*TT*") - 1) &amp; "]",
      ""))</calculatedColumnFormula>
    </tableColumn>
    <tableColumn id="10" xr3:uid="{7CF41B05-9CC9-42FC-ABBF-2440CC345261}" name="Functionality 2 with Array Index" dataDxfId="735"/>
    <tableColumn id="7" xr3:uid="{ADEAC90D-7770-4CE2-BB29-83DCAFC33E1A}" name="Functionality 3 with Array Index" dataDxfId="734"/>
    <tableColumn id="11" xr3:uid="{E7D20853-38CA-4D13-A913-BD005AD80213}" name="Functionality 4 with Array Index" dataDxfId="733"/>
    <tableColumn id="12" xr3:uid="{F6510F81-9CAF-409A-B6FF-E74F7EC59B85}" name="Functionality 5 with Array Index" dataDxfId="732"/>
    <tableColumn id="13" xr3:uid="{BE74E28A-2844-4A15-9F3C-72D6ED7DE78C}" name="Functionality Logging purpose only" dataDxfId="731" dataCellStyle="Normal 2"/>
    <tableColumn id="14" xr3:uid="{DBA1EC4E-53E8-4058-A85B-E8F96C97B5CF}" name="Barcode Present (Yes/No)" dataDxfId="730" dataCellStyle="Normal 2"/>
    <tableColumn id="8" xr3:uid="{D1921FD3-C59E-492C-8C35-8731C4607C00}" name="Source requirement" dataDxfId="729"/>
    <tableColumn id="9" xr3:uid="{17A8F0E0-0DDD-42D0-A93A-55DD0051738D}" name="Destination requirement" dataDxfId="728"/>
    <tableColumn id="6" xr3:uid="{4A091B13-8572-4FFA-B5D0-0A4785C819DA}" name="Remarks" dataDxfId="72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AD4EA5A-EDD4-493B-A7F9-73D45DECDDEB}" name="Table3567" displayName="Table3567" ref="A1:N32" totalsRowShown="0" headerRowDxfId="726" dataDxfId="724" headerRowBorderDxfId="725" tableBorderDxfId="723" totalsRowBorderDxfId="722">
  <autoFilter ref="A1:N32" xr:uid="{7AD4EA5A-EDD4-493B-A7F9-73D45DECDDEB}"/>
  <tableColumns count="14">
    <tableColumn id="14" xr3:uid="{F0433560-F847-42F5-A9F7-DA44DED57279}" name="ID" dataDxfId="721" dataCellStyle="Normal 2">
      <calculatedColumnFormula>IF(ISNUMBER(SEARCH("CT",B2)),"1"&amp;MID(B2,2,FIND("CT",B2)-2)&amp;RIGHT(B2,1),MID(B2,2,FIND("C",B2)-2)&amp;RIGHT(B2,1))</calculatedColumnFormula>
    </tableColumn>
    <tableColumn id="2" xr3:uid="{6CA24E52-7759-49FB-BA08-D071AC5D9047}" name="Name" dataDxfId="720"/>
    <tableColumn id="3" xr3:uid="{89CE779B-34E4-47DD-965E-53E66A5ACFB4}" name="PLC ID" dataDxfId="719"/>
    <tableColumn id="4" xr3:uid="{60008155-7B07-4202-865B-7FF6FE7C110C}" name="Zone ID" dataDxfId="718"/>
    <tableColumn id="5" xr3:uid="{D32B2111-D1BE-4BB1-957D-13D24CA84EAF}" name="Functionality 1 with Array Index" dataDxfId="717">
      <calculatedColumnFormula>IF(ISNUMBER(SEARCH("CT",B2)),
   "CrossTransferStation[" &amp; (Q$3 + COUNTIF($B$2:B2,"*CT*") - 1) &amp; "]",
   IF( OR(ISNUMBER(SEARCH("TT",B2)), AND(ISNUMBER(SEARCH("C",B2)), NOT(ISNUMBER(SEARCH("CT",B2)))) ),
      "ConveyorStation[" &amp; (Q$2 + COUNTIFS($B$2:B2,"*C*",$B$2:B2,"&lt;&gt;*CT*") + COUNTIF($B$2:B2,"*TT*") - 1) &amp; "]",
      ""))</calculatedColumnFormula>
    </tableColumn>
    <tableColumn id="10" xr3:uid="{B1124B8D-2D00-4F32-8D38-2A15B8B12F0E}" name="Functionality 2 with Array Index" dataDxfId="716"/>
    <tableColumn id="7" xr3:uid="{EEAFF81B-3D7C-4527-B3D6-874CEB631B4E}" name="Functionality 3 with Array Index" dataDxfId="715"/>
    <tableColumn id="11" xr3:uid="{89D786D0-9BB8-4D71-B16C-A4A6126C5C77}" name="Functionality 4 with Array Index" dataDxfId="714"/>
    <tableColumn id="12" xr3:uid="{5E087027-F238-4BC8-827C-3D9D6512607C}" name="Functionality 5 with Array Index" dataDxfId="713"/>
    <tableColumn id="1" xr3:uid="{A3700DF9-7A87-44D3-B0FA-A072811A6BDF}" name="Functionality Logging purpose only" dataDxfId="712" dataCellStyle="Normal 2"/>
    <tableColumn id="13" xr3:uid="{14A5714F-77F2-4DAF-A090-7D626BCA8667}" name="Barcode Present (Yes/No)" dataDxfId="711" dataCellStyle="Normal 2"/>
    <tableColumn id="8" xr3:uid="{13BF5963-53BD-4357-9604-5DCD963770D3}" name="Source requirement" dataDxfId="710"/>
    <tableColumn id="9" xr3:uid="{E24C36D3-B652-451C-A813-FEE2B2F7CB4A}" name="Destination requirement" dataDxfId="709"/>
    <tableColumn id="6" xr3:uid="{DF050D1A-93CD-4BF6-872D-B04F0ADBB8D6}" name="Remarks" dataDxfId="70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4DED622-7557-49A7-B95D-03BB54C10C61}" name="Table35678" displayName="Table35678" ref="A1:N45" totalsRowShown="0" headerRowDxfId="707" dataDxfId="705" headerRowBorderDxfId="706" tableBorderDxfId="704" totalsRowBorderDxfId="703">
  <autoFilter ref="A1:N45" xr:uid="{54DED622-7557-49A7-B95D-03BB54C10C61}"/>
  <tableColumns count="14">
    <tableColumn id="14" xr3:uid="{C88657DB-1B32-4427-A041-216B254927EE}" name="ID" dataDxfId="702" dataCellStyle="Normal 2">
      <calculatedColumnFormula>IF(ISNUMBER(SEARCH("CT",B2)),"1"&amp;MID(B2,2,FIND("CT",B2)-2)&amp;RIGHT(B2,1),MID(B2,2,FIND("C",B2)-2)&amp;RIGHT(B2,1))</calculatedColumnFormula>
    </tableColumn>
    <tableColumn id="2" xr3:uid="{565BE5ED-93F1-4B01-9E55-FB773AF3AC86}" name="Name" dataDxfId="701"/>
    <tableColumn id="3" xr3:uid="{55BE94DE-8B01-41A2-93B1-DE2FD0F74C55}" name="PLC ID" dataDxfId="700"/>
    <tableColumn id="4" xr3:uid="{17AC6C2A-C101-4449-9408-347DC713A139}" name="Zone ID" dataDxfId="699"/>
    <tableColumn id="5" xr3:uid="{37001D0B-6ECB-4DBC-B5DC-E8117F21A718}" name="Functionality 1 with Array Index" dataDxfId="698">
      <calculatedColumnFormula>IF(ISNUMBER(SEARCH("CT",B2)),
   "CrossTransferStation[" &amp; (Q$3 + COUNTIF($B$2:B2,"*CT*") - 1) &amp; "]",
   IF( OR(ISNUMBER(SEARCH("TT",B2)), AND(ISNUMBER(SEARCH("C",B2)), NOT(ISNUMBER(SEARCH("CT",B2)))) ),
      "ConveyorStation[" &amp; (Q$2 + COUNTIFS($B$2:B2,"*C*",$B$2:B2,"&lt;&gt;*CT*") + COUNTIF($B$2:B2,"*TT*") - 1) &amp; "]",
      ""))</calculatedColumnFormula>
    </tableColumn>
    <tableColumn id="10" xr3:uid="{326F1E62-1A1D-403B-BF9E-2A750D6FE9F8}" name="Functionality 2 with Array Index" dataDxfId="697"/>
    <tableColumn id="7" xr3:uid="{8614AB07-B781-4100-8D30-BE537E5C2823}" name="Functionality 3 with Array Index" dataDxfId="696"/>
    <tableColumn id="11" xr3:uid="{4EED8C1D-4662-4785-A3F2-16F90AF4AD41}" name="Functionality 4 with Array Index" dataDxfId="695"/>
    <tableColumn id="12" xr3:uid="{69D5ADBF-E301-4A74-8792-ACABBE1F8DD6}" name="Functionality 5 with Array Index" dataDxfId="694"/>
    <tableColumn id="1" xr3:uid="{E8E18867-A85A-41CC-91B5-947DE4AC3A18}" name="Functionality Logging purpose only" dataDxfId="693" dataCellStyle="Normal 2"/>
    <tableColumn id="13" xr3:uid="{0427F789-8D00-4135-8352-5A5C7944AA53}" name="Barcode Present (Yes/No)" dataDxfId="692" dataCellStyle="Normal 2"/>
    <tableColumn id="8" xr3:uid="{E095697E-1E91-40BF-8E94-37EA9814C889}" name="Source requirement" dataDxfId="691"/>
    <tableColumn id="9" xr3:uid="{45EC3BC9-7A5C-432F-B7D2-89B7268CE221}" name="Destination requirement" dataDxfId="690"/>
    <tableColumn id="6" xr3:uid="{9D18F9B1-4251-417E-99C2-AD5B8220DA4C}" name="Remarks" dataDxfId="689"/>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783D4E4-5394-4AAF-80CE-BC8A23B79CE5}" name="Table356789" displayName="Table356789" ref="A1:N8" totalsRowShown="0" headerRowDxfId="688" dataDxfId="686" headerRowBorderDxfId="687" tableBorderDxfId="685" totalsRowBorderDxfId="684">
  <autoFilter ref="A1:N8" xr:uid="{54DED622-7557-49A7-B95D-03BB54C10C61}"/>
  <tableColumns count="14">
    <tableColumn id="14" xr3:uid="{86EE4174-A932-400B-AA2E-B506B6DA743F}" name="ID" dataDxfId="683" dataCellStyle="Normal 2">
      <calculatedColumnFormula>IF(ISNUMBER(SEARCH("CT",B2)),"1"&amp;MID(B2,2,FIND("CT",B2)-2)&amp;RIGHT(B2,1),MID(B2,2,FIND("C",B2)-2)&amp;RIGHT(B2,1))</calculatedColumnFormula>
    </tableColumn>
    <tableColumn id="2" xr3:uid="{2092B828-18F3-41EC-920B-25A062EBE062}" name="Name" dataDxfId="682"/>
    <tableColumn id="3" xr3:uid="{E32B4883-C260-44B8-BF29-B826ED3B8F62}" name="PLC ID" dataDxfId="681"/>
    <tableColumn id="4" xr3:uid="{1E174600-496C-4B35-901E-54E08DA9E180}" name="Zone ID" dataDxfId="680"/>
    <tableColumn id="5" xr3:uid="{CD703506-8DAD-452B-868A-46C8BA772128}" name="Functionality 1 with Array Index" dataDxfId="679">
      <calculatedColumnFormula>IF(ISNUMBER(SEARCH("CT",B2)),
   "CrossTransferStation[" &amp; (Q$3 + COUNTIF($B$2:B2,"*CT*") - 1) &amp; "]",
   IF( OR(ISNUMBER(SEARCH("TT",B2)), AND(ISNUMBER(SEARCH("C",B2)), NOT(ISNUMBER(SEARCH("CT",B2)))) ),
      "ConveyorStation[" &amp; (Q$2 + COUNTIFS($B$2:B2,"*C*",$B$2:B2,"&lt;&gt;*CT*") + COUNTIF($B$2:B2,"*TT*") - 1) &amp; "]",
      ""))</calculatedColumnFormula>
    </tableColumn>
    <tableColumn id="10" xr3:uid="{BEA2A941-C51A-4E7D-B7F1-3E8ACC561096}" name="Functionality 2 with Array Index" dataDxfId="678"/>
    <tableColumn id="7" xr3:uid="{7413B8B2-F765-4490-978B-444A82B23B91}" name="Functionality 3 with Array Index" dataDxfId="677"/>
    <tableColumn id="11" xr3:uid="{52695926-835D-4846-95DA-2A60C171DB23}" name="Functionality 4 with Array Index" dataDxfId="676"/>
    <tableColumn id="12" xr3:uid="{59A0D872-31D8-4FB0-A768-9516BC0F0045}" name="Functionality 5 with Array Index" dataDxfId="675"/>
    <tableColumn id="1" xr3:uid="{A985ADC7-C044-4010-A021-016EBC15887B}" name="Functionality Logging purpose only" dataDxfId="674" dataCellStyle="Normal 2"/>
    <tableColumn id="13" xr3:uid="{D0BCECE1-B9B6-4AEA-ABA0-81128FEE4AB6}" name="Barcode Present (Yes/No)" dataDxfId="673" dataCellStyle="Normal 2"/>
    <tableColumn id="8" xr3:uid="{232CD5D0-10D2-4C11-A224-810D14934C17}" name="Source requirement" dataDxfId="672"/>
    <tableColumn id="9" xr3:uid="{CE894907-1335-4617-87D0-1D33CB385346}" name="Destination requirement" dataDxfId="671"/>
    <tableColumn id="6" xr3:uid="{770E0168-08D0-4BDF-892A-9193E4F10A0C}" name="Remarks" dataDxfId="670"/>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58E8C70-E79E-48AC-B4C6-1A7D0111F9F0}" name="Table35678910" displayName="Table35678910" ref="A1:N52" totalsRowShown="0" headerRowDxfId="669" dataDxfId="667" headerRowBorderDxfId="668" tableBorderDxfId="666" totalsRowBorderDxfId="665">
  <autoFilter ref="A1:N52" xr:uid="{54DED622-7557-49A7-B95D-03BB54C10C61}"/>
  <tableColumns count="14">
    <tableColumn id="14" xr3:uid="{F5726FBB-C323-4839-AE17-DD9FBC7FA305}" name="ID" dataDxfId="664" dataCellStyle="Normal 2">
      <calculatedColumnFormula>IF(ISNUMBER(SEARCH("CT",B2)),"1"&amp;MID(B2,2,FIND("CT",B2)-2)&amp;RIGHT(B2,1),MID(B2,2,FIND("C",B2)-2)&amp;RIGHT(B2,1))</calculatedColumnFormula>
    </tableColumn>
    <tableColumn id="2" xr3:uid="{2B92D829-4697-43B8-A1FB-5475909A4D5C}" name="Name" dataDxfId="663"/>
    <tableColumn id="3" xr3:uid="{8754C4A4-2FD1-41B6-9A66-B7FA74F159E7}" name="PLC ID" dataDxfId="662"/>
    <tableColumn id="4" xr3:uid="{389B50D5-8CD6-4BF9-9D51-E2A79B860BC8}" name="Zone ID" dataDxfId="661"/>
    <tableColumn id="5" xr3:uid="{E59C8CA2-1776-48CF-A8A5-F866737C2BE2}" name="Functionality 1 with Array Index" dataDxfId="660">
      <calculatedColumnFormula>IF(ISNUMBER(SEARCH("CT",B2)),
   "CrossTransferStation[" &amp; (Q$3 + COUNTIF($B$2:B2,"*CT*") - 1) &amp; "]",
   IF( OR(ISNUMBER(SEARCH("TT",B2)), AND(ISNUMBER(SEARCH("C",B2)), NOT(ISNUMBER(SEARCH("CT",B2)))) ),
      "ConveyorStation[" &amp; (Q$2 + COUNTIFS($B$2:B2,"*C*",$B$2:B2,"&lt;&gt;*CT*") + COUNTIF($B$2:B2,"*TT*") - 1) &amp; "]",
      ""))</calculatedColumnFormula>
    </tableColumn>
    <tableColumn id="10" xr3:uid="{0489722E-4055-4453-B2BE-7B64E27D6D8C}" name="Functionality 2 with Array Index" dataDxfId="659"/>
    <tableColumn id="7" xr3:uid="{54DAD6E7-2521-4BFE-9827-8C1564D7C6BC}" name="Functionality 3 with Array Index" dataDxfId="658"/>
    <tableColumn id="11" xr3:uid="{8F833224-05EE-473D-BD95-A2AC12958048}" name="Functionality 4 with Array Index" dataDxfId="657"/>
    <tableColumn id="12" xr3:uid="{FE94512B-297B-4E55-B703-CB9A4983AEB0}" name="Functionality 5 with Array Index" dataDxfId="656"/>
    <tableColumn id="1" xr3:uid="{DB7CCD4F-B359-47F3-96A4-9A3EAECD62F1}" name="Functionality Logging purpose only" dataDxfId="655" dataCellStyle="Normal 2"/>
    <tableColumn id="13" xr3:uid="{58FA7E0C-89F7-446B-A752-128500B1840F}" name="Barcode Present (Yes/No)" dataDxfId="654" dataCellStyle="Normal 2"/>
    <tableColumn id="8" xr3:uid="{1514AA8D-5BA9-43D5-BD5A-2872A98FF81D}" name="Source requirement" dataDxfId="653"/>
    <tableColumn id="9" xr3:uid="{D52BA98D-32F4-4690-90B4-BAA41585DD71}" name="Destination requirement" dataDxfId="652"/>
    <tableColumn id="6" xr3:uid="{F49BB3C1-13E5-41DE-9DE9-0449FF9380ED}" name="Remarks" dataDxfId="651"/>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5F0EF8E-8410-4C4E-A6BD-75AC298AC8D7}" name="Table3567891011" displayName="Table3567891011" ref="A1:N55" totalsRowShown="0" headerRowDxfId="650" dataDxfId="648" headerRowBorderDxfId="649" tableBorderDxfId="647" totalsRowBorderDxfId="646">
  <autoFilter ref="A1:N55" xr:uid="{54DED622-7557-49A7-B95D-03BB54C10C61}"/>
  <tableColumns count="14">
    <tableColumn id="14" xr3:uid="{BF431675-7D10-46D8-8AC6-381BCB0EFAAF}" name="ID" dataDxfId="645" dataCellStyle="Normal 2">
      <calculatedColumnFormula>IF(ISNUMBER(SEARCH("CT",B2)),"1"&amp;MID(B2,2,FIND("CT",B2)-2)&amp;RIGHT(B2,1),MID(B2,2,FIND("C",B2)-2)&amp;RIGHT(B2,1))</calculatedColumnFormula>
    </tableColumn>
    <tableColumn id="2" xr3:uid="{D2356336-E45C-449B-A394-3D95368341D0}" name="Name" dataDxfId="644"/>
    <tableColumn id="3" xr3:uid="{C35AB44C-CAEE-445B-B211-FFE9C5104D96}" name="PLC ID" dataDxfId="643"/>
    <tableColumn id="4" xr3:uid="{71D51AFD-F224-4B17-94B6-A48B10413F1B}" name="Zone ID" dataDxfId="642"/>
    <tableColumn id="5" xr3:uid="{1CA53195-1B1F-4127-9880-3B65474361CD}" name="Functionality 1 with Array Index" dataDxfId="641">
      <calculatedColumnFormula>IF(ISNUMBER(SEARCH("CT",B2)),
   "CrossTransferStation[" &amp; (Q$3 + COUNTIF($B$2:B2,"*CT*") - 1) &amp; "]",
   IF( OR(ISNUMBER(SEARCH("TT",B2)), AND(ISNUMBER(SEARCH("C",B2)), NOT(ISNUMBER(SEARCH("CT",B2)))) ),
      "ConveyorStation[" &amp; (Q$2 + COUNTIFS($B$2:B2,"*C*",$B$2:B2,"&lt;&gt;*CT*") + COUNTIF($B$2:B2,"*TT*") - 1) &amp; "]",
      ""))</calculatedColumnFormula>
    </tableColumn>
    <tableColumn id="10" xr3:uid="{EE21312F-3394-40FB-9E04-607710104DDA}" name="Functionality 2 with Array Index" dataDxfId="640"/>
    <tableColumn id="7" xr3:uid="{65AE4171-3046-4C19-B1E7-BBC5DF204766}" name="Functionality 3 with Array Index" dataDxfId="639"/>
    <tableColumn id="11" xr3:uid="{06A28932-4B16-4361-92A9-34052A40C2E6}" name="Functionality 4 with Array Index" dataDxfId="638"/>
    <tableColumn id="12" xr3:uid="{82B1737F-38CB-43D7-ACFE-06DFA8E02E1C}" name="Functionality 5 with Array Index" dataDxfId="637"/>
    <tableColumn id="1" xr3:uid="{F088E1BF-3A62-4B34-9FB3-2FB66B45F62F}" name="Functionality Logging purpose only" dataDxfId="636" dataCellStyle="Normal 2"/>
    <tableColumn id="13" xr3:uid="{156CCCF8-CA01-499C-8FE4-266561812BF0}" name="Barcode Present (Yes/No)" dataDxfId="635" dataCellStyle="Normal 2"/>
    <tableColumn id="8" xr3:uid="{B6055886-3982-4104-9FAE-D727D04982AD}" name="Source requirement" dataDxfId="634"/>
    <tableColumn id="9" xr3:uid="{FC93E4E1-357D-4FAF-AA56-13DBA0687145}" name="Destination requirement" dataDxfId="633"/>
    <tableColumn id="6" xr3:uid="{E2797EBA-3885-4D6F-A7C7-B6B3ECD92682}" name="Remarks" dataDxfId="632"/>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ABF334-F1B6-4639-9D83-752E8146E097}" name="Table356789101112" displayName="Table356789101112" ref="A1:N21" totalsRowShown="0" headerRowDxfId="631" dataDxfId="629" headerRowBorderDxfId="630" tableBorderDxfId="628" totalsRowBorderDxfId="627">
  <autoFilter ref="A1:N21" xr:uid="{54DED622-7557-49A7-B95D-03BB54C10C61}"/>
  <tableColumns count="14">
    <tableColumn id="14" xr3:uid="{D6FC9ECA-82F4-4FB7-B279-63333AFDBD74}" name="ID" dataDxfId="626" dataCellStyle="Normal 2">
      <calculatedColumnFormula>IF(ISNUMBER(SEARCH("CT",B2)),"1"&amp;MID(B2,2,FIND("CT",B2)-2)&amp;RIGHT(B2,1),MID(B2,2,FIND("C",B2)-2)&amp;RIGHT(B2,1))</calculatedColumnFormula>
    </tableColumn>
    <tableColumn id="2" xr3:uid="{A8A37F20-A589-4413-B5AA-F9740977282E}" name="Name" dataDxfId="625"/>
    <tableColumn id="3" xr3:uid="{6081EF0F-1E02-49F1-82CC-3FFB547515D1}" name="PLC ID" dataDxfId="624"/>
    <tableColumn id="4" xr3:uid="{F59CE752-AED1-417D-94D0-4B75335852CA}" name="Zone ID" dataDxfId="623"/>
    <tableColumn id="5" xr3:uid="{2AD952D7-D2DE-454C-9B11-137551FBD978}" name="Functionality 1 with Array Index" dataDxfId="622">
      <calculatedColumnFormula>IF(ISNUMBER(SEARCH("CT",B2)),
   "CrossTransferStation[" &amp; (Q$3 + COUNTIF($B$2:B2,"*CT*") - 1) &amp; "]",
   IF( OR(ISNUMBER(SEARCH("TT",B2)), AND(ISNUMBER(SEARCH("C",B2)), NOT(ISNUMBER(SEARCH("CT",B2)))) ),
      "ConveyorStation[" &amp; (Q$2 + COUNTIFS($B$2:B2,"*C*",$B$2:B2,"&lt;&gt;*CT*") + COUNTIF($B$2:B2,"*TT*") - 1) &amp; "]",
      ""))</calculatedColumnFormula>
    </tableColumn>
    <tableColumn id="10" xr3:uid="{63C1DB89-7A88-460F-99E2-846C7C8E5D85}" name="Functionality 2 with Array Index" dataDxfId="621"/>
    <tableColumn id="7" xr3:uid="{0DA79AAD-6114-4013-902E-AF628CB8197D}" name="Functionality 3 with Array Index" dataDxfId="620"/>
    <tableColumn id="11" xr3:uid="{5C893E5D-7D6D-4A71-BA9F-4FA89A69B4FC}" name="Functionality 4 with Array Index" dataDxfId="619"/>
    <tableColumn id="12" xr3:uid="{4F01DD9C-505B-46A6-99D5-0015B8C8B7A5}" name="Functionality 5 with Array Index" dataDxfId="618"/>
    <tableColumn id="1" xr3:uid="{C07CE2FF-E91B-41B4-8D82-F80506DDA7B6}" name="Functionality Logging purpose only" dataDxfId="617" dataCellStyle="Normal 2"/>
    <tableColumn id="13" xr3:uid="{C60BEE06-9BFC-4675-8300-D0AE72A03048}" name="Barcode Present (Yes/No)" dataDxfId="616" dataCellStyle="Normal 2"/>
    <tableColumn id="8" xr3:uid="{49AAA5EF-0C78-4370-AEEA-F110075F98ED}" name="Source requirement" dataDxfId="615"/>
    <tableColumn id="9" xr3:uid="{C83284D9-19E8-4667-A7B3-C97BA73B50C0}" name="Destination requirement" dataDxfId="614"/>
    <tableColumn id="6" xr3:uid="{AECEEC50-07DE-4A33-BBD3-728D92DB81EF}" name="Remarks" dataDxfId="613"/>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0E7B748-449A-4AC4-960A-0BEA2B6250C8}" name="Table35678910111213" displayName="Table35678910111213" ref="A1:N70" totalsRowShown="0" headerRowDxfId="612" dataDxfId="610" headerRowBorderDxfId="611" tableBorderDxfId="609" totalsRowBorderDxfId="608">
  <autoFilter ref="A1:N70" xr:uid="{54DED622-7557-49A7-B95D-03BB54C10C61}"/>
  <tableColumns count="14">
    <tableColumn id="14" xr3:uid="{161B054B-5633-4B30-9F2A-D5B494922787}" name="ID" dataDxfId="607" dataCellStyle="Normal 2">
      <calculatedColumnFormula>IF(ISNUMBER(SEARCH("CT",B2)),"1"&amp;MID(B2,2,FIND("CT",B2)-2)&amp;RIGHT(B2,1),MID(B2,2,FIND("C",B2)-2)&amp;RIGHT(B2,1))</calculatedColumnFormula>
    </tableColumn>
    <tableColumn id="2" xr3:uid="{2A15950B-E237-465E-9326-46B796A13488}" name="Name" dataDxfId="606"/>
    <tableColumn id="3" xr3:uid="{E490D643-DA11-4D6E-A349-CC6248A48065}" name="PLC ID" dataDxfId="605"/>
    <tableColumn id="4" xr3:uid="{B794028F-E328-471F-A617-FD443E43C2AC}" name="Zone ID" dataDxfId="604"/>
    <tableColumn id="5" xr3:uid="{49F465DF-793E-40ED-AA86-7CAA3C1DAD51}" name="Functionality 1 with Array Index" dataDxfId="603">
      <calculatedColumnFormula>IF(ISNUMBER(SEARCH("CT",B2)),
   "CrossTransferStation[" &amp; (Q$3 + COUNTIF($B$2:B2,"*CT*") - 1) &amp; "]",
   IF( OR(ISNUMBER(SEARCH("TT",B2)), AND(ISNUMBER(SEARCH("C",B2)), NOT(ISNUMBER(SEARCH("CT",B2)))) ),
      "ConveyorStation[" &amp; (Q$2 + COUNTIFS($B$2:B2,"*C*",$B$2:B2,"&lt;&gt;*CT*") + COUNTIF($B$2:B2,"*TT*") - 1) &amp; "]",
      ""))</calculatedColumnFormula>
    </tableColumn>
    <tableColumn id="10" xr3:uid="{565E2910-A58B-4F86-9F76-D3493194A748}" name="Functionality 2 with Array Index" dataDxfId="602"/>
    <tableColumn id="7" xr3:uid="{7876A5C3-CEAC-4A68-86C7-66941284AE72}" name="Functionality 3 with Array Index" dataDxfId="601"/>
    <tableColumn id="11" xr3:uid="{46D82456-B608-4A29-B54F-A8DE7333095A}" name="Functionality 4 with Array Index" dataDxfId="600"/>
    <tableColumn id="12" xr3:uid="{7990AA46-4A09-448F-A4F2-087DED052941}" name="Functionality 5 with Array Index" dataDxfId="599"/>
    <tableColumn id="1" xr3:uid="{AA4D0196-F8F4-427C-86E5-D9855A724DF6}" name="Functionality Logging purpose only" dataDxfId="598" dataCellStyle="Normal 2"/>
    <tableColumn id="13" xr3:uid="{69C8EF85-7340-481C-9B43-BD2F725CD456}" name="Barcode Present (Yes/No)" dataDxfId="597" dataCellStyle="Normal 2"/>
    <tableColumn id="8" xr3:uid="{787C8412-E201-4B2E-9383-9B3D5A953977}" name="Source requirement" dataDxfId="596"/>
    <tableColumn id="9" xr3:uid="{B69BDB66-F991-46A9-938C-E8F61049DB40}" name="Destination requirement" dataDxfId="595"/>
    <tableColumn id="6" xr3:uid="{BD314D92-F8BF-4F1A-822A-316F27707CB5}" name="Remarks" dataDxfId="594"/>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C1CA6E3-2516-489B-A54E-641A29786D95}" name="Table3567891011121314" displayName="Table3567891011121314" ref="A1:N73" totalsRowShown="0" headerRowDxfId="593" dataDxfId="591" headerRowBorderDxfId="592" tableBorderDxfId="590" totalsRowBorderDxfId="589">
  <autoFilter ref="A1:N73" xr:uid="{54DED622-7557-49A7-B95D-03BB54C10C61}"/>
  <tableColumns count="14">
    <tableColumn id="14" xr3:uid="{26AFD7AF-EFDA-4A05-9605-C1D7DBDDD6D1}" name="ID" dataDxfId="588" dataCellStyle="Normal 2">
      <calculatedColumnFormula>IF(ISNUMBER(SEARCH("CT",B2)),"1"&amp;MID(B2,2,FIND("CT",B2)-2)&amp;RIGHT(B2,1),MID(B2,2,FIND("C",B2)-2)&amp;RIGHT(B2,1))</calculatedColumnFormula>
    </tableColumn>
    <tableColumn id="2" xr3:uid="{A3AA2BD5-C588-4CED-8958-A027AB734860}" name="Name" dataDxfId="587"/>
    <tableColumn id="3" xr3:uid="{85224022-E4C6-4CFF-8318-B5193446223B}" name="PLC ID" dataDxfId="586"/>
    <tableColumn id="4" xr3:uid="{3CD81FAA-4A72-4107-AFD3-B40BA8571258}" name="Zone ID" dataDxfId="585"/>
    <tableColumn id="5" xr3:uid="{375210B4-B582-4EF2-967C-6DF779FB9E93}" name="Functionality 1 with Array Index" dataDxfId="584">
      <calculatedColumnFormula>IF(ISNUMBER(SEARCH("CT",B2)),
   "CrossTransferStation[" &amp; (Q$3 + COUNTIF($B$2:B2,"*CT*") - 1) &amp; "]",
   IF( OR(ISNUMBER(SEARCH("TT",B2)), AND(ISNUMBER(SEARCH("C",B2)), NOT(ISNUMBER(SEARCH("CT",B2)))) ),
      "ConveyorStation[" &amp; (Q$2 + COUNTIFS($B$2:B2,"*C*",$B$2:B2,"&lt;&gt;*CT*") + COUNTIF($B$2:B2,"*TT*") - 1) &amp; "]",
      ""))</calculatedColumnFormula>
    </tableColumn>
    <tableColumn id="10" xr3:uid="{5E8953BB-AF56-4C98-9C95-69E25039D4BF}" name="Functionality 2 with Array Index" dataDxfId="583"/>
    <tableColumn id="7" xr3:uid="{1D074D68-2FB2-4BB6-92FE-4D1E08C4F05A}" name="Functionality 3 with Array Index" dataDxfId="582"/>
    <tableColumn id="11" xr3:uid="{20C03C0C-602A-49E8-A3C2-F17976CC565C}" name="Functionality 4 with Array Index" dataDxfId="581"/>
    <tableColumn id="12" xr3:uid="{C52056A3-6D28-41BC-BBFF-CAFB18B8FF57}" name="Functionality 5 with Array Index" dataDxfId="580"/>
    <tableColumn id="1" xr3:uid="{57B9596B-3944-49D8-BF6F-D995E771E0B7}" name="Functionality Logging purpose only" dataDxfId="579" dataCellStyle="Normal 2"/>
    <tableColumn id="13" xr3:uid="{54F49175-AE7F-4E25-B37C-7BA97387EC56}" name="Barcode Present (Yes/No)" dataDxfId="578" dataCellStyle="Normal 2"/>
    <tableColumn id="8" xr3:uid="{7606FCEF-1DC5-4C86-AB1B-269614F6E286}" name="Source requirement" dataDxfId="577"/>
    <tableColumn id="9" xr3:uid="{40858442-C00D-4EC1-BF1C-28D035582CE7}" name="Destination requirement" dataDxfId="576"/>
    <tableColumn id="6" xr3:uid="{EC8FED17-B4F2-4038-A5D0-E70C5E6D0420}" name="Remarks" dataDxfId="575"/>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C2E616F-625E-4BA2-B46B-5BC526A45AD0}" name="Table356789101112131415" displayName="Table356789101112131415" ref="A1:N28" totalsRowShown="0" headerRowDxfId="574" dataDxfId="572" headerRowBorderDxfId="573" tableBorderDxfId="571" totalsRowBorderDxfId="570">
  <autoFilter ref="A1:N28" xr:uid="{54DED622-7557-49A7-B95D-03BB54C10C61}"/>
  <tableColumns count="14">
    <tableColumn id="14" xr3:uid="{F36D7C7A-1F90-400C-A7EC-D4E692E018F4}" name="ID" dataDxfId="569" dataCellStyle="Normal 2">
      <calculatedColumnFormula>IF(ISNUMBER(SEARCH("CT",B2)),"1"&amp;MID(B2,2,FIND("CT",B2)-2)&amp;RIGHT(B2,1),MID(B2,2,FIND("C",B2)-2)&amp;RIGHT(B2,1))</calculatedColumnFormula>
    </tableColumn>
    <tableColumn id="2" xr3:uid="{9A4F0346-EC7B-425A-B072-86442266A7A8}" name="Name" dataDxfId="568"/>
    <tableColumn id="3" xr3:uid="{B8DD6B79-B456-4500-8FCE-1748D5E0365E}" name="PLC ID" dataDxfId="567"/>
    <tableColumn id="4" xr3:uid="{9D5CD89A-2810-435F-9BA3-8104720D19D5}" name="Zone ID" dataDxfId="566"/>
    <tableColumn id="5" xr3:uid="{17E9807A-48BA-4C96-81EA-8169978947A0}" name="Functionality 1 with Array Index" dataDxfId="565">
      <calculatedColumnFormula>IF(ISNUMBER(SEARCH("CT",B2)),
   "CrossTransferStation[" &amp; (Q$3 + COUNTIF($B$2:B2,"*CT*") - 1) &amp; "]",
   IF( OR(ISNUMBER(SEARCH("TT",B2)), AND(ISNUMBER(SEARCH("C",B2)), NOT(ISNUMBER(SEARCH("CT",B2)))) ),
      "ConveyorStation[" &amp; (Q$2 + COUNTIFS($B$2:B2,"*C*",$B$2:B2,"&lt;&gt;*CT*") + COUNTIF($B$2:B2,"*TT*") - 1) &amp; "]",
      ""))</calculatedColumnFormula>
    </tableColumn>
    <tableColumn id="10" xr3:uid="{56E051C6-B9DD-44EE-8609-D095E8BB9D45}" name="Functionality 2 with Array Index" dataDxfId="564"/>
    <tableColumn id="7" xr3:uid="{84D67716-13E4-4658-BED7-4033433CA635}" name="Functionality 3 with Array Index" dataDxfId="563"/>
    <tableColumn id="11" xr3:uid="{D16F0A07-3179-41F8-B88B-A74EE1305A46}" name="Functionality 4 with Array Index" dataDxfId="562"/>
    <tableColumn id="12" xr3:uid="{AF38C012-DCF8-42AD-A385-ABFBA80425D0}" name="Functionality 5 with Array Index" dataDxfId="561"/>
    <tableColumn id="1" xr3:uid="{360D9F25-8BD0-42FF-95A1-47D5DBDD20CE}" name="Functionality Logging purpose only" dataDxfId="560" dataCellStyle="Normal 2"/>
    <tableColumn id="13" xr3:uid="{E87D6376-8FC3-46AF-8C1B-353102B3190C}" name="Barcode Present (Yes/No)" dataDxfId="559" dataCellStyle="Normal 2"/>
    <tableColumn id="8" xr3:uid="{5BD278CB-4449-4F01-894C-AD819E7FC311}" name="Source requirement" dataDxfId="558"/>
    <tableColumn id="9" xr3:uid="{4CF8AB2D-6284-4AE0-9FA3-4DAF3A6C71F1}" name="Destination requirement" dataDxfId="557"/>
    <tableColumn id="6" xr3:uid="{2F08FCE4-0D63-41B2-BCFF-295018F6AFB4}" name="Remarks" dataDxfId="556"/>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636E389-86D7-42BF-9852-B741D6E2EBA5}" name="Table35678910111213141516" displayName="Table35678910111213141516" ref="A1:N43" totalsRowShown="0" headerRowDxfId="555" dataDxfId="553" headerRowBorderDxfId="554" tableBorderDxfId="552" totalsRowBorderDxfId="551">
  <autoFilter ref="A1:N43" xr:uid="{54DED622-7557-49A7-B95D-03BB54C10C61}"/>
  <tableColumns count="14">
    <tableColumn id="14" xr3:uid="{7BC4D871-8D27-4D89-893C-E2B4083D8368}" name="ID" dataDxfId="550" dataCellStyle="Normal 2">
      <calculatedColumnFormula>IF(ISNUMBER(SEARCH("CT",B2)),"1"&amp;MID(B2,2,FIND("CT",B2)-2)&amp;RIGHT(B2,1),MID(B2,2,FIND("C",B2)-2)&amp;RIGHT(B2,1))</calculatedColumnFormula>
    </tableColumn>
    <tableColumn id="2" xr3:uid="{75175406-A526-4253-AA6B-33BA7414D491}" name="Name" dataDxfId="549"/>
    <tableColumn id="3" xr3:uid="{DAB8B10D-1C7D-4F85-AD4F-7D55DDDF7E59}" name="PLC ID" dataDxfId="548"/>
    <tableColumn id="4" xr3:uid="{8B7F3149-2391-4A0E-8A40-3D1464ABF8A9}" name="Zone ID" dataDxfId="547"/>
    <tableColumn id="5" xr3:uid="{5ECFFFC1-97A5-4DC5-8BE3-998F3CBB321E}" name="Functionality 1 with Array Index" dataDxfId="546">
      <calculatedColumnFormula>IF(ISNUMBER(SEARCH("CT",B2)),
   "CrossTransferStation[" &amp; (Q$3 + COUNTIF($B$2:B2,"*CT*") - 1) &amp; "]",
   IF( OR(ISNUMBER(SEARCH("TT",B2)), AND(ISNUMBER(SEARCH("C",B2)), NOT(ISNUMBER(SEARCH("CT",B2)))) ),
      "ConveyorStation[" &amp; (Q$2 + COUNTIFS($B$2:B2,"*C*",$B$2:B2,"&lt;&gt;*CT*") + COUNTIF($B$2:B2,"*TT*") - 1) &amp; "]",
      ""))</calculatedColumnFormula>
    </tableColumn>
    <tableColumn id="10" xr3:uid="{08A631B2-DBB8-4D1F-94AD-CF006534703A}" name="Functionality 2 with Array Index" dataDxfId="545"/>
    <tableColumn id="7" xr3:uid="{0A30C682-785C-46E7-BC87-9FE12F4C8D7E}" name="Functionality 3 with Array Index" dataDxfId="544"/>
    <tableColumn id="11" xr3:uid="{2B343BDC-5977-435F-8AED-E9A74A5C7050}" name="Functionality 4 with Array Index" dataDxfId="543"/>
    <tableColumn id="12" xr3:uid="{BFB8A0CD-203F-4927-8623-84B788A69FA4}" name="Functionality 5 with Array Index" dataDxfId="542"/>
    <tableColumn id="1" xr3:uid="{6CB464CA-A4A1-4C23-89F1-17B794289661}" name="Functionality Logging purpose only" dataDxfId="541" dataCellStyle="Normal 2"/>
    <tableColumn id="13" xr3:uid="{F04048E0-E289-45B7-BD9C-87ED60FA23D4}" name="Barcode Present (Yes/No)" dataDxfId="540" dataCellStyle="Normal 2"/>
    <tableColumn id="8" xr3:uid="{43DD130C-C274-4511-9925-53D6E1D10316}" name="Source requirement" dataDxfId="539"/>
    <tableColumn id="9" xr3:uid="{42B41B50-0C85-481D-B7AF-2D1B43470B6A}" name="Destination requirement" dataDxfId="538"/>
    <tableColumn id="6" xr3:uid="{04BD1FCF-CE44-4C63-87E5-6AD0BCA2EA03}" name="Remarks" dataDxfId="537"/>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BB4D759-2866-4D41-BF15-3601DF85DEEE}" name="Table7" displayName="Table7" ref="A1:I2" totalsRowShown="0" headerRowDxfId="536" dataDxfId="535">
  <autoFilter ref="A1:I2" xr:uid="{BC0FB714-3751-4DFD-AC5B-0BB8D50D830A}"/>
  <tableColumns count="9">
    <tableColumn id="1" xr3:uid="{57C73442-E77E-44EE-AAE3-F8EBC13FF0D3}" name="ID" dataDxfId="534"/>
    <tableColumn id="2" xr3:uid="{56E57CA2-9DEA-4CD6-9561-86AC942A8D64}" name="Name" dataDxfId="533"/>
    <tableColumn id="3" xr3:uid="{70707620-FFFE-4F7C-9246-173BAE63678A}" name="Description" dataDxfId="532"/>
    <tableColumn id="4" xr3:uid="{1E90AABB-D009-4CD2-93F1-709F2545720F}" name="Pallet Width" dataDxfId="531"/>
    <tableColumn id="5" xr3:uid="{93540B06-C7EF-4031-9697-DCD19E3DF4C5}" name="Height" dataDxfId="530"/>
    <tableColumn id="6" xr3:uid="{F7E04186-82E6-44C6-AB66-D5637F6E79A5}" name="Depth" dataDxfId="529"/>
    <tableColumn id="7" xr3:uid="{3D9BE085-2F6D-4C5C-9444-86B6B5739A4F}" name="Min Weight" dataDxfId="528"/>
    <tableColumn id="8" xr3:uid="{4493573F-6778-4EA5-BF53-BBD7BE492773}" name="Max Weight" dataDxfId="527"/>
    <tableColumn id="9" xr3:uid="{112F7790-6726-4D86-87A5-5D38BFAEC743}" name="Tolerance" dataDxfId="526"/>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85571D3-366B-4046-82A8-C90EE0031F10}" name="Table75" displayName="Table75" ref="A1:D10" totalsRowShown="0" headerRowDxfId="525" dataDxfId="524">
  <autoFilter ref="A1:D10" xr:uid="{5D7924F7-92EE-4BD5-BFED-65300166B684}"/>
  <tableColumns count="4">
    <tableColumn id="1" xr3:uid="{FFD48A4B-6966-4F1F-B67A-DB997A5E0557}" name="Sr.No." dataDxfId="523">
      <calculatedColumnFormula>ROW()-1</calculatedColumnFormula>
    </tableColumn>
    <tableColumn id="2" xr3:uid="{20B66FC1-BD8B-4F68-A230-05D658A531D6}" name="Name" dataDxfId="522"/>
    <tableColumn id="3" xr3:uid="{25471623-7570-463B-AC25-5C65DEAC2149}" name="IP Address" dataDxfId="521"/>
    <tableColumn id="4" xr3:uid="{24CFDC5A-6BB8-4328-8413-33C066BC2A6D}" name="PC PLC Interface DB Name" dataDxfId="52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83" dT="2025-03-19T10:45:42.15" personId="{34758114-9FA9-4BC4-AEAD-F53F69E839E8}" id="{5245CDA0-8A62-4749-A704-6A2E0F408657}">
    <text>Same as ConveyorStation</text>
  </threadedComment>
</ThreadedComment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hyperlink" Target="file:///C:\:x:\g\personal\anant_g_wipropari_com\EXlJ0mX2GINNpwW9O6gmseEBUqFsm6bu5pSelThXB2W_4w" TargetMode="External"/></Relationships>
</file>

<file path=xl/worksheets/_rels/sheet22.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978C0-9784-4DDA-96F2-508E26ECBC02}">
  <dimension ref="A2:X16"/>
  <sheetViews>
    <sheetView workbookViewId="0">
      <selection activeCell="E28" sqref="A26:E28"/>
    </sheetView>
  </sheetViews>
  <sheetFormatPr defaultRowHeight="14.5" x14ac:dyDescent="0.35"/>
  <cols>
    <col min="1" max="1" width="16.1796875" bestFit="1" customWidth="1"/>
    <col min="2" max="2" width="16.26953125" bestFit="1" customWidth="1"/>
    <col min="3" max="3" width="12" bestFit="1" customWidth="1"/>
    <col min="4" max="6" width="11.26953125" bestFit="1" customWidth="1"/>
    <col min="24" max="24" width="23.54296875" bestFit="1" customWidth="1"/>
  </cols>
  <sheetData>
    <row r="2" spans="1:24" x14ac:dyDescent="0.35">
      <c r="A2" s="303"/>
      <c r="B2" s="303"/>
      <c r="C2" s="303"/>
      <c r="D2" s="303"/>
      <c r="X2" s="75"/>
    </row>
    <row r="3" spans="1:24" x14ac:dyDescent="0.35">
      <c r="A3" s="233" t="s">
        <v>1814</v>
      </c>
      <c r="B3" s="233" t="s">
        <v>1838</v>
      </c>
      <c r="X3" s="75"/>
    </row>
    <row r="4" spans="1:24" x14ac:dyDescent="0.35">
      <c r="A4" s="233" t="s">
        <v>1812</v>
      </c>
      <c r="B4" t="s">
        <v>1816</v>
      </c>
      <c r="C4" t="s">
        <v>1819</v>
      </c>
      <c r="D4" t="s">
        <v>1813</v>
      </c>
      <c r="X4" s="75"/>
    </row>
    <row r="5" spans="1:24" x14ac:dyDescent="0.35">
      <c r="A5" s="235">
        <v>46003</v>
      </c>
      <c r="C5">
        <v>1</v>
      </c>
      <c r="D5">
        <v>1</v>
      </c>
      <c r="X5" s="234"/>
    </row>
    <row r="6" spans="1:24" x14ac:dyDescent="0.35">
      <c r="A6" s="235">
        <v>46029</v>
      </c>
      <c r="B6">
        <v>1</v>
      </c>
      <c r="C6">
        <v>1</v>
      </c>
      <c r="D6">
        <v>2</v>
      </c>
      <c r="X6" s="234"/>
    </row>
    <row r="7" spans="1:24" x14ac:dyDescent="0.35">
      <c r="A7" s="235">
        <v>46035</v>
      </c>
      <c r="B7">
        <v>1</v>
      </c>
      <c r="D7">
        <v>1</v>
      </c>
    </row>
    <row r="8" spans="1:24" x14ac:dyDescent="0.35">
      <c r="A8" s="235">
        <v>46043</v>
      </c>
      <c r="B8">
        <v>1</v>
      </c>
      <c r="D8">
        <v>1</v>
      </c>
    </row>
    <row r="9" spans="1:24" x14ac:dyDescent="0.35">
      <c r="A9" s="235">
        <v>46045</v>
      </c>
      <c r="C9">
        <v>1</v>
      </c>
      <c r="D9">
        <v>1</v>
      </c>
    </row>
    <row r="10" spans="1:24" x14ac:dyDescent="0.35">
      <c r="A10" s="235">
        <v>46105</v>
      </c>
      <c r="B10">
        <v>1</v>
      </c>
      <c r="D10">
        <v>1</v>
      </c>
    </row>
    <row r="11" spans="1:24" x14ac:dyDescent="0.35">
      <c r="A11" s="235">
        <v>46157</v>
      </c>
      <c r="B11">
        <v>1</v>
      </c>
      <c r="D11">
        <v>1</v>
      </c>
    </row>
    <row r="12" spans="1:24" x14ac:dyDescent="0.35">
      <c r="A12" s="235">
        <v>46184</v>
      </c>
      <c r="B12">
        <v>2</v>
      </c>
      <c r="D12">
        <v>2</v>
      </c>
    </row>
    <row r="13" spans="1:24" x14ac:dyDescent="0.35">
      <c r="A13" s="235">
        <v>46198</v>
      </c>
      <c r="B13">
        <v>1</v>
      </c>
      <c r="D13">
        <v>1</v>
      </c>
    </row>
    <row r="14" spans="1:24" x14ac:dyDescent="0.35">
      <c r="A14" s="235">
        <v>46199</v>
      </c>
      <c r="B14">
        <v>1</v>
      </c>
      <c r="D14">
        <v>1</v>
      </c>
    </row>
    <row r="15" spans="1:24" x14ac:dyDescent="0.35">
      <c r="A15" s="235">
        <v>46209</v>
      </c>
      <c r="B15">
        <v>1</v>
      </c>
      <c r="D15">
        <v>1</v>
      </c>
    </row>
    <row r="16" spans="1:24" x14ac:dyDescent="0.35">
      <c r="A16" s="235" t="s">
        <v>1813</v>
      </c>
      <c r="B16">
        <v>10</v>
      </c>
      <c r="C16">
        <v>3</v>
      </c>
      <c r="D16">
        <v>13</v>
      </c>
    </row>
  </sheetData>
  <mergeCells count="1">
    <mergeCell ref="A2:D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D705C-9F19-4FB1-8796-E9BC301F7B5D}">
  <dimension ref="B2:K61"/>
  <sheetViews>
    <sheetView topLeftCell="C17" zoomScale="121" zoomScaleNormal="85" workbookViewId="0">
      <selection activeCell="E18" sqref="E18"/>
    </sheetView>
  </sheetViews>
  <sheetFormatPr defaultColWidth="9.1796875" defaultRowHeight="12.5" x14ac:dyDescent="0.35"/>
  <cols>
    <col min="1" max="1" width="9.1796875" style="75"/>
    <col min="2" max="2" width="14" style="145" bestFit="1" customWidth="1"/>
    <col min="3" max="3" width="16.54296875" style="145" bestFit="1" customWidth="1"/>
    <col min="4" max="4" width="7.81640625" style="145" bestFit="1" customWidth="1"/>
    <col min="5" max="5" width="59.453125" style="75" customWidth="1"/>
    <col min="6" max="6" width="16" style="236" customWidth="1"/>
    <col min="7" max="7" width="16" style="145" customWidth="1"/>
    <col min="8" max="8" width="80" style="75" customWidth="1"/>
    <col min="9" max="10" width="13.7265625" style="75" customWidth="1"/>
    <col min="11" max="11" width="53" style="75" customWidth="1"/>
    <col min="12" max="16384" width="9.1796875" style="75"/>
  </cols>
  <sheetData>
    <row r="2" spans="2:11" ht="13" x14ac:dyDescent="0.35">
      <c r="B2" s="141" t="s">
        <v>0</v>
      </c>
      <c r="C2" s="141" t="s">
        <v>1</v>
      </c>
      <c r="D2" s="141" t="s">
        <v>2</v>
      </c>
      <c r="E2" s="142" t="s">
        <v>1808</v>
      </c>
      <c r="F2" s="141" t="s">
        <v>1815</v>
      </c>
      <c r="G2" s="141" t="s">
        <v>4</v>
      </c>
      <c r="H2" s="142" t="s">
        <v>346</v>
      </c>
      <c r="J2" s="304" t="s">
        <v>1815</v>
      </c>
      <c r="K2" s="304"/>
    </row>
    <row r="3" spans="2:11" x14ac:dyDescent="0.35">
      <c r="B3" s="70">
        <v>1</v>
      </c>
      <c r="C3" s="71">
        <v>45790</v>
      </c>
      <c r="D3" s="72">
        <v>1</v>
      </c>
      <c r="E3" s="73" t="s">
        <v>6</v>
      </c>
      <c r="F3" s="74" t="s">
        <v>1840</v>
      </c>
      <c r="G3" s="232" t="s">
        <v>7</v>
      </c>
      <c r="H3" s="73" t="s">
        <v>6</v>
      </c>
      <c r="J3" s="74" t="s">
        <v>1840</v>
      </c>
      <c r="K3" s="73" t="s">
        <v>1839</v>
      </c>
    </row>
    <row r="4" spans="2:11" ht="25" x14ac:dyDescent="0.35">
      <c r="B4" s="70">
        <v>2</v>
      </c>
      <c r="C4" s="71">
        <v>45867</v>
      </c>
      <c r="D4" s="72">
        <v>1.1000000000000001</v>
      </c>
      <c r="E4" s="74" t="s">
        <v>8</v>
      </c>
      <c r="F4" s="74" t="s">
        <v>1840</v>
      </c>
      <c r="G4" s="232" t="s">
        <v>9</v>
      </c>
      <c r="H4" s="73"/>
      <c r="J4" s="81" t="s">
        <v>1818</v>
      </c>
      <c r="K4" s="73" t="s">
        <v>1829</v>
      </c>
    </row>
    <row r="5" spans="2:11" ht="62.5" x14ac:dyDescent="0.35">
      <c r="B5" s="70">
        <v>3</v>
      </c>
      <c r="C5" s="71">
        <v>45895</v>
      </c>
      <c r="D5" s="72">
        <v>1.2</v>
      </c>
      <c r="E5" s="74" t="s">
        <v>10</v>
      </c>
      <c r="F5" s="74" t="s">
        <v>1840</v>
      </c>
      <c r="G5" s="232" t="s">
        <v>7</v>
      </c>
      <c r="H5" s="73"/>
      <c r="J5" s="73" t="s">
        <v>1831</v>
      </c>
      <c r="K5" s="81" t="s">
        <v>1830</v>
      </c>
    </row>
    <row r="6" spans="2:11" x14ac:dyDescent="0.35">
      <c r="B6" s="70">
        <v>4</v>
      </c>
      <c r="C6" s="71">
        <v>45937</v>
      </c>
      <c r="D6" s="72">
        <v>1.3</v>
      </c>
      <c r="E6" s="74" t="s">
        <v>11</v>
      </c>
      <c r="F6" s="74" t="s">
        <v>1840</v>
      </c>
      <c r="G6" s="232" t="s">
        <v>7</v>
      </c>
      <c r="H6" s="73"/>
      <c r="J6" s="81" t="s">
        <v>1816</v>
      </c>
      <c r="K6" s="81" t="s">
        <v>1820</v>
      </c>
    </row>
    <row r="7" spans="2:11" x14ac:dyDescent="0.35">
      <c r="B7" s="70">
        <v>5</v>
      </c>
      <c r="C7" s="71">
        <v>45945</v>
      </c>
      <c r="D7" s="70">
        <v>1.4</v>
      </c>
      <c r="E7" s="81" t="s">
        <v>12</v>
      </c>
      <c r="F7" s="74" t="s">
        <v>1840</v>
      </c>
      <c r="G7" s="70" t="s">
        <v>7</v>
      </c>
      <c r="H7" s="73"/>
    </row>
    <row r="8" spans="2:11" x14ac:dyDescent="0.35">
      <c r="B8" s="70">
        <v>6</v>
      </c>
      <c r="C8" s="71">
        <v>45972</v>
      </c>
      <c r="D8" s="70">
        <v>1.5</v>
      </c>
      <c r="E8" s="81" t="s">
        <v>13</v>
      </c>
      <c r="F8" s="74" t="s">
        <v>1840</v>
      </c>
      <c r="G8" s="70" t="s">
        <v>7</v>
      </c>
      <c r="H8" s="73"/>
    </row>
    <row r="9" spans="2:11" x14ac:dyDescent="0.35">
      <c r="B9" s="70">
        <v>7</v>
      </c>
      <c r="C9" s="71">
        <v>45989</v>
      </c>
      <c r="D9" s="70">
        <v>1.6</v>
      </c>
      <c r="E9" s="81" t="s">
        <v>14</v>
      </c>
      <c r="F9" s="74" t="s">
        <v>1840</v>
      </c>
      <c r="G9" s="232" t="s">
        <v>15</v>
      </c>
      <c r="H9" s="73"/>
    </row>
    <row r="10" spans="2:11" x14ac:dyDescent="0.35">
      <c r="B10" s="70">
        <v>8</v>
      </c>
      <c r="C10" s="71">
        <v>45995</v>
      </c>
      <c r="D10" s="70">
        <v>1.7</v>
      </c>
      <c r="E10" s="74" t="s">
        <v>16</v>
      </c>
      <c r="F10" s="74" t="s">
        <v>1840</v>
      </c>
      <c r="G10" s="232" t="s">
        <v>7</v>
      </c>
      <c r="H10" s="73"/>
    </row>
    <row r="11" spans="2:11" ht="187.5" x14ac:dyDescent="0.35">
      <c r="B11" s="70">
        <v>9</v>
      </c>
      <c r="C11" s="76">
        <v>46003</v>
      </c>
      <c r="D11" s="70">
        <v>1.8</v>
      </c>
      <c r="E11" s="74" t="s">
        <v>1704</v>
      </c>
      <c r="F11" s="144" t="s">
        <v>1818</v>
      </c>
      <c r="G11" s="232" t="s">
        <v>7</v>
      </c>
      <c r="H11" s="73" t="s">
        <v>1841</v>
      </c>
    </row>
    <row r="12" spans="2:11" ht="100" x14ac:dyDescent="0.35">
      <c r="B12" s="70">
        <v>10</v>
      </c>
      <c r="C12" s="76">
        <v>46029</v>
      </c>
      <c r="D12" s="70" t="s">
        <v>1705</v>
      </c>
      <c r="E12" s="73" t="s">
        <v>1706</v>
      </c>
      <c r="F12" s="144" t="s">
        <v>1818</v>
      </c>
      <c r="G12" s="232" t="s">
        <v>7</v>
      </c>
      <c r="H12" s="81" t="s">
        <v>1821</v>
      </c>
    </row>
    <row r="13" spans="2:11" ht="25" x14ac:dyDescent="0.35">
      <c r="B13" s="70">
        <v>11</v>
      </c>
      <c r="C13" s="76">
        <v>46029</v>
      </c>
      <c r="D13" s="70" t="s">
        <v>1709</v>
      </c>
      <c r="E13" s="73" t="s">
        <v>1710</v>
      </c>
      <c r="F13" s="144" t="s">
        <v>1816</v>
      </c>
      <c r="G13" s="232" t="s">
        <v>1711</v>
      </c>
      <c r="H13" s="81" t="s">
        <v>1832</v>
      </c>
    </row>
    <row r="14" spans="2:11" ht="37.5" x14ac:dyDescent="0.35">
      <c r="B14" s="70">
        <v>12</v>
      </c>
      <c r="C14" s="76">
        <v>46035</v>
      </c>
      <c r="D14" s="70" t="s">
        <v>1712</v>
      </c>
      <c r="E14" s="73" t="s">
        <v>1713</v>
      </c>
      <c r="F14" s="144" t="s">
        <v>1816</v>
      </c>
      <c r="G14" s="70" t="s">
        <v>7</v>
      </c>
      <c r="H14" s="81" t="s">
        <v>1833</v>
      </c>
    </row>
    <row r="15" spans="2:11" ht="87.5" x14ac:dyDescent="0.35">
      <c r="B15" s="70">
        <v>13</v>
      </c>
      <c r="C15" s="76">
        <v>46043</v>
      </c>
      <c r="D15" s="70" t="s">
        <v>1716</v>
      </c>
      <c r="E15" s="73" t="s">
        <v>1717</v>
      </c>
      <c r="F15" s="144" t="s">
        <v>1816</v>
      </c>
      <c r="G15" s="70" t="s">
        <v>7</v>
      </c>
      <c r="H15" s="81" t="s">
        <v>1834</v>
      </c>
    </row>
    <row r="16" spans="2:11" ht="50" x14ac:dyDescent="0.35">
      <c r="B16" s="70">
        <v>14</v>
      </c>
      <c r="C16" s="76">
        <v>46045</v>
      </c>
      <c r="D16" s="70">
        <v>1.9</v>
      </c>
      <c r="E16" s="73" t="s">
        <v>1720</v>
      </c>
      <c r="F16" s="144" t="s">
        <v>1818</v>
      </c>
      <c r="G16" s="70" t="s">
        <v>7</v>
      </c>
      <c r="H16" s="81" t="s">
        <v>1835</v>
      </c>
    </row>
    <row r="17" spans="2:8" ht="14.5" x14ac:dyDescent="0.35">
      <c r="B17" s="70">
        <v>15</v>
      </c>
      <c r="C17" s="76">
        <v>46105</v>
      </c>
      <c r="D17" s="143" t="s">
        <v>1773</v>
      </c>
      <c r="E17" s="81" t="s">
        <v>1807</v>
      </c>
      <c r="F17" s="144" t="s">
        <v>1816</v>
      </c>
      <c r="G17" s="70" t="s">
        <v>1772</v>
      </c>
      <c r="H17" s="81" t="s">
        <v>1842</v>
      </c>
    </row>
    <row r="18" spans="2:8" ht="100" x14ac:dyDescent="0.35">
      <c r="B18" s="70">
        <v>16</v>
      </c>
      <c r="C18" s="76">
        <v>46157</v>
      </c>
      <c r="D18" s="70">
        <v>1.1100000000000001</v>
      </c>
      <c r="E18" s="74" t="s">
        <v>1804</v>
      </c>
      <c r="F18" s="144" t="s">
        <v>1816</v>
      </c>
      <c r="G18" s="232" t="s">
        <v>1811</v>
      </c>
      <c r="H18" s="74" t="s">
        <v>1817</v>
      </c>
    </row>
    <row r="19" spans="2:8" ht="25" x14ac:dyDescent="0.35">
      <c r="B19" s="70">
        <v>17</v>
      </c>
      <c r="C19" s="76">
        <v>46184</v>
      </c>
      <c r="D19" s="70">
        <v>1.1200000000000001</v>
      </c>
      <c r="E19" s="73" t="s">
        <v>1806</v>
      </c>
      <c r="F19" s="144" t="s">
        <v>1816</v>
      </c>
      <c r="G19" s="232" t="s">
        <v>1711</v>
      </c>
      <c r="H19" s="81" t="s">
        <v>1836</v>
      </c>
    </row>
    <row r="20" spans="2:8" ht="37.5" x14ac:dyDescent="0.35">
      <c r="B20" s="70">
        <v>18</v>
      </c>
      <c r="C20" s="76">
        <v>46184</v>
      </c>
      <c r="D20" s="70">
        <v>1.1299999999999999</v>
      </c>
      <c r="E20" s="81" t="s">
        <v>1805</v>
      </c>
      <c r="F20" s="144" t="s">
        <v>1816</v>
      </c>
      <c r="G20" s="232" t="s">
        <v>1810</v>
      </c>
      <c r="H20" s="73" t="s">
        <v>1837</v>
      </c>
    </row>
    <row r="21" spans="2:8" ht="37.5" x14ac:dyDescent="0.35">
      <c r="B21" s="70">
        <v>19</v>
      </c>
      <c r="C21" s="76">
        <v>46198</v>
      </c>
      <c r="D21" s="70">
        <v>1.1399999999999999</v>
      </c>
      <c r="E21" s="81" t="s">
        <v>1799</v>
      </c>
      <c r="F21" s="144" t="s">
        <v>1816</v>
      </c>
      <c r="G21" s="232" t="s">
        <v>1809</v>
      </c>
      <c r="H21" s="73" t="s">
        <v>1843</v>
      </c>
    </row>
    <row r="22" spans="2:8" ht="62.5" x14ac:dyDescent="0.35">
      <c r="B22" s="70">
        <v>20</v>
      </c>
      <c r="C22" s="76">
        <v>46199</v>
      </c>
      <c r="D22" s="70">
        <v>1.1499999999999999</v>
      </c>
      <c r="E22" s="73" t="s">
        <v>1800</v>
      </c>
      <c r="F22" s="144" t="s">
        <v>1816</v>
      </c>
      <c r="G22" s="232" t="s">
        <v>1809</v>
      </c>
      <c r="H22" s="73" t="s">
        <v>1844</v>
      </c>
    </row>
    <row r="23" spans="2:8" ht="37.5" x14ac:dyDescent="0.35">
      <c r="B23" s="70">
        <v>21</v>
      </c>
      <c r="C23" s="76">
        <v>46209</v>
      </c>
      <c r="D23" s="70">
        <v>1.1599999999999999</v>
      </c>
      <c r="E23" s="73" t="s">
        <v>1803</v>
      </c>
      <c r="F23" s="144" t="s">
        <v>1816</v>
      </c>
      <c r="G23" s="232" t="s">
        <v>1809</v>
      </c>
      <c r="H23" s="73" t="s">
        <v>1845</v>
      </c>
    </row>
    <row r="24" spans="2:8" ht="62.5" x14ac:dyDescent="0.35">
      <c r="B24" s="70">
        <v>22</v>
      </c>
      <c r="C24" s="76">
        <v>46244</v>
      </c>
      <c r="D24" s="70">
        <v>1.17</v>
      </c>
      <c r="E24" s="73" t="s">
        <v>2006</v>
      </c>
      <c r="F24" s="144" t="s">
        <v>1816</v>
      </c>
      <c r="G24" s="232" t="s">
        <v>1856</v>
      </c>
      <c r="H24" s="73" t="s">
        <v>1879</v>
      </c>
    </row>
    <row r="31" spans="2:8" ht="14.5" x14ac:dyDescent="0.35">
      <c r="C31"/>
      <c r="D31"/>
      <c r="E31"/>
      <c r="F31"/>
    </row>
    <row r="32" spans="2:8" ht="14.5" x14ac:dyDescent="0.35">
      <c r="B32"/>
      <c r="C32"/>
      <c r="D32"/>
      <c r="E32"/>
      <c r="F32"/>
    </row>
    <row r="33" spans="2:6" ht="14.5" x14ac:dyDescent="0.35">
      <c r="B33"/>
      <c r="C33"/>
      <c r="D33"/>
      <c r="E33"/>
      <c r="F33"/>
    </row>
    <row r="34" spans="2:6" ht="14.5" x14ac:dyDescent="0.35">
      <c r="B34"/>
      <c r="C34"/>
      <c r="D34"/>
      <c r="E34"/>
      <c r="F34"/>
    </row>
    <row r="35" spans="2:6" ht="14.5" x14ac:dyDescent="0.35">
      <c r="B35"/>
      <c r="C35"/>
      <c r="D35"/>
      <c r="E35"/>
      <c r="F35"/>
    </row>
    <row r="36" spans="2:6" ht="14.5" x14ac:dyDescent="0.35">
      <c r="B36"/>
      <c r="C36"/>
      <c r="D36"/>
      <c r="E36"/>
      <c r="F36"/>
    </row>
    <row r="37" spans="2:6" ht="14.5" x14ac:dyDescent="0.35">
      <c r="B37"/>
      <c r="C37"/>
      <c r="D37"/>
      <c r="E37"/>
      <c r="F37"/>
    </row>
    <row r="38" spans="2:6" ht="14.5" x14ac:dyDescent="0.35">
      <c r="B38"/>
      <c r="C38"/>
      <c r="D38"/>
      <c r="E38"/>
      <c r="F38"/>
    </row>
    <row r="39" spans="2:6" ht="14.5" x14ac:dyDescent="0.35">
      <c r="B39"/>
      <c r="C39"/>
      <c r="D39"/>
      <c r="E39"/>
      <c r="F39"/>
    </row>
    <row r="40" spans="2:6" ht="14.5" x14ac:dyDescent="0.35">
      <c r="B40"/>
      <c r="C40"/>
      <c r="D40"/>
      <c r="E40"/>
      <c r="F40"/>
    </row>
    <row r="41" spans="2:6" ht="14.5" x14ac:dyDescent="0.35">
      <c r="B41"/>
      <c r="C41"/>
      <c r="D41"/>
      <c r="E41"/>
      <c r="F41"/>
    </row>
    <row r="42" spans="2:6" ht="14.5" x14ac:dyDescent="0.35">
      <c r="C42"/>
      <c r="D42"/>
      <c r="E42"/>
      <c r="F42"/>
    </row>
    <row r="43" spans="2:6" ht="14.5" x14ac:dyDescent="0.35">
      <c r="C43"/>
      <c r="D43"/>
      <c r="E43"/>
      <c r="F43"/>
    </row>
    <row r="44" spans="2:6" ht="14.5" x14ac:dyDescent="0.35">
      <c r="B44"/>
      <c r="C44"/>
      <c r="D44"/>
      <c r="E44"/>
      <c r="F44"/>
    </row>
    <row r="45" spans="2:6" ht="14.5" x14ac:dyDescent="0.35">
      <c r="B45"/>
      <c r="C45"/>
      <c r="D45"/>
    </row>
    <row r="46" spans="2:6" ht="14.5" x14ac:dyDescent="0.35">
      <c r="B46"/>
      <c r="C46"/>
      <c r="D46"/>
    </row>
    <row r="47" spans="2:6" ht="14.5" x14ac:dyDescent="0.35">
      <c r="B47"/>
      <c r="C47"/>
      <c r="D47"/>
    </row>
    <row r="48" spans="2:6" ht="14.5" x14ac:dyDescent="0.35">
      <c r="B48"/>
      <c r="C48"/>
      <c r="D48"/>
    </row>
    <row r="49" spans="2:4" ht="14.5" x14ac:dyDescent="0.35">
      <c r="B49"/>
      <c r="C49"/>
      <c r="D49"/>
    </row>
    <row r="50" spans="2:4" ht="14.5" x14ac:dyDescent="0.35">
      <c r="B50"/>
      <c r="C50"/>
      <c r="D50"/>
    </row>
    <row r="51" spans="2:4" ht="14.5" x14ac:dyDescent="0.35">
      <c r="B51"/>
      <c r="C51"/>
      <c r="D51"/>
    </row>
    <row r="52" spans="2:4" ht="14.5" x14ac:dyDescent="0.35">
      <c r="B52"/>
      <c r="C52"/>
      <c r="D52"/>
    </row>
    <row r="53" spans="2:4" ht="14.5" x14ac:dyDescent="0.35">
      <c r="B53"/>
      <c r="C53"/>
      <c r="D53"/>
    </row>
    <row r="54" spans="2:4" ht="14.5" x14ac:dyDescent="0.35">
      <c r="B54"/>
      <c r="C54"/>
      <c r="D54"/>
    </row>
    <row r="55" spans="2:4" ht="14.5" x14ac:dyDescent="0.35">
      <c r="B55"/>
      <c r="C55"/>
      <c r="D55"/>
    </row>
    <row r="56" spans="2:4" ht="14.5" x14ac:dyDescent="0.35">
      <c r="B56"/>
      <c r="C56"/>
      <c r="D56"/>
    </row>
    <row r="57" spans="2:4" ht="14.5" x14ac:dyDescent="0.35">
      <c r="B57"/>
      <c r="C57"/>
      <c r="D57"/>
    </row>
    <row r="58" spans="2:4" ht="14.5" x14ac:dyDescent="0.35">
      <c r="B58"/>
      <c r="C58"/>
      <c r="D58"/>
    </row>
    <row r="59" spans="2:4" ht="14.5" x14ac:dyDescent="0.35">
      <c r="B59"/>
      <c r="C59"/>
      <c r="D59"/>
    </row>
    <row r="60" spans="2:4" ht="14.5" x14ac:dyDescent="0.35">
      <c r="B60"/>
      <c r="C60"/>
      <c r="D60"/>
    </row>
    <row r="61" spans="2:4" ht="14.5" x14ac:dyDescent="0.35">
      <c r="B61"/>
      <c r="C61"/>
      <c r="D61"/>
    </row>
  </sheetData>
  <sheetProtection selectLockedCells="1" selectUnlockedCells="1"/>
  <mergeCells count="1">
    <mergeCell ref="J2:K2"/>
  </mergeCells>
  <pageMargins left="0.7" right="0.7" top="0.75" bottom="0.75" header="0.51180555555555551" footer="0.51180555555555551"/>
  <pageSetup paperSize="9" firstPageNumber="0"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D9BE9-0CC8-48AA-A989-93EDC81F88D5}">
  <dimension ref="B2:F61"/>
  <sheetViews>
    <sheetView zoomScaleNormal="100" workbookViewId="0">
      <pane xSplit="2" ySplit="2" topLeftCell="C3" activePane="bottomRight" state="frozen"/>
      <selection pane="topRight" activeCell="C1" sqref="C1"/>
      <selection pane="bottomLeft" activeCell="A3" sqref="A3"/>
      <selection pane="bottomRight" activeCell="C42" sqref="C42"/>
    </sheetView>
  </sheetViews>
  <sheetFormatPr defaultColWidth="8.81640625" defaultRowHeight="14.5" x14ac:dyDescent="0.35"/>
  <cols>
    <col min="1" max="1" width="5.26953125" style="89" customWidth="1"/>
    <col min="2" max="2" width="27.7265625" style="140" customWidth="1"/>
    <col min="3" max="3" width="21.7265625" style="89" bestFit="1" customWidth="1"/>
    <col min="4" max="4" width="35.54296875" style="89" bestFit="1" customWidth="1"/>
    <col min="5" max="5" width="51" style="89" customWidth="1"/>
    <col min="6" max="6" width="92.7265625" style="89" customWidth="1"/>
    <col min="7" max="16384" width="8.81640625" style="89"/>
  </cols>
  <sheetData>
    <row r="2" spans="2:6" s="137" customFormat="1" x14ac:dyDescent="0.35">
      <c r="B2" s="136" t="s">
        <v>1725</v>
      </c>
      <c r="C2" s="136" t="s">
        <v>1721</v>
      </c>
      <c r="D2" s="136" t="s">
        <v>1722</v>
      </c>
      <c r="E2" s="136" t="s">
        <v>1723</v>
      </c>
      <c r="F2" s="136" t="s">
        <v>346</v>
      </c>
    </row>
    <row r="3" spans="2:6" x14ac:dyDescent="0.35">
      <c r="B3" s="131" t="s">
        <v>1724</v>
      </c>
      <c r="C3" s="132" t="s">
        <v>411</v>
      </c>
      <c r="D3" s="132" t="s">
        <v>1729</v>
      </c>
      <c r="E3" s="132" t="s">
        <v>1728</v>
      </c>
      <c r="F3" s="135" t="s">
        <v>1732</v>
      </c>
    </row>
    <row r="4" spans="2:6" x14ac:dyDescent="0.35">
      <c r="B4" s="131"/>
      <c r="C4" s="132" t="s">
        <v>421</v>
      </c>
      <c r="D4" s="132" t="s">
        <v>1729</v>
      </c>
      <c r="E4" s="132" t="s">
        <v>1728</v>
      </c>
      <c r="F4" s="135" t="s">
        <v>1732</v>
      </c>
    </row>
    <row r="5" spans="2:6" x14ac:dyDescent="0.35">
      <c r="B5" s="131"/>
      <c r="C5" s="132" t="s">
        <v>414</v>
      </c>
      <c r="D5" s="132" t="s">
        <v>1729</v>
      </c>
      <c r="E5" s="132" t="s">
        <v>1727</v>
      </c>
      <c r="F5" s="135" t="s">
        <v>1732</v>
      </c>
    </row>
    <row r="6" spans="2:6" x14ac:dyDescent="0.35">
      <c r="B6" s="131"/>
      <c r="C6" s="132" t="s">
        <v>424</v>
      </c>
      <c r="D6" s="132" t="s">
        <v>1729</v>
      </c>
      <c r="E6" s="132" t="s">
        <v>1727</v>
      </c>
      <c r="F6" s="135" t="s">
        <v>1732</v>
      </c>
    </row>
    <row r="7" spans="2:6" x14ac:dyDescent="0.35">
      <c r="B7" s="131"/>
      <c r="C7" s="132"/>
      <c r="D7" s="132"/>
      <c r="E7" s="132"/>
      <c r="F7" s="132"/>
    </row>
    <row r="8" spans="2:6" x14ac:dyDescent="0.35">
      <c r="B8" s="131" t="s">
        <v>1726</v>
      </c>
      <c r="C8" s="132" t="s">
        <v>477</v>
      </c>
      <c r="D8" s="132" t="s">
        <v>1729</v>
      </c>
      <c r="E8" s="132" t="s">
        <v>1731</v>
      </c>
      <c r="F8" s="135" t="s">
        <v>1732</v>
      </c>
    </row>
    <row r="9" spans="2:6" x14ac:dyDescent="0.35">
      <c r="B9" s="131"/>
      <c r="C9" s="132" t="s">
        <v>483</v>
      </c>
      <c r="D9" s="132" t="s">
        <v>1729</v>
      </c>
      <c r="E9" s="132" t="s">
        <v>1731</v>
      </c>
      <c r="F9" s="135" t="s">
        <v>1732</v>
      </c>
    </row>
    <row r="10" spans="2:6" x14ac:dyDescent="0.35">
      <c r="B10" s="131"/>
      <c r="C10" s="132" t="s">
        <v>502</v>
      </c>
      <c r="D10" s="132" t="s">
        <v>1729</v>
      </c>
      <c r="E10" s="132" t="s">
        <v>1727</v>
      </c>
      <c r="F10" s="135" t="s">
        <v>1732</v>
      </c>
    </row>
    <row r="11" spans="2:6" x14ac:dyDescent="0.35">
      <c r="B11" s="131"/>
      <c r="C11" s="132" t="s">
        <v>502</v>
      </c>
      <c r="D11" s="132" t="s">
        <v>1729</v>
      </c>
      <c r="E11" s="132" t="s">
        <v>1727</v>
      </c>
      <c r="F11" s="135" t="s">
        <v>1732</v>
      </c>
    </row>
    <row r="12" spans="2:6" ht="29" x14ac:dyDescent="0.35">
      <c r="B12" s="131"/>
      <c r="C12" s="132" t="s">
        <v>522</v>
      </c>
      <c r="D12" s="138" t="s">
        <v>1730</v>
      </c>
      <c r="E12" s="132" t="s">
        <v>1727</v>
      </c>
      <c r="F12" s="135" t="s">
        <v>1732</v>
      </c>
    </row>
    <row r="13" spans="2:6" x14ac:dyDescent="0.35">
      <c r="B13" s="131"/>
      <c r="C13" s="132" t="s">
        <v>540</v>
      </c>
      <c r="D13" s="132" t="s">
        <v>1729</v>
      </c>
      <c r="E13" s="132" t="s">
        <v>1731</v>
      </c>
      <c r="F13" s="135" t="s">
        <v>1732</v>
      </c>
    </row>
    <row r="14" spans="2:6" x14ac:dyDescent="0.35">
      <c r="B14" s="131"/>
      <c r="C14" s="132" t="s">
        <v>554</v>
      </c>
      <c r="D14" s="132" t="s">
        <v>1729</v>
      </c>
      <c r="E14" s="132" t="s">
        <v>1731</v>
      </c>
      <c r="F14" s="135" t="s">
        <v>1732</v>
      </c>
    </row>
    <row r="15" spans="2:6" x14ac:dyDescent="0.35">
      <c r="B15" s="131"/>
      <c r="C15" s="132" t="s">
        <v>562</v>
      </c>
      <c r="D15" s="132" t="s">
        <v>1729</v>
      </c>
      <c r="E15" s="132" t="s">
        <v>1727</v>
      </c>
      <c r="F15" s="135" t="s">
        <v>1732</v>
      </c>
    </row>
    <row r="16" spans="2:6" x14ac:dyDescent="0.35">
      <c r="B16" s="131"/>
      <c r="C16" s="132" t="s">
        <v>572</v>
      </c>
      <c r="D16" s="132" t="s">
        <v>1729</v>
      </c>
      <c r="E16" s="132" t="s">
        <v>1727</v>
      </c>
      <c r="F16" s="135" t="s">
        <v>1732</v>
      </c>
    </row>
    <row r="17" spans="2:6" x14ac:dyDescent="0.35">
      <c r="B17" s="131"/>
      <c r="C17" s="132"/>
      <c r="D17" s="132"/>
      <c r="E17" s="132"/>
      <c r="F17" s="132"/>
    </row>
    <row r="18" spans="2:6" x14ac:dyDescent="0.35">
      <c r="B18" s="131" t="s">
        <v>1733</v>
      </c>
      <c r="C18" s="132" t="s">
        <v>753</v>
      </c>
      <c r="D18" s="132" t="s">
        <v>1728</v>
      </c>
      <c r="E18" s="132" t="s">
        <v>1734</v>
      </c>
      <c r="F18" s="132" t="s">
        <v>1735</v>
      </c>
    </row>
    <row r="19" spans="2:6" x14ac:dyDescent="0.35">
      <c r="B19" s="131"/>
      <c r="C19" s="132" t="s">
        <v>766</v>
      </c>
      <c r="D19" s="132" t="s">
        <v>1728</v>
      </c>
      <c r="E19" s="132" t="s">
        <v>1734</v>
      </c>
      <c r="F19" s="132" t="s">
        <v>1735</v>
      </c>
    </row>
    <row r="20" spans="2:6" x14ac:dyDescent="0.35">
      <c r="B20" s="131"/>
      <c r="C20" s="132" t="s">
        <v>779</v>
      </c>
      <c r="D20" s="132" t="s">
        <v>1728</v>
      </c>
      <c r="E20" s="132" t="s">
        <v>1734</v>
      </c>
      <c r="F20" s="132" t="s">
        <v>1735</v>
      </c>
    </row>
    <row r="21" spans="2:6" x14ac:dyDescent="0.35">
      <c r="B21" s="131"/>
      <c r="C21" s="132" t="s">
        <v>792</v>
      </c>
      <c r="D21" s="132" t="s">
        <v>1728</v>
      </c>
      <c r="E21" s="132" t="s">
        <v>1734</v>
      </c>
      <c r="F21" s="132" t="s">
        <v>1735</v>
      </c>
    </row>
    <row r="22" spans="2:6" x14ac:dyDescent="0.35">
      <c r="B22" s="131"/>
      <c r="C22" s="132" t="s">
        <v>826</v>
      </c>
      <c r="D22" s="132" t="s">
        <v>1729</v>
      </c>
      <c r="E22" s="132" t="s">
        <v>1727</v>
      </c>
      <c r="F22" s="135" t="s">
        <v>1732</v>
      </c>
    </row>
    <row r="23" spans="2:6" x14ac:dyDescent="0.35">
      <c r="B23" s="131"/>
      <c r="C23" s="132" t="s">
        <v>837</v>
      </c>
      <c r="D23" s="132" t="s">
        <v>1729</v>
      </c>
      <c r="E23" s="132" t="s">
        <v>1727</v>
      </c>
      <c r="F23" s="135" t="s">
        <v>1732</v>
      </c>
    </row>
    <row r="24" spans="2:6" x14ac:dyDescent="0.35">
      <c r="B24" s="131"/>
      <c r="C24" s="132" t="s">
        <v>805</v>
      </c>
      <c r="D24" s="132" t="s">
        <v>1729</v>
      </c>
      <c r="E24" s="132" t="s">
        <v>1729</v>
      </c>
      <c r="F24" s="139" t="s">
        <v>1736</v>
      </c>
    </row>
    <row r="25" spans="2:6" x14ac:dyDescent="0.35">
      <c r="B25" s="131"/>
      <c r="C25" s="132"/>
      <c r="D25" s="132"/>
      <c r="E25" s="132"/>
      <c r="F25" s="132"/>
    </row>
    <row r="26" spans="2:6" x14ac:dyDescent="0.35">
      <c r="B26" s="131" t="s">
        <v>1739</v>
      </c>
      <c r="C26" s="132" t="s">
        <v>1740</v>
      </c>
      <c r="D26" s="132" t="s">
        <v>1728</v>
      </c>
      <c r="E26" s="132" t="s">
        <v>1742</v>
      </c>
      <c r="F26" s="132" t="s">
        <v>1735</v>
      </c>
    </row>
    <row r="27" spans="2:6" x14ac:dyDescent="0.35">
      <c r="B27" s="131"/>
      <c r="C27" s="139" t="s">
        <v>1746</v>
      </c>
      <c r="D27" s="132" t="s">
        <v>1741</v>
      </c>
      <c r="E27" s="132" t="s">
        <v>1743</v>
      </c>
      <c r="F27" s="134" t="s">
        <v>1748</v>
      </c>
    </row>
    <row r="28" spans="2:6" x14ac:dyDescent="0.35">
      <c r="B28" s="131"/>
      <c r="C28" s="132" t="s">
        <v>1745</v>
      </c>
      <c r="D28" s="132" t="s">
        <v>1742</v>
      </c>
      <c r="E28" s="132" t="s">
        <v>1728</v>
      </c>
      <c r="F28" s="132" t="s">
        <v>1735</v>
      </c>
    </row>
    <row r="29" spans="2:6" x14ac:dyDescent="0.35">
      <c r="B29" s="131"/>
      <c r="C29" s="139" t="s">
        <v>1747</v>
      </c>
      <c r="D29" s="132" t="s">
        <v>1743</v>
      </c>
      <c r="E29" s="132" t="s">
        <v>1741</v>
      </c>
      <c r="F29" s="134" t="s">
        <v>1748</v>
      </c>
    </row>
    <row r="30" spans="2:6" x14ac:dyDescent="0.35">
      <c r="B30" s="131"/>
      <c r="C30" s="132"/>
      <c r="D30" s="132"/>
      <c r="E30" s="132"/>
      <c r="F30" s="132" t="s">
        <v>1744</v>
      </c>
    </row>
    <row r="31" spans="2:6" x14ac:dyDescent="0.35">
      <c r="B31" s="131" t="s">
        <v>1737</v>
      </c>
      <c r="C31" s="132"/>
      <c r="D31" s="132"/>
      <c r="E31" s="132"/>
      <c r="F31" s="135" t="s">
        <v>1752</v>
      </c>
    </row>
    <row r="32" spans="2:6" x14ac:dyDescent="0.35">
      <c r="B32" s="131" t="s">
        <v>1738</v>
      </c>
      <c r="C32" s="132"/>
      <c r="D32" s="132"/>
      <c r="E32" s="132"/>
      <c r="F32" s="135" t="s">
        <v>1752</v>
      </c>
    </row>
    <row r="33" spans="2:6" x14ac:dyDescent="0.35">
      <c r="B33" s="131"/>
      <c r="C33" s="132"/>
      <c r="D33" s="132"/>
      <c r="E33" s="132"/>
      <c r="F33" s="132"/>
    </row>
    <row r="34" spans="2:6" x14ac:dyDescent="0.35">
      <c r="B34" s="131"/>
      <c r="C34" s="132"/>
      <c r="D34" s="132"/>
      <c r="E34" s="132"/>
      <c r="F34" s="132"/>
    </row>
    <row r="35" spans="2:6" ht="43.5" x14ac:dyDescent="0.35">
      <c r="B35" s="131" t="s">
        <v>1749</v>
      </c>
      <c r="C35" s="133" t="s">
        <v>1761</v>
      </c>
      <c r="D35" s="132" t="s">
        <v>1760</v>
      </c>
      <c r="E35" s="132" t="s">
        <v>1757</v>
      </c>
      <c r="F35" s="135" t="s">
        <v>1732</v>
      </c>
    </row>
    <row r="36" spans="2:6" ht="43.5" x14ac:dyDescent="0.35">
      <c r="B36" s="131"/>
      <c r="C36" s="132" t="s">
        <v>1758</v>
      </c>
      <c r="D36" s="132" t="s">
        <v>1766</v>
      </c>
      <c r="E36" s="133" t="s">
        <v>1759</v>
      </c>
      <c r="F36" s="134" t="s">
        <v>1748</v>
      </c>
    </row>
    <row r="37" spans="2:6" x14ac:dyDescent="0.35">
      <c r="B37" s="131"/>
      <c r="C37" s="132" t="s">
        <v>977</v>
      </c>
      <c r="D37" s="132" t="s">
        <v>1763</v>
      </c>
      <c r="E37" s="133" t="s">
        <v>1762</v>
      </c>
      <c r="F37" s="135" t="s">
        <v>1732</v>
      </c>
    </row>
    <row r="38" spans="2:6" x14ac:dyDescent="0.35">
      <c r="B38" s="131"/>
      <c r="C38" s="132"/>
      <c r="D38" s="132"/>
      <c r="E38" s="132"/>
      <c r="F38" s="132"/>
    </row>
    <row r="39" spans="2:6" x14ac:dyDescent="0.35">
      <c r="B39" s="131" t="s">
        <v>1751</v>
      </c>
      <c r="C39" s="132" t="s">
        <v>1764</v>
      </c>
      <c r="D39" s="132" t="s">
        <v>1764</v>
      </c>
      <c r="E39" s="132" t="s">
        <v>1757</v>
      </c>
      <c r="F39" s="135" t="s">
        <v>1732</v>
      </c>
    </row>
    <row r="40" spans="2:6" x14ac:dyDescent="0.35">
      <c r="B40" s="131"/>
      <c r="C40" s="132"/>
      <c r="D40" s="132"/>
      <c r="E40" s="132"/>
      <c r="F40" s="132"/>
    </row>
    <row r="41" spans="2:6" x14ac:dyDescent="0.35">
      <c r="B41" s="131" t="s">
        <v>1750</v>
      </c>
      <c r="C41" s="132" t="s">
        <v>1765</v>
      </c>
      <c r="D41" s="132" t="s">
        <v>313</v>
      </c>
      <c r="E41" s="132"/>
      <c r="F41" s="135" t="s">
        <v>1752</v>
      </c>
    </row>
    <row r="42" spans="2:6" ht="43.5" x14ac:dyDescent="0.35">
      <c r="B42" s="131"/>
      <c r="C42" s="132" t="s">
        <v>1767</v>
      </c>
      <c r="D42" s="132" t="s">
        <v>1766</v>
      </c>
      <c r="E42" s="133" t="s">
        <v>1768</v>
      </c>
      <c r="F42" s="134" t="s">
        <v>1825</v>
      </c>
    </row>
    <row r="43" spans="2:6" x14ac:dyDescent="0.35">
      <c r="B43" s="131"/>
      <c r="C43" s="132"/>
      <c r="D43" s="132"/>
      <c r="E43" s="132"/>
      <c r="F43" s="132"/>
    </row>
    <row r="44" spans="2:6" ht="116" x14ac:dyDescent="0.35">
      <c r="B44" s="131" t="s">
        <v>1753</v>
      </c>
      <c r="C44" s="132" t="s">
        <v>1769</v>
      </c>
      <c r="D44" s="133" t="s">
        <v>1770</v>
      </c>
      <c r="E44" s="133" t="s">
        <v>1771</v>
      </c>
      <c r="F44" s="134" t="s">
        <v>1826</v>
      </c>
    </row>
    <row r="45" spans="2:6" x14ac:dyDescent="0.35">
      <c r="B45" s="131"/>
      <c r="C45" s="132"/>
      <c r="D45" s="132"/>
      <c r="E45" s="132"/>
      <c r="F45" s="132"/>
    </row>
    <row r="46" spans="2:6" ht="130.5" x14ac:dyDescent="0.35">
      <c r="B46" s="131" t="s">
        <v>1754</v>
      </c>
      <c r="C46" s="132" t="s">
        <v>1822</v>
      </c>
      <c r="D46" s="133" t="s">
        <v>1823</v>
      </c>
      <c r="E46" s="133" t="s">
        <v>1824</v>
      </c>
      <c r="F46" s="134" t="s">
        <v>1827</v>
      </c>
    </row>
    <row r="47" spans="2:6" x14ac:dyDescent="0.35">
      <c r="B47" s="131"/>
      <c r="C47" s="132"/>
      <c r="D47" s="132"/>
      <c r="E47" s="132"/>
      <c r="F47" s="132"/>
    </row>
    <row r="48" spans="2:6" x14ac:dyDescent="0.35">
      <c r="B48" s="131"/>
      <c r="C48" s="132"/>
      <c r="D48" s="132"/>
      <c r="E48" s="132"/>
      <c r="F48" s="132"/>
    </row>
    <row r="49" spans="2:6" x14ac:dyDescent="0.35">
      <c r="B49" s="131"/>
      <c r="C49" s="132"/>
      <c r="D49" s="132"/>
      <c r="E49" s="132"/>
      <c r="F49" s="132"/>
    </row>
    <row r="50" spans="2:6" x14ac:dyDescent="0.35">
      <c r="B50" s="131"/>
      <c r="C50" s="132"/>
      <c r="D50" s="132"/>
      <c r="E50" s="132"/>
      <c r="F50" s="132"/>
    </row>
    <row r="51" spans="2:6" x14ac:dyDescent="0.35">
      <c r="B51" s="131" t="s">
        <v>1755</v>
      </c>
      <c r="C51" s="132"/>
      <c r="D51" s="132"/>
      <c r="E51" s="132"/>
      <c r="F51" s="132" t="s">
        <v>1828</v>
      </c>
    </row>
    <row r="52" spans="2:6" x14ac:dyDescent="0.35">
      <c r="B52" s="131" t="s">
        <v>1744</v>
      </c>
      <c r="C52" s="132"/>
      <c r="D52" s="132"/>
      <c r="E52" s="132"/>
      <c r="F52" s="132"/>
    </row>
    <row r="53" spans="2:6" x14ac:dyDescent="0.35">
      <c r="B53" s="131"/>
      <c r="C53" s="132"/>
      <c r="D53" s="132"/>
      <c r="E53" s="132"/>
      <c r="F53" s="132"/>
    </row>
    <row r="54" spans="2:6" x14ac:dyDescent="0.35">
      <c r="B54" s="131" t="s">
        <v>1756</v>
      </c>
      <c r="C54" s="132"/>
      <c r="D54" s="132"/>
      <c r="E54" s="132"/>
      <c r="F54" s="132" t="s">
        <v>1828</v>
      </c>
    </row>
    <row r="55" spans="2:6" x14ac:dyDescent="0.35">
      <c r="B55" s="131"/>
      <c r="C55" s="132"/>
      <c r="D55" s="132"/>
      <c r="E55" s="132"/>
      <c r="F55" s="132"/>
    </row>
    <row r="56" spans="2:6" x14ac:dyDescent="0.35">
      <c r="B56" s="131"/>
      <c r="C56" s="132"/>
      <c r="D56" s="132"/>
      <c r="E56" s="132"/>
      <c r="F56" s="132"/>
    </row>
    <row r="57" spans="2:6" x14ac:dyDescent="0.35">
      <c r="B57" s="131"/>
      <c r="C57" s="132"/>
      <c r="D57" s="132"/>
      <c r="E57" s="132"/>
      <c r="F57" s="132"/>
    </row>
    <row r="58" spans="2:6" x14ac:dyDescent="0.35">
      <c r="B58" s="131"/>
      <c r="C58" s="132"/>
      <c r="D58" s="132"/>
      <c r="E58" s="132"/>
      <c r="F58" s="132"/>
    </row>
    <row r="59" spans="2:6" x14ac:dyDescent="0.35">
      <c r="B59" s="131"/>
      <c r="C59" s="132"/>
      <c r="D59" s="132"/>
      <c r="E59" s="132"/>
      <c r="F59" s="132"/>
    </row>
    <row r="60" spans="2:6" x14ac:dyDescent="0.35">
      <c r="B60" s="131"/>
      <c r="C60" s="132"/>
      <c r="D60" s="132"/>
      <c r="E60" s="132"/>
      <c r="F60" s="132"/>
    </row>
    <row r="61" spans="2:6" x14ac:dyDescent="0.35">
      <c r="B61" s="131"/>
      <c r="C61" s="132"/>
      <c r="D61" s="132"/>
      <c r="E61" s="132"/>
      <c r="F61" s="132"/>
    </row>
  </sheetData>
  <autoFilter ref="B2:F6" xr:uid="{6F0D9BE9-0CC8-48AA-A989-93EDC81F88D5}"/>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26"/>
  <sheetViews>
    <sheetView workbookViewId="0">
      <selection activeCell="E29" sqref="E29"/>
    </sheetView>
  </sheetViews>
  <sheetFormatPr defaultRowHeight="14.5" x14ac:dyDescent="0.35"/>
  <cols>
    <col min="2" max="2" width="30.1796875" style="6" customWidth="1"/>
    <col min="3" max="3" width="9.1796875" style="6" bestFit="1"/>
    <col min="4" max="4" width="8.1796875" style="6" bestFit="1" customWidth="1"/>
    <col min="5" max="11" width="9.1796875" style="6"/>
  </cols>
  <sheetData>
    <row r="1" spans="2:4" ht="15" thickBot="1" x14ac:dyDescent="0.4"/>
    <row r="2" spans="2:4" x14ac:dyDescent="0.35">
      <c r="B2" s="12" t="s">
        <v>17</v>
      </c>
      <c r="C2" s="13"/>
      <c r="D2" s="14"/>
    </row>
    <row r="3" spans="2:4" x14ac:dyDescent="0.35">
      <c r="B3" s="15">
        <v>2</v>
      </c>
      <c r="C3" s="16">
        <v>14</v>
      </c>
      <c r="D3" s="17">
        <v>1</v>
      </c>
    </row>
    <row r="4" spans="2:4" ht="26.5" thickBot="1" x14ac:dyDescent="0.4">
      <c r="B4" s="18" t="s">
        <v>18</v>
      </c>
      <c r="C4" s="19" t="s">
        <v>19</v>
      </c>
      <c r="D4" s="20" t="s">
        <v>20</v>
      </c>
    </row>
    <row r="7" spans="2:4" x14ac:dyDescent="0.35">
      <c r="B7" s="128" t="s">
        <v>1718</v>
      </c>
    </row>
    <row r="8" spans="2:4" x14ac:dyDescent="0.35">
      <c r="B8" s="21" t="s">
        <v>21</v>
      </c>
    </row>
    <row r="9" spans="2:4" x14ac:dyDescent="0.35">
      <c r="B9" s="21" t="s">
        <v>22</v>
      </c>
    </row>
    <row r="10" spans="2:4" x14ac:dyDescent="0.35">
      <c r="B10" s="22" t="s">
        <v>23</v>
      </c>
    </row>
    <row r="11" spans="2:4" x14ac:dyDescent="0.35">
      <c r="B11" s="21" t="s">
        <v>1707</v>
      </c>
    </row>
    <row r="12" spans="2:4" x14ac:dyDescent="0.35">
      <c r="B12" s="21" t="s">
        <v>68</v>
      </c>
    </row>
    <row r="13" spans="2:4" x14ac:dyDescent="0.35">
      <c r="B13" s="21" t="s">
        <v>69</v>
      </c>
    </row>
    <row r="14" spans="2:4" x14ac:dyDescent="0.35">
      <c r="B14" s="21" t="s">
        <v>72</v>
      </c>
    </row>
    <row r="16" spans="2:4" x14ac:dyDescent="0.35">
      <c r="B16" s="128" t="s">
        <v>1719</v>
      </c>
    </row>
    <row r="17" spans="2:2" x14ac:dyDescent="0.35">
      <c r="B17" s="21" t="s">
        <v>24</v>
      </c>
    </row>
    <row r="18" spans="2:2" x14ac:dyDescent="0.35">
      <c r="B18" s="21" t="s">
        <v>25</v>
      </c>
    </row>
    <row r="19" spans="2:2" x14ac:dyDescent="0.35">
      <c r="B19" s="22" t="s">
        <v>26</v>
      </c>
    </row>
    <row r="20" spans="2:2" x14ac:dyDescent="0.35">
      <c r="B20" s="25" t="s">
        <v>27</v>
      </c>
    </row>
    <row r="21" spans="2:2" x14ac:dyDescent="0.35">
      <c r="B21" s="91" t="s">
        <v>82</v>
      </c>
    </row>
    <row r="22" spans="2:2" x14ac:dyDescent="0.35">
      <c r="B22" s="21" t="s">
        <v>90</v>
      </c>
    </row>
    <row r="23" spans="2:2" x14ac:dyDescent="0.35">
      <c r="B23" s="21" t="s">
        <v>68</v>
      </c>
    </row>
    <row r="24" spans="2:2" x14ac:dyDescent="0.35">
      <c r="B24" s="21" t="s">
        <v>94</v>
      </c>
    </row>
    <row r="25" spans="2:2" x14ac:dyDescent="0.35">
      <c r="B25" s="21" t="s">
        <v>96</v>
      </c>
    </row>
    <row r="26" spans="2:2" x14ac:dyDescent="0.35">
      <c r="B26" s="129" t="s">
        <v>97</v>
      </c>
    </row>
  </sheetData>
  <conditionalFormatting sqref="B20">
    <cfRule type="cellIs" dxfId="519" priority="1" stopIfTrue="1" operator="equal">
      <formula>"N"</formula>
    </cfRule>
    <cfRule type="cellIs" dxfId="518" priority="2" stopIfTrue="1" operator="equal">
      <formula>"R"</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1CD94-F73A-4D1E-972B-B83EF9A68B6F}">
  <dimension ref="A1:IR593"/>
  <sheetViews>
    <sheetView tabSelected="1" zoomScale="89" zoomScaleNormal="75" workbookViewId="0">
      <pane xSplit="1" ySplit="1" topLeftCell="B578" activePane="bottomRight" state="frozen"/>
      <selection pane="topRight" activeCell="B1" sqref="B1"/>
      <selection pane="bottomLeft" activeCell="A2" sqref="A2"/>
      <selection pane="bottomRight" activeCell="F14" sqref="F14"/>
    </sheetView>
  </sheetViews>
  <sheetFormatPr defaultColWidth="9.1796875" defaultRowHeight="13" x14ac:dyDescent="0.3"/>
  <cols>
    <col min="1" max="1" width="42.7265625" style="122" customWidth="1"/>
    <col min="2" max="2" width="38.90625" style="122" customWidth="1"/>
    <col min="3" max="3" width="9" style="178" bestFit="1" customWidth="1"/>
    <col min="4" max="4" width="16.26953125" style="178" bestFit="1" customWidth="1"/>
    <col min="5" max="5" width="9.26953125" style="178" bestFit="1" customWidth="1"/>
    <col min="6" max="6" width="77" style="122" bestFit="1" customWidth="1"/>
    <col min="7" max="7" width="77" style="122" hidden="1" customWidth="1"/>
    <col min="8" max="8" width="60" style="178" bestFit="1" customWidth="1"/>
    <col min="9" max="9" width="16.81640625" style="178" customWidth="1"/>
    <col min="10" max="10" width="9.1796875" style="178" customWidth="1"/>
    <col min="11" max="11" width="29" style="178" customWidth="1"/>
    <col min="12" max="252" width="9.1796875" style="178" customWidth="1"/>
    <col min="253" max="16384" width="9.1796875" style="181"/>
  </cols>
  <sheetData>
    <row r="1" spans="1:9" s="160" customFormat="1" ht="39" x14ac:dyDescent="0.35">
      <c r="A1" s="83" t="s">
        <v>28</v>
      </c>
      <c r="B1" s="159" t="s">
        <v>29</v>
      </c>
      <c r="C1" s="98" t="s">
        <v>30</v>
      </c>
      <c r="D1" s="97" t="s">
        <v>31</v>
      </c>
      <c r="E1" s="97" t="s">
        <v>32</v>
      </c>
      <c r="F1" s="97" t="s">
        <v>33</v>
      </c>
      <c r="G1" s="97" t="s">
        <v>34</v>
      </c>
      <c r="H1" s="98" t="s">
        <v>5</v>
      </c>
      <c r="I1" s="160" t="s">
        <v>2007</v>
      </c>
    </row>
    <row r="2" spans="1:9" s="162" customFormat="1" ht="52" x14ac:dyDescent="0.35">
      <c r="A2" s="123" t="s">
        <v>1774</v>
      </c>
      <c r="B2" s="102" t="s">
        <v>35</v>
      </c>
      <c r="C2" s="22" t="s">
        <v>36</v>
      </c>
      <c r="D2" s="161" t="s">
        <v>37</v>
      </c>
      <c r="E2" s="161" t="s">
        <v>38</v>
      </c>
      <c r="F2" s="305" t="s">
        <v>39</v>
      </c>
      <c r="G2" s="25"/>
      <c r="H2" s="153"/>
    </row>
    <row r="3" spans="1:9" s="163" customFormat="1" ht="26" x14ac:dyDescent="0.35">
      <c r="A3" s="123" t="s">
        <v>40</v>
      </c>
      <c r="B3" s="102" t="s">
        <v>41</v>
      </c>
      <c r="C3" s="22" t="s">
        <v>36</v>
      </c>
      <c r="D3" s="161" t="s">
        <v>38</v>
      </c>
      <c r="E3" s="161" t="s">
        <v>37</v>
      </c>
      <c r="F3" s="22" t="s">
        <v>42</v>
      </c>
      <c r="G3" s="22"/>
      <c r="H3" s="22"/>
    </row>
    <row r="4" spans="1:9" s="160" customFormat="1" ht="39" x14ac:dyDescent="0.35">
      <c r="A4" s="83" t="s">
        <v>43</v>
      </c>
      <c r="B4" s="159" t="s">
        <v>44</v>
      </c>
      <c r="C4" s="98" t="s">
        <v>30</v>
      </c>
      <c r="D4" s="97" t="s">
        <v>31</v>
      </c>
      <c r="E4" s="97" t="s">
        <v>32</v>
      </c>
      <c r="F4" s="98" t="s">
        <v>33</v>
      </c>
      <c r="G4" s="98"/>
      <c r="H4" s="98" t="s">
        <v>5</v>
      </c>
    </row>
    <row r="5" spans="1:9" s="162" customFormat="1" ht="26" x14ac:dyDescent="0.35">
      <c r="A5" s="123" t="s">
        <v>45</v>
      </c>
      <c r="B5" s="102" t="s">
        <v>46</v>
      </c>
      <c r="C5" s="22" t="s">
        <v>36</v>
      </c>
      <c r="D5" s="161" t="s">
        <v>37</v>
      </c>
      <c r="E5" s="161" t="s">
        <v>38</v>
      </c>
      <c r="F5" s="25" t="s">
        <v>47</v>
      </c>
      <c r="G5" s="25"/>
      <c r="H5" s="153"/>
    </row>
    <row r="6" spans="1:9" s="162" customFormat="1" ht="39" x14ac:dyDescent="0.35">
      <c r="A6" s="123" t="s">
        <v>45</v>
      </c>
      <c r="B6" s="102" t="s">
        <v>48</v>
      </c>
      <c r="C6" s="22" t="s">
        <v>49</v>
      </c>
      <c r="D6" s="161" t="s">
        <v>37</v>
      </c>
      <c r="E6" s="161" t="s">
        <v>38</v>
      </c>
      <c r="F6" s="25" t="s">
        <v>50</v>
      </c>
      <c r="G6" s="25"/>
      <c r="H6" s="153"/>
    </row>
    <row r="7" spans="1:9" s="162" customFormat="1" ht="39" x14ac:dyDescent="0.35">
      <c r="A7" s="123" t="s">
        <v>51</v>
      </c>
      <c r="B7" s="102" t="s">
        <v>52</v>
      </c>
      <c r="C7" s="22" t="s">
        <v>36</v>
      </c>
      <c r="D7" s="161" t="s">
        <v>38</v>
      </c>
      <c r="E7" s="161" t="s">
        <v>37</v>
      </c>
      <c r="F7" s="25" t="s">
        <v>1786</v>
      </c>
      <c r="G7" s="25"/>
      <c r="H7" s="153" t="s">
        <v>1787</v>
      </c>
    </row>
    <row r="8" spans="1:9" s="207" customFormat="1" ht="65" x14ac:dyDescent="0.35">
      <c r="A8" s="203" t="s">
        <v>51</v>
      </c>
      <c r="B8" s="204" t="s">
        <v>53</v>
      </c>
      <c r="C8" s="164" t="s">
        <v>49</v>
      </c>
      <c r="D8" s="205" t="s">
        <v>38</v>
      </c>
      <c r="E8" s="205" t="s">
        <v>37</v>
      </c>
      <c r="F8" s="158" t="s">
        <v>1785</v>
      </c>
      <c r="G8" s="158"/>
      <c r="H8" s="206"/>
    </row>
    <row r="9" spans="1:9" s="162" customFormat="1" ht="26" x14ac:dyDescent="0.35">
      <c r="A9" s="123" t="s">
        <v>51</v>
      </c>
      <c r="B9" s="102" t="s">
        <v>54</v>
      </c>
      <c r="C9" s="22" t="s">
        <v>55</v>
      </c>
      <c r="D9" s="161" t="s">
        <v>38</v>
      </c>
      <c r="E9" s="161" t="s">
        <v>37</v>
      </c>
      <c r="F9" s="25" t="s">
        <v>56</v>
      </c>
      <c r="G9" s="25"/>
      <c r="H9" s="153"/>
    </row>
    <row r="10" spans="1:9" s="162" customFormat="1" ht="39" x14ac:dyDescent="0.35">
      <c r="A10" s="123" t="s">
        <v>45</v>
      </c>
      <c r="B10" s="102" t="s">
        <v>57</v>
      </c>
      <c r="C10" s="22" t="s">
        <v>36</v>
      </c>
      <c r="D10" s="161" t="s">
        <v>37</v>
      </c>
      <c r="E10" s="161" t="s">
        <v>38</v>
      </c>
      <c r="F10" s="25" t="s">
        <v>58</v>
      </c>
      <c r="G10" s="25"/>
      <c r="H10" s="153"/>
    </row>
    <row r="11" spans="1:9" s="160" customFormat="1" ht="39" x14ac:dyDescent="0.35">
      <c r="A11" s="83" t="s">
        <v>59</v>
      </c>
      <c r="B11" s="159" t="s">
        <v>60</v>
      </c>
      <c r="C11" s="98" t="s">
        <v>30</v>
      </c>
      <c r="D11" s="97" t="s">
        <v>31</v>
      </c>
      <c r="E11" s="97" t="s">
        <v>32</v>
      </c>
      <c r="F11" s="98" t="s">
        <v>33</v>
      </c>
      <c r="G11" s="98"/>
      <c r="H11" s="98" t="s">
        <v>5</v>
      </c>
    </row>
    <row r="12" spans="1:9" s="160" customFormat="1" ht="39" x14ac:dyDescent="0.35">
      <c r="A12" s="123" t="s">
        <v>61</v>
      </c>
      <c r="B12" s="102" t="s">
        <v>46</v>
      </c>
      <c r="C12" s="22" t="s">
        <v>36</v>
      </c>
      <c r="D12" s="161" t="s">
        <v>37</v>
      </c>
      <c r="E12" s="161" t="s">
        <v>38</v>
      </c>
      <c r="F12" s="22" t="s">
        <v>62</v>
      </c>
      <c r="G12" s="22"/>
      <c r="H12" s="165"/>
    </row>
    <row r="13" spans="1:9" s="160" customFormat="1" ht="169" x14ac:dyDescent="0.35">
      <c r="A13" s="9" t="s">
        <v>61</v>
      </c>
      <c r="B13" s="21" t="s">
        <v>63</v>
      </c>
      <c r="C13" s="129" t="s">
        <v>36</v>
      </c>
      <c r="D13" s="166" t="s">
        <v>37</v>
      </c>
      <c r="E13" s="166" t="s">
        <v>38</v>
      </c>
      <c r="F13" s="99" t="s">
        <v>64</v>
      </c>
      <c r="H13" s="25"/>
    </row>
    <row r="14" spans="1:9" s="160" customFormat="1" ht="39" x14ac:dyDescent="0.3">
      <c r="A14" s="9" t="s">
        <v>61</v>
      </c>
      <c r="B14" s="21" t="s">
        <v>48</v>
      </c>
      <c r="C14" s="129" t="s">
        <v>49</v>
      </c>
      <c r="D14" s="166" t="s">
        <v>37</v>
      </c>
      <c r="E14" s="166" t="s">
        <v>38</v>
      </c>
      <c r="F14" s="100" t="s">
        <v>50</v>
      </c>
      <c r="G14" s="100"/>
      <c r="H14" s="25"/>
    </row>
    <row r="15" spans="1:9" s="160" customFormat="1" ht="39" x14ac:dyDescent="0.3">
      <c r="A15" s="9" t="s">
        <v>61</v>
      </c>
      <c r="B15" s="21" t="s">
        <v>1852</v>
      </c>
      <c r="C15" s="129" t="s">
        <v>49</v>
      </c>
      <c r="D15" s="166" t="s">
        <v>37</v>
      </c>
      <c r="E15" s="166" t="s">
        <v>38</v>
      </c>
      <c r="F15" s="100" t="s">
        <v>1853</v>
      </c>
      <c r="G15" s="100"/>
      <c r="H15" s="25"/>
    </row>
    <row r="16" spans="1:9" s="160" customFormat="1" ht="191.5" customHeight="1" x14ac:dyDescent="0.35">
      <c r="A16" s="9" t="s">
        <v>65</v>
      </c>
      <c r="B16" s="21" t="s">
        <v>1707</v>
      </c>
      <c r="C16" s="9" t="s">
        <v>49</v>
      </c>
      <c r="D16" s="166" t="s">
        <v>38</v>
      </c>
      <c r="E16" s="166" t="s">
        <v>37</v>
      </c>
      <c r="F16" s="25" t="s">
        <v>1788</v>
      </c>
      <c r="G16" s="99" t="s">
        <v>67</v>
      </c>
      <c r="H16" s="167"/>
    </row>
    <row r="17" spans="1:8" s="160" customFormat="1" ht="117" x14ac:dyDescent="0.35">
      <c r="A17" s="9" t="s">
        <v>65</v>
      </c>
      <c r="B17" s="21" t="s">
        <v>68</v>
      </c>
      <c r="C17" s="9" t="s">
        <v>49</v>
      </c>
      <c r="D17" s="166" t="s">
        <v>38</v>
      </c>
      <c r="E17" s="166" t="s">
        <v>37</v>
      </c>
      <c r="F17" s="25" t="s">
        <v>1789</v>
      </c>
      <c r="G17" s="99" t="s">
        <v>67</v>
      </c>
      <c r="H17" s="25"/>
    </row>
    <row r="18" spans="1:8" s="160" customFormat="1" ht="78" x14ac:dyDescent="0.35">
      <c r="A18" s="9" t="s">
        <v>65</v>
      </c>
      <c r="B18" s="21" t="s">
        <v>69</v>
      </c>
      <c r="C18" s="9" t="s">
        <v>36</v>
      </c>
      <c r="D18" s="166" t="s">
        <v>38</v>
      </c>
      <c r="E18" s="166" t="s">
        <v>37</v>
      </c>
      <c r="F18" s="25" t="s">
        <v>70</v>
      </c>
      <c r="G18" s="99" t="s">
        <v>67</v>
      </c>
      <c r="H18" s="130" t="s">
        <v>71</v>
      </c>
    </row>
    <row r="19" spans="1:8" s="160" customFormat="1" ht="78" x14ac:dyDescent="0.35">
      <c r="A19" s="9" t="s">
        <v>61</v>
      </c>
      <c r="B19" s="21" t="s">
        <v>72</v>
      </c>
      <c r="C19" s="129" t="s">
        <v>36</v>
      </c>
      <c r="D19" s="166" t="s">
        <v>37</v>
      </c>
      <c r="E19" s="166" t="s">
        <v>38</v>
      </c>
      <c r="F19" s="25" t="s">
        <v>73</v>
      </c>
      <c r="G19" s="99" t="s">
        <v>67</v>
      </c>
      <c r="H19" s="167"/>
    </row>
    <row r="20" spans="1:8" s="160" customFormat="1" ht="99" customHeight="1" x14ac:dyDescent="0.35">
      <c r="A20" s="9" t="s">
        <v>65</v>
      </c>
      <c r="B20" s="21" t="s">
        <v>74</v>
      </c>
      <c r="C20" s="22" t="s">
        <v>1715</v>
      </c>
      <c r="D20" s="161" t="s">
        <v>38</v>
      </c>
      <c r="E20" s="161" t="s">
        <v>37</v>
      </c>
      <c r="F20" s="22" t="s">
        <v>1790</v>
      </c>
      <c r="G20" s="22"/>
      <c r="H20" s="167"/>
    </row>
    <row r="21" spans="1:8" s="160" customFormat="1" ht="91" x14ac:dyDescent="0.35">
      <c r="A21" s="123" t="s">
        <v>61</v>
      </c>
      <c r="B21" s="21" t="s">
        <v>24</v>
      </c>
      <c r="C21" s="9" t="s">
        <v>36</v>
      </c>
      <c r="D21" s="161" t="s">
        <v>37</v>
      </c>
      <c r="E21" s="161" t="s">
        <v>38</v>
      </c>
      <c r="F21" s="25" t="s">
        <v>76</v>
      </c>
      <c r="G21" s="25" t="s">
        <v>77</v>
      </c>
      <c r="H21" s="168"/>
    </row>
    <row r="22" spans="1:8" s="160" customFormat="1" ht="91" x14ac:dyDescent="0.35">
      <c r="A22" s="123" t="s">
        <v>65</v>
      </c>
      <c r="B22" s="21" t="s">
        <v>25</v>
      </c>
      <c r="C22" s="9" t="s">
        <v>49</v>
      </c>
      <c r="D22" s="161" t="s">
        <v>38</v>
      </c>
      <c r="E22" s="161" t="s">
        <v>37</v>
      </c>
      <c r="F22" s="25" t="s">
        <v>78</v>
      </c>
      <c r="G22" s="25" t="s">
        <v>77</v>
      </c>
      <c r="H22" s="167"/>
    </row>
    <row r="23" spans="1:8" s="160" customFormat="1" ht="91" x14ac:dyDescent="0.35">
      <c r="A23" s="123" t="s">
        <v>65</v>
      </c>
      <c r="B23" s="21" t="s">
        <v>26</v>
      </c>
      <c r="C23" s="22" t="s">
        <v>36</v>
      </c>
      <c r="D23" s="161" t="s">
        <v>38</v>
      </c>
      <c r="E23" s="161" t="s">
        <v>37</v>
      </c>
      <c r="F23" s="25" t="s">
        <v>79</v>
      </c>
      <c r="G23" s="25" t="s">
        <v>77</v>
      </c>
      <c r="H23" s="168"/>
    </row>
    <row r="24" spans="1:8" s="160" customFormat="1" ht="78" x14ac:dyDescent="0.35">
      <c r="A24" s="123" t="s">
        <v>61</v>
      </c>
      <c r="B24" s="21" t="s">
        <v>27</v>
      </c>
      <c r="C24" s="22" t="s">
        <v>36</v>
      </c>
      <c r="D24" s="161" t="s">
        <v>37</v>
      </c>
      <c r="E24" s="161" t="s">
        <v>38</v>
      </c>
      <c r="F24" s="25" t="s">
        <v>80</v>
      </c>
      <c r="G24" s="25" t="s">
        <v>81</v>
      </c>
      <c r="H24" s="25"/>
    </row>
    <row r="25" spans="1:8" s="160" customFormat="1" ht="78" x14ac:dyDescent="0.35">
      <c r="A25" s="123" t="s">
        <v>65</v>
      </c>
      <c r="B25" s="9" t="s">
        <v>82</v>
      </c>
      <c r="C25" s="22" t="s">
        <v>36</v>
      </c>
      <c r="D25" s="161" t="s">
        <v>38</v>
      </c>
      <c r="E25" s="161" t="s">
        <v>37</v>
      </c>
      <c r="F25" s="25" t="s">
        <v>83</v>
      </c>
      <c r="G25" s="25" t="s">
        <v>81</v>
      </c>
      <c r="H25" s="25"/>
    </row>
    <row r="26" spans="1:8" s="160" customFormat="1" ht="39" x14ac:dyDescent="0.35">
      <c r="A26" s="83" t="s">
        <v>84</v>
      </c>
      <c r="B26" s="159" t="s">
        <v>85</v>
      </c>
      <c r="C26" s="98" t="s">
        <v>30</v>
      </c>
      <c r="D26" s="97" t="s">
        <v>31</v>
      </c>
      <c r="E26" s="97" t="s">
        <v>32</v>
      </c>
      <c r="F26" s="98" t="s">
        <v>33</v>
      </c>
      <c r="G26" s="98"/>
      <c r="H26" s="98" t="s">
        <v>5</v>
      </c>
    </row>
    <row r="27" spans="1:8" s="160" customFormat="1" ht="39" x14ac:dyDescent="0.35">
      <c r="A27" s="123" t="s">
        <v>86</v>
      </c>
      <c r="B27" s="102" t="s">
        <v>46</v>
      </c>
      <c r="C27" s="22" t="s">
        <v>36</v>
      </c>
      <c r="D27" s="161" t="s">
        <v>37</v>
      </c>
      <c r="E27" s="161" t="s">
        <v>38</v>
      </c>
      <c r="F27" s="22" t="s">
        <v>62</v>
      </c>
      <c r="G27" s="22"/>
      <c r="H27" s="165"/>
    </row>
    <row r="28" spans="1:8" s="172" customFormat="1" ht="169" x14ac:dyDescent="0.35">
      <c r="A28" s="124" t="s">
        <v>86</v>
      </c>
      <c r="B28" s="169" t="s">
        <v>63</v>
      </c>
      <c r="C28" s="170" t="s">
        <v>36</v>
      </c>
      <c r="D28" s="171" t="s">
        <v>37</v>
      </c>
      <c r="E28" s="171" t="s">
        <v>38</v>
      </c>
      <c r="F28" s="101" t="s">
        <v>1777</v>
      </c>
      <c r="G28" s="101"/>
      <c r="H28" s="167"/>
    </row>
    <row r="29" spans="1:8" s="160" customFormat="1" ht="39" x14ac:dyDescent="0.3">
      <c r="A29" s="123" t="s">
        <v>86</v>
      </c>
      <c r="B29" s="21" t="s">
        <v>48</v>
      </c>
      <c r="C29" s="129" t="s">
        <v>49</v>
      </c>
      <c r="D29" s="166" t="s">
        <v>37</v>
      </c>
      <c r="E29" s="166" t="s">
        <v>38</v>
      </c>
      <c r="F29" s="100" t="s">
        <v>50</v>
      </c>
      <c r="G29" s="100"/>
      <c r="H29" s="25"/>
    </row>
    <row r="30" spans="1:8" s="160" customFormat="1" ht="39" x14ac:dyDescent="0.3">
      <c r="A30" s="123" t="s">
        <v>86</v>
      </c>
      <c r="B30" s="21" t="s">
        <v>1852</v>
      </c>
      <c r="C30" s="129" t="s">
        <v>49</v>
      </c>
      <c r="D30" s="166" t="s">
        <v>37</v>
      </c>
      <c r="E30" s="166" t="s">
        <v>38</v>
      </c>
      <c r="F30" s="100" t="s">
        <v>1854</v>
      </c>
      <c r="G30" s="100"/>
      <c r="H30" s="25"/>
    </row>
    <row r="31" spans="1:8" s="160" customFormat="1" ht="156" x14ac:dyDescent="0.35">
      <c r="A31" s="9" t="s">
        <v>87</v>
      </c>
      <c r="B31" s="21" t="s">
        <v>21</v>
      </c>
      <c r="C31" s="9" t="s">
        <v>49</v>
      </c>
      <c r="D31" s="161" t="s">
        <v>38</v>
      </c>
      <c r="E31" s="161" t="s">
        <v>37</v>
      </c>
      <c r="F31" s="25" t="s">
        <v>1793</v>
      </c>
      <c r="G31" s="99" t="s">
        <v>67</v>
      </c>
      <c r="H31" s="25"/>
    </row>
    <row r="32" spans="1:8" s="160" customFormat="1" ht="78" x14ac:dyDescent="0.35">
      <c r="A32" s="9" t="s">
        <v>87</v>
      </c>
      <c r="B32" s="21" t="s">
        <v>22</v>
      </c>
      <c r="C32" s="9" t="s">
        <v>36</v>
      </c>
      <c r="D32" s="161" t="s">
        <v>38</v>
      </c>
      <c r="E32" s="161" t="s">
        <v>37</v>
      </c>
      <c r="F32" s="25" t="s">
        <v>1792</v>
      </c>
      <c r="G32" s="99" t="s">
        <v>67</v>
      </c>
      <c r="H32" s="25"/>
    </row>
    <row r="33" spans="1:8" s="160" customFormat="1" ht="78" x14ac:dyDescent="0.35">
      <c r="A33" s="9" t="s">
        <v>86</v>
      </c>
      <c r="B33" s="21" t="s">
        <v>23</v>
      </c>
      <c r="C33" s="22" t="s">
        <v>36</v>
      </c>
      <c r="D33" s="161" t="s">
        <v>37</v>
      </c>
      <c r="E33" s="161" t="s">
        <v>38</v>
      </c>
      <c r="F33" s="25" t="s">
        <v>89</v>
      </c>
      <c r="G33" s="99" t="s">
        <v>67</v>
      </c>
      <c r="H33" s="25"/>
    </row>
    <row r="34" spans="1:8" s="160" customFormat="1" ht="78" x14ac:dyDescent="0.35">
      <c r="A34" s="9" t="s">
        <v>86</v>
      </c>
      <c r="B34" s="21" t="s">
        <v>90</v>
      </c>
      <c r="C34" s="9" t="s">
        <v>36</v>
      </c>
      <c r="D34" s="166" t="s">
        <v>37</v>
      </c>
      <c r="E34" s="166" t="s">
        <v>38</v>
      </c>
      <c r="F34" s="25" t="s">
        <v>91</v>
      </c>
      <c r="G34" s="25" t="s">
        <v>67</v>
      </c>
      <c r="H34" s="173" t="s">
        <v>92</v>
      </c>
    </row>
    <row r="35" spans="1:8" s="160" customFormat="1" ht="117" x14ac:dyDescent="0.35">
      <c r="A35" s="9" t="s">
        <v>87</v>
      </c>
      <c r="B35" s="21" t="s">
        <v>68</v>
      </c>
      <c r="C35" s="9" t="s">
        <v>36</v>
      </c>
      <c r="D35" s="166" t="s">
        <v>38</v>
      </c>
      <c r="E35" s="166" t="s">
        <v>37</v>
      </c>
      <c r="F35" s="25" t="s">
        <v>1791</v>
      </c>
      <c r="G35" s="25" t="s">
        <v>67</v>
      </c>
      <c r="H35" s="173" t="s">
        <v>93</v>
      </c>
    </row>
    <row r="36" spans="1:8" s="175" customFormat="1" ht="273" x14ac:dyDescent="0.3">
      <c r="A36" s="9" t="s">
        <v>87</v>
      </c>
      <c r="B36" s="21" t="s">
        <v>94</v>
      </c>
      <c r="C36" s="174" t="s">
        <v>36</v>
      </c>
      <c r="D36" s="161" t="s">
        <v>38</v>
      </c>
      <c r="E36" s="161" t="s">
        <v>37</v>
      </c>
      <c r="F36" s="102" t="s">
        <v>1794</v>
      </c>
      <c r="G36" s="102"/>
      <c r="H36" s="22" t="s">
        <v>95</v>
      </c>
    </row>
    <row r="37" spans="1:8" s="160" customFormat="1" ht="130" x14ac:dyDescent="0.35">
      <c r="A37" s="9" t="s">
        <v>87</v>
      </c>
      <c r="B37" s="21" t="s">
        <v>96</v>
      </c>
      <c r="C37" s="9" t="s">
        <v>49</v>
      </c>
      <c r="D37" s="166" t="s">
        <v>38</v>
      </c>
      <c r="E37" s="166" t="s">
        <v>37</v>
      </c>
      <c r="F37" s="25" t="s">
        <v>1795</v>
      </c>
      <c r="G37" s="25" t="s">
        <v>67</v>
      </c>
      <c r="H37" s="25" t="s">
        <v>92</v>
      </c>
    </row>
    <row r="38" spans="1:8" s="160" customFormat="1" ht="78" x14ac:dyDescent="0.35">
      <c r="A38" s="123" t="s">
        <v>87</v>
      </c>
      <c r="B38" s="21" t="s">
        <v>97</v>
      </c>
      <c r="C38" s="129" t="s">
        <v>36</v>
      </c>
      <c r="D38" s="166" t="s">
        <v>38</v>
      </c>
      <c r="E38" s="166" t="s">
        <v>37</v>
      </c>
      <c r="F38" s="25" t="s">
        <v>98</v>
      </c>
      <c r="G38" s="25" t="s">
        <v>67</v>
      </c>
      <c r="H38" s="173"/>
    </row>
    <row r="39" spans="1:8" s="160" customFormat="1" ht="78" x14ac:dyDescent="0.35">
      <c r="A39" s="123" t="s">
        <v>86</v>
      </c>
      <c r="B39" s="9" t="s">
        <v>27</v>
      </c>
      <c r="C39" s="22" t="s">
        <v>36</v>
      </c>
      <c r="D39" s="161" t="s">
        <v>37</v>
      </c>
      <c r="E39" s="161" t="s">
        <v>38</v>
      </c>
      <c r="F39" s="25" t="s">
        <v>80</v>
      </c>
      <c r="G39" s="25" t="s">
        <v>81</v>
      </c>
      <c r="H39" s="25" t="s">
        <v>99</v>
      </c>
    </row>
    <row r="40" spans="1:8" s="160" customFormat="1" ht="78" x14ac:dyDescent="0.35">
      <c r="A40" s="123" t="s">
        <v>87</v>
      </c>
      <c r="B40" s="9" t="s">
        <v>82</v>
      </c>
      <c r="C40" s="22" t="s">
        <v>36</v>
      </c>
      <c r="D40" s="161" t="s">
        <v>38</v>
      </c>
      <c r="E40" s="161" t="s">
        <v>37</v>
      </c>
      <c r="F40" s="25" t="s">
        <v>83</v>
      </c>
      <c r="G40" s="25" t="s">
        <v>81</v>
      </c>
      <c r="H40" s="25"/>
    </row>
    <row r="41" spans="1:8" s="160" customFormat="1" ht="39" x14ac:dyDescent="0.35">
      <c r="A41" s="83" t="s">
        <v>100</v>
      </c>
      <c r="B41" s="159" t="s">
        <v>101</v>
      </c>
      <c r="C41" s="98" t="s">
        <v>30</v>
      </c>
      <c r="D41" s="97" t="s">
        <v>31</v>
      </c>
      <c r="E41" s="97" t="s">
        <v>32</v>
      </c>
      <c r="F41" s="98" t="s">
        <v>33</v>
      </c>
      <c r="G41" s="98"/>
      <c r="H41" s="98" t="s">
        <v>5</v>
      </c>
    </row>
    <row r="42" spans="1:8" s="160" customFormat="1" ht="39" x14ac:dyDescent="0.35">
      <c r="A42" s="123" t="s">
        <v>102</v>
      </c>
      <c r="B42" s="102" t="s">
        <v>46</v>
      </c>
      <c r="C42" s="22" t="s">
        <v>36</v>
      </c>
      <c r="D42" s="161" t="s">
        <v>37</v>
      </c>
      <c r="E42" s="161" t="s">
        <v>38</v>
      </c>
      <c r="F42" s="22" t="s">
        <v>62</v>
      </c>
      <c r="G42" s="22"/>
      <c r="H42" s="165"/>
    </row>
    <row r="43" spans="1:8" s="172" customFormat="1" ht="169" x14ac:dyDescent="0.35">
      <c r="A43" s="124" t="s">
        <v>102</v>
      </c>
      <c r="B43" s="169" t="s">
        <v>63</v>
      </c>
      <c r="C43" s="170" t="s">
        <v>36</v>
      </c>
      <c r="D43" s="171" t="s">
        <v>37</v>
      </c>
      <c r="E43" s="171" t="s">
        <v>38</v>
      </c>
      <c r="F43" s="101" t="s">
        <v>103</v>
      </c>
      <c r="G43" s="101"/>
      <c r="H43" s="167"/>
    </row>
    <row r="44" spans="1:8" s="160" customFormat="1" ht="39" x14ac:dyDescent="0.3">
      <c r="A44" s="123" t="s">
        <v>102</v>
      </c>
      <c r="B44" s="102" t="s">
        <v>48</v>
      </c>
      <c r="C44" s="22" t="s">
        <v>49</v>
      </c>
      <c r="D44" s="161" t="s">
        <v>37</v>
      </c>
      <c r="E44" s="161" t="s">
        <v>38</v>
      </c>
      <c r="F44" s="100" t="s">
        <v>50</v>
      </c>
      <c r="G44" s="100"/>
      <c r="H44" s="25"/>
    </row>
    <row r="45" spans="1:8" s="160" customFormat="1" ht="39" x14ac:dyDescent="0.3">
      <c r="A45" s="123" t="s">
        <v>102</v>
      </c>
      <c r="B45" s="21" t="s">
        <v>1852</v>
      </c>
      <c r="C45" s="129" t="s">
        <v>49</v>
      </c>
      <c r="D45" s="166" t="s">
        <v>37</v>
      </c>
      <c r="E45" s="166" t="s">
        <v>38</v>
      </c>
      <c r="F45" s="100" t="s">
        <v>1854</v>
      </c>
      <c r="G45" s="100"/>
      <c r="H45" s="25"/>
    </row>
    <row r="46" spans="1:8" s="160" customFormat="1" ht="190.15" customHeight="1" x14ac:dyDescent="0.35">
      <c r="A46" s="9" t="s">
        <v>104</v>
      </c>
      <c r="B46" s="21" t="s">
        <v>21</v>
      </c>
      <c r="C46" s="9" t="s">
        <v>49</v>
      </c>
      <c r="D46" s="161" t="s">
        <v>38</v>
      </c>
      <c r="E46" s="161" t="s">
        <v>37</v>
      </c>
      <c r="F46" s="25" t="s">
        <v>66</v>
      </c>
      <c r="G46" s="25"/>
      <c r="H46" s="25"/>
    </row>
    <row r="47" spans="1:8" s="160" customFormat="1" ht="39" x14ac:dyDescent="0.35">
      <c r="A47" s="9" t="s">
        <v>104</v>
      </c>
      <c r="B47" s="21" t="s">
        <v>22</v>
      </c>
      <c r="C47" s="9" t="s">
        <v>36</v>
      </c>
      <c r="D47" s="161" t="s">
        <v>38</v>
      </c>
      <c r="E47" s="161" t="s">
        <v>37</v>
      </c>
      <c r="F47" s="25" t="s">
        <v>88</v>
      </c>
      <c r="G47" s="25"/>
      <c r="H47" s="25"/>
    </row>
    <row r="48" spans="1:8" s="160" customFormat="1" ht="52" x14ac:dyDescent="0.35">
      <c r="A48" s="9" t="s">
        <v>102</v>
      </c>
      <c r="B48" s="21" t="s">
        <v>23</v>
      </c>
      <c r="C48" s="22" t="s">
        <v>36</v>
      </c>
      <c r="D48" s="161" t="s">
        <v>37</v>
      </c>
      <c r="E48" s="161" t="s">
        <v>38</v>
      </c>
      <c r="F48" s="25" t="s">
        <v>89</v>
      </c>
      <c r="G48" s="25"/>
      <c r="H48" s="25"/>
    </row>
    <row r="49" spans="1:8" s="175" customFormat="1" ht="142.15" customHeight="1" x14ac:dyDescent="0.3">
      <c r="A49" s="21" t="s">
        <v>102</v>
      </c>
      <c r="B49" s="21" t="s">
        <v>105</v>
      </c>
      <c r="C49" s="22" t="s">
        <v>1715</v>
      </c>
      <c r="D49" s="161" t="s">
        <v>37</v>
      </c>
      <c r="E49" s="161" t="s">
        <v>38</v>
      </c>
      <c r="F49" s="25" t="s">
        <v>106</v>
      </c>
      <c r="G49" s="25"/>
      <c r="H49" s="22" t="s">
        <v>107</v>
      </c>
    </row>
    <row r="50" spans="1:8" s="175" customFormat="1" ht="151.9" customHeight="1" x14ac:dyDescent="0.3">
      <c r="A50" s="21" t="s">
        <v>102</v>
      </c>
      <c r="B50" s="21" t="s">
        <v>108</v>
      </c>
      <c r="C50" s="22" t="s">
        <v>1715</v>
      </c>
      <c r="D50" s="161" t="s">
        <v>37</v>
      </c>
      <c r="E50" s="161" t="s">
        <v>38</v>
      </c>
      <c r="F50" s="25" t="s">
        <v>1775</v>
      </c>
      <c r="G50" s="25"/>
      <c r="H50" s="22"/>
    </row>
    <row r="51" spans="1:8" s="160" customFormat="1" ht="39" x14ac:dyDescent="0.35">
      <c r="A51" s="21" t="s">
        <v>102</v>
      </c>
      <c r="B51" s="102" t="s">
        <v>109</v>
      </c>
      <c r="C51" s="174" t="s">
        <v>36</v>
      </c>
      <c r="D51" s="161" t="s">
        <v>37</v>
      </c>
      <c r="E51" s="161" t="s">
        <v>38</v>
      </c>
      <c r="F51" s="25" t="s">
        <v>110</v>
      </c>
      <c r="G51" s="25"/>
      <c r="H51" s="25"/>
    </row>
    <row r="52" spans="1:8" s="175" customFormat="1" ht="39" x14ac:dyDescent="0.3">
      <c r="A52" s="123" t="s">
        <v>104</v>
      </c>
      <c r="B52" s="21" t="s">
        <v>111</v>
      </c>
      <c r="C52" s="174" t="s">
        <v>36</v>
      </c>
      <c r="D52" s="161" t="s">
        <v>38</v>
      </c>
      <c r="E52" s="161" t="s">
        <v>37</v>
      </c>
      <c r="F52" s="22" t="s">
        <v>112</v>
      </c>
      <c r="G52" s="22"/>
      <c r="H52" s="22"/>
    </row>
    <row r="53" spans="1:8" s="160" customFormat="1" ht="65" x14ac:dyDescent="0.35">
      <c r="A53" s="123" t="s">
        <v>104</v>
      </c>
      <c r="B53" s="102" t="s">
        <v>113</v>
      </c>
      <c r="C53" s="174" t="s">
        <v>36</v>
      </c>
      <c r="D53" s="161" t="s">
        <v>38</v>
      </c>
      <c r="E53" s="161" t="s">
        <v>37</v>
      </c>
      <c r="F53" s="25" t="s">
        <v>114</v>
      </c>
      <c r="G53" s="25"/>
      <c r="H53" s="25"/>
    </row>
    <row r="54" spans="1:8" s="175" customFormat="1" ht="170.5" customHeight="1" x14ac:dyDescent="0.3">
      <c r="A54" s="123" t="s">
        <v>102</v>
      </c>
      <c r="B54" s="21" t="s">
        <v>115</v>
      </c>
      <c r="C54" s="174" t="s">
        <v>36</v>
      </c>
      <c r="D54" s="161" t="s">
        <v>37</v>
      </c>
      <c r="E54" s="161" t="s">
        <v>38</v>
      </c>
      <c r="F54" s="22" t="s">
        <v>1776</v>
      </c>
      <c r="G54" s="22"/>
      <c r="H54" s="22"/>
    </row>
    <row r="55" spans="1:8" s="175" customFormat="1" ht="39" x14ac:dyDescent="0.3">
      <c r="A55" s="123" t="s">
        <v>102</v>
      </c>
      <c r="B55" s="21" t="s">
        <v>116</v>
      </c>
      <c r="C55" s="174" t="s">
        <v>49</v>
      </c>
      <c r="D55" s="161" t="s">
        <v>37</v>
      </c>
      <c r="E55" s="161" t="s">
        <v>38</v>
      </c>
      <c r="F55" s="22" t="s">
        <v>117</v>
      </c>
      <c r="G55" s="22"/>
      <c r="H55" s="22"/>
    </row>
    <row r="56" spans="1:8" s="160" customFormat="1" ht="52" x14ac:dyDescent="0.35">
      <c r="A56" s="123" t="s">
        <v>102</v>
      </c>
      <c r="B56" s="21" t="s">
        <v>24</v>
      </c>
      <c r="C56" s="9" t="s">
        <v>36</v>
      </c>
      <c r="D56" s="161" t="s">
        <v>37</v>
      </c>
      <c r="E56" s="161" t="s">
        <v>38</v>
      </c>
      <c r="F56" s="25" t="s">
        <v>76</v>
      </c>
      <c r="G56" s="25"/>
      <c r="H56" s="173"/>
    </row>
    <row r="57" spans="1:8" s="160" customFormat="1" ht="39" x14ac:dyDescent="0.35">
      <c r="A57" s="123" t="s">
        <v>104</v>
      </c>
      <c r="B57" s="21" t="s">
        <v>25</v>
      </c>
      <c r="C57" s="9" t="s">
        <v>49</v>
      </c>
      <c r="D57" s="161" t="s">
        <v>38</v>
      </c>
      <c r="E57" s="161" t="s">
        <v>37</v>
      </c>
      <c r="F57" s="25" t="s">
        <v>118</v>
      </c>
      <c r="G57" s="25"/>
      <c r="H57" s="25"/>
    </row>
    <row r="58" spans="1:8" s="160" customFormat="1" ht="39" x14ac:dyDescent="0.35">
      <c r="A58" s="123" t="s">
        <v>104</v>
      </c>
      <c r="B58" s="21" t="s">
        <v>119</v>
      </c>
      <c r="C58" s="9" t="s">
        <v>49</v>
      </c>
      <c r="D58" s="161" t="s">
        <v>38</v>
      </c>
      <c r="E58" s="161" t="s">
        <v>37</v>
      </c>
      <c r="F58" s="25" t="s">
        <v>120</v>
      </c>
      <c r="G58" s="25"/>
      <c r="H58" s="25"/>
    </row>
    <row r="59" spans="1:8" s="160" customFormat="1" ht="52" x14ac:dyDescent="0.35">
      <c r="A59" s="123" t="s">
        <v>104</v>
      </c>
      <c r="B59" s="102" t="s">
        <v>26</v>
      </c>
      <c r="C59" s="22" t="s">
        <v>36</v>
      </c>
      <c r="D59" s="161" t="s">
        <v>38</v>
      </c>
      <c r="E59" s="161" t="s">
        <v>37</v>
      </c>
      <c r="F59" s="25" t="s">
        <v>121</v>
      </c>
      <c r="G59" s="25"/>
      <c r="H59" s="173"/>
    </row>
    <row r="60" spans="1:8" s="160" customFormat="1" ht="39" x14ac:dyDescent="0.35">
      <c r="A60" s="123" t="s">
        <v>102</v>
      </c>
      <c r="B60" s="9" t="s">
        <v>27</v>
      </c>
      <c r="C60" s="22" t="s">
        <v>36</v>
      </c>
      <c r="D60" s="161" t="s">
        <v>37</v>
      </c>
      <c r="E60" s="161" t="s">
        <v>38</v>
      </c>
      <c r="F60" s="25" t="s">
        <v>122</v>
      </c>
      <c r="G60" s="25"/>
      <c r="H60" s="25"/>
    </row>
    <row r="61" spans="1:8" s="160" customFormat="1" ht="26" x14ac:dyDescent="0.35">
      <c r="A61" s="123" t="s">
        <v>104</v>
      </c>
      <c r="B61" s="9" t="s">
        <v>82</v>
      </c>
      <c r="C61" s="22" t="s">
        <v>36</v>
      </c>
      <c r="D61" s="161" t="s">
        <v>38</v>
      </c>
      <c r="E61" s="161" t="s">
        <v>37</v>
      </c>
      <c r="F61" s="25" t="s">
        <v>83</v>
      </c>
      <c r="G61" s="25"/>
      <c r="H61" s="25"/>
    </row>
    <row r="62" spans="1:8" s="160" customFormat="1" ht="39" x14ac:dyDescent="0.35">
      <c r="A62" s="83" t="s">
        <v>123</v>
      </c>
      <c r="B62" s="159" t="s">
        <v>124</v>
      </c>
      <c r="C62" s="98" t="s">
        <v>30</v>
      </c>
      <c r="D62" s="97" t="s">
        <v>31</v>
      </c>
      <c r="E62" s="97" t="s">
        <v>32</v>
      </c>
      <c r="F62" s="98" t="s">
        <v>33</v>
      </c>
      <c r="G62" s="98"/>
      <c r="H62" s="98" t="s">
        <v>5</v>
      </c>
    </row>
    <row r="63" spans="1:8" s="160" customFormat="1" ht="39" x14ac:dyDescent="0.35">
      <c r="A63" s="123" t="s">
        <v>125</v>
      </c>
      <c r="B63" s="102" t="s">
        <v>46</v>
      </c>
      <c r="C63" s="22" t="s">
        <v>36</v>
      </c>
      <c r="D63" s="161" t="s">
        <v>37</v>
      </c>
      <c r="E63" s="161" t="s">
        <v>38</v>
      </c>
      <c r="F63" s="22" t="s">
        <v>62</v>
      </c>
      <c r="G63" s="22"/>
      <c r="H63" s="165"/>
    </row>
    <row r="64" spans="1:8" s="172" customFormat="1" ht="169" x14ac:dyDescent="0.35">
      <c r="A64" s="124" t="s">
        <v>125</v>
      </c>
      <c r="B64" s="169" t="s">
        <v>63</v>
      </c>
      <c r="C64" s="170" t="s">
        <v>36</v>
      </c>
      <c r="D64" s="171" t="s">
        <v>37</v>
      </c>
      <c r="E64" s="171" t="s">
        <v>38</v>
      </c>
      <c r="F64" s="101" t="s">
        <v>126</v>
      </c>
      <c r="G64" s="101"/>
      <c r="H64" s="167"/>
    </row>
    <row r="65" spans="1:8" s="160" customFormat="1" ht="39" x14ac:dyDescent="0.3">
      <c r="A65" s="123" t="s">
        <v>125</v>
      </c>
      <c r="B65" s="102" t="s">
        <v>48</v>
      </c>
      <c r="C65" s="22" t="s">
        <v>49</v>
      </c>
      <c r="D65" s="161" t="s">
        <v>37</v>
      </c>
      <c r="E65" s="161" t="s">
        <v>38</v>
      </c>
      <c r="F65" s="100" t="s">
        <v>50</v>
      </c>
      <c r="G65" s="100"/>
      <c r="H65" s="25"/>
    </row>
    <row r="66" spans="1:8" s="160" customFormat="1" ht="39" x14ac:dyDescent="0.3">
      <c r="A66" s="123" t="s">
        <v>125</v>
      </c>
      <c r="B66" s="21" t="s">
        <v>1852</v>
      </c>
      <c r="C66" s="129" t="s">
        <v>49</v>
      </c>
      <c r="D66" s="166" t="s">
        <v>37</v>
      </c>
      <c r="E66" s="166" t="s">
        <v>38</v>
      </c>
      <c r="F66" s="100" t="s">
        <v>1854</v>
      </c>
      <c r="G66" s="100"/>
      <c r="H66" s="25"/>
    </row>
    <row r="67" spans="1:8" s="160" customFormat="1" ht="190.15" customHeight="1" x14ac:dyDescent="0.35">
      <c r="A67" s="123" t="s">
        <v>127</v>
      </c>
      <c r="B67" s="21" t="s">
        <v>21</v>
      </c>
      <c r="C67" s="9" t="s">
        <v>49</v>
      </c>
      <c r="D67" s="161" t="s">
        <v>38</v>
      </c>
      <c r="E67" s="161" t="s">
        <v>37</v>
      </c>
      <c r="F67" s="25" t="s">
        <v>66</v>
      </c>
      <c r="G67" s="25" t="s">
        <v>128</v>
      </c>
      <c r="H67" s="25"/>
    </row>
    <row r="68" spans="1:8" s="160" customFormat="1" ht="78" x14ac:dyDescent="0.35">
      <c r="A68" s="123" t="s">
        <v>127</v>
      </c>
      <c r="B68" s="21" t="s">
        <v>22</v>
      </c>
      <c r="C68" s="9" t="s">
        <v>36</v>
      </c>
      <c r="D68" s="161" t="s">
        <v>38</v>
      </c>
      <c r="E68" s="161" t="s">
        <v>37</v>
      </c>
      <c r="F68" s="25" t="s">
        <v>1796</v>
      </c>
      <c r="G68" s="25" t="s">
        <v>128</v>
      </c>
      <c r="H68" s="25"/>
    </row>
    <row r="69" spans="1:8" s="160" customFormat="1" ht="78" x14ac:dyDescent="0.35">
      <c r="A69" s="123" t="s">
        <v>125</v>
      </c>
      <c r="B69" s="21" t="s">
        <v>23</v>
      </c>
      <c r="C69" s="22" t="s">
        <v>36</v>
      </c>
      <c r="D69" s="161" t="s">
        <v>37</v>
      </c>
      <c r="E69" s="161" t="s">
        <v>38</v>
      </c>
      <c r="F69" s="25" t="s">
        <v>89</v>
      </c>
      <c r="G69" s="25" t="s">
        <v>128</v>
      </c>
      <c r="H69" s="173"/>
    </row>
    <row r="70" spans="1:8" s="160" customFormat="1" ht="91" x14ac:dyDescent="0.35">
      <c r="A70" s="123" t="s">
        <v>125</v>
      </c>
      <c r="B70" s="21" t="s">
        <v>24</v>
      </c>
      <c r="C70" s="9" t="s">
        <v>36</v>
      </c>
      <c r="D70" s="161" t="s">
        <v>37</v>
      </c>
      <c r="E70" s="161" t="s">
        <v>38</v>
      </c>
      <c r="F70" s="25" t="s">
        <v>76</v>
      </c>
      <c r="G70" s="25" t="s">
        <v>77</v>
      </c>
      <c r="H70" s="173"/>
    </row>
    <row r="71" spans="1:8" s="160" customFormat="1" ht="91" x14ac:dyDescent="0.35">
      <c r="A71" s="123" t="s">
        <v>127</v>
      </c>
      <c r="B71" s="21" t="s">
        <v>25</v>
      </c>
      <c r="C71" s="9" t="s">
        <v>49</v>
      </c>
      <c r="D71" s="161" t="s">
        <v>38</v>
      </c>
      <c r="E71" s="161" t="s">
        <v>37</v>
      </c>
      <c r="F71" s="25" t="s">
        <v>129</v>
      </c>
      <c r="G71" s="25" t="s">
        <v>77</v>
      </c>
      <c r="H71" s="177" t="s">
        <v>130</v>
      </c>
    </row>
    <row r="72" spans="1:8" s="178" customFormat="1" ht="91" x14ac:dyDescent="0.35">
      <c r="A72" s="123" t="s">
        <v>127</v>
      </c>
      <c r="B72" s="102" t="s">
        <v>26</v>
      </c>
      <c r="C72" s="22" t="s">
        <v>36</v>
      </c>
      <c r="D72" s="161" t="s">
        <v>38</v>
      </c>
      <c r="E72" s="161" t="s">
        <v>37</v>
      </c>
      <c r="F72" s="25" t="s">
        <v>131</v>
      </c>
      <c r="G72" s="25" t="s">
        <v>77</v>
      </c>
      <c r="H72" s="173"/>
    </row>
    <row r="73" spans="1:8" s="178" customFormat="1" ht="78" x14ac:dyDescent="0.35">
      <c r="A73" s="123" t="s">
        <v>125</v>
      </c>
      <c r="B73" s="9" t="s">
        <v>27</v>
      </c>
      <c r="C73" s="22" t="s">
        <v>36</v>
      </c>
      <c r="D73" s="161" t="s">
        <v>37</v>
      </c>
      <c r="E73" s="161" t="s">
        <v>38</v>
      </c>
      <c r="F73" s="25" t="s">
        <v>132</v>
      </c>
      <c r="G73" s="25" t="s">
        <v>81</v>
      </c>
      <c r="H73" s="25"/>
    </row>
    <row r="74" spans="1:8" s="178" customFormat="1" ht="78" x14ac:dyDescent="0.35">
      <c r="A74" s="123" t="s">
        <v>127</v>
      </c>
      <c r="B74" s="9" t="s">
        <v>82</v>
      </c>
      <c r="C74" s="22" t="s">
        <v>36</v>
      </c>
      <c r="D74" s="161" t="s">
        <v>38</v>
      </c>
      <c r="E74" s="161" t="s">
        <v>37</v>
      </c>
      <c r="F74" s="25" t="s">
        <v>83</v>
      </c>
      <c r="G74" s="25" t="s">
        <v>81</v>
      </c>
      <c r="H74" s="25"/>
    </row>
    <row r="75" spans="1:8" s="160" customFormat="1" ht="39" x14ac:dyDescent="0.35">
      <c r="A75" s="83" t="s">
        <v>133</v>
      </c>
      <c r="B75" s="159" t="s">
        <v>134</v>
      </c>
      <c r="C75" s="98" t="s">
        <v>30</v>
      </c>
      <c r="D75" s="97" t="s">
        <v>31</v>
      </c>
      <c r="E75" s="97" t="s">
        <v>32</v>
      </c>
      <c r="F75" s="98" t="s">
        <v>33</v>
      </c>
      <c r="G75" s="98"/>
      <c r="H75" s="98" t="s">
        <v>5</v>
      </c>
    </row>
    <row r="76" spans="1:8" s="160" customFormat="1" ht="39" x14ac:dyDescent="0.35">
      <c r="A76" s="123" t="s">
        <v>135</v>
      </c>
      <c r="B76" s="102" t="s">
        <v>46</v>
      </c>
      <c r="C76" s="22" t="s">
        <v>36</v>
      </c>
      <c r="D76" s="161" t="s">
        <v>37</v>
      </c>
      <c r="E76" s="161" t="s">
        <v>38</v>
      </c>
      <c r="F76" s="22" t="s">
        <v>62</v>
      </c>
      <c r="G76" s="22"/>
      <c r="H76" s="165"/>
    </row>
    <row r="77" spans="1:8" s="160" customFormat="1" ht="182" x14ac:dyDescent="0.35">
      <c r="A77" s="123" t="s">
        <v>135</v>
      </c>
      <c r="B77" s="102" t="s">
        <v>63</v>
      </c>
      <c r="C77" s="22" t="s">
        <v>36</v>
      </c>
      <c r="D77" s="161" t="s">
        <v>37</v>
      </c>
      <c r="E77" s="161" t="s">
        <v>38</v>
      </c>
      <c r="F77" s="99" t="s">
        <v>136</v>
      </c>
      <c r="G77" s="99"/>
      <c r="H77" s="25" t="s">
        <v>137</v>
      </c>
    </row>
    <row r="78" spans="1:8" s="160" customFormat="1" ht="39" x14ac:dyDescent="0.3">
      <c r="A78" s="123" t="s">
        <v>135</v>
      </c>
      <c r="B78" s="102" t="s">
        <v>48</v>
      </c>
      <c r="C78" s="22" t="s">
        <v>49</v>
      </c>
      <c r="D78" s="161" t="s">
        <v>37</v>
      </c>
      <c r="E78" s="161" t="s">
        <v>38</v>
      </c>
      <c r="F78" s="100" t="s">
        <v>50</v>
      </c>
      <c r="G78" s="100"/>
      <c r="H78" s="25"/>
    </row>
    <row r="79" spans="1:8" s="160" customFormat="1" ht="39" x14ac:dyDescent="0.3">
      <c r="A79" s="123" t="s">
        <v>135</v>
      </c>
      <c r="B79" s="21" t="s">
        <v>1852</v>
      </c>
      <c r="C79" s="129" t="s">
        <v>49</v>
      </c>
      <c r="D79" s="166" t="s">
        <v>37</v>
      </c>
      <c r="E79" s="166" t="s">
        <v>38</v>
      </c>
      <c r="F79" s="100" t="s">
        <v>1854</v>
      </c>
      <c r="G79" s="100"/>
      <c r="H79" s="25"/>
    </row>
    <row r="80" spans="1:8" s="160" customFormat="1" ht="78" x14ac:dyDescent="0.35">
      <c r="A80" s="123" t="s">
        <v>135</v>
      </c>
      <c r="B80" s="102" t="s">
        <v>105</v>
      </c>
      <c r="C80" s="22" t="s">
        <v>1715</v>
      </c>
      <c r="D80" s="161" t="s">
        <v>37</v>
      </c>
      <c r="E80" s="161" t="s">
        <v>38</v>
      </c>
      <c r="F80" s="22" t="s">
        <v>138</v>
      </c>
      <c r="G80" s="22"/>
      <c r="H80" s="25" t="s">
        <v>139</v>
      </c>
    </row>
    <row r="81" spans="1:9" s="160" customFormat="1" ht="26" x14ac:dyDescent="0.35">
      <c r="A81" s="123" t="s">
        <v>135</v>
      </c>
      <c r="B81" s="179" t="s">
        <v>140</v>
      </c>
      <c r="C81" s="22" t="s">
        <v>141</v>
      </c>
      <c r="D81" s="161" t="s">
        <v>37</v>
      </c>
      <c r="E81" s="161" t="s">
        <v>38</v>
      </c>
      <c r="F81" s="22" t="s">
        <v>142</v>
      </c>
      <c r="G81" s="22"/>
      <c r="H81" s="25"/>
    </row>
    <row r="82" spans="1:9" s="160" customFormat="1" x14ac:dyDescent="0.35">
      <c r="A82" s="123" t="s">
        <v>143</v>
      </c>
      <c r="B82" s="179" t="s">
        <v>144</v>
      </c>
      <c r="C82" s="22" t="s">
        <v>141</v>
      </c>
      <c r="D82" s="161" t="s">
        <v>38</v>
      </c>
      <c r="E82" s="161" t="s">
        <v>37</v>
      </c>
      <c r="F82" s="22" t="s">
        <v>145</v>
      </c>
      <c r="G82" s="22"/>
      <c r="H82" s="25"/>
    </row>
    <row r="83" spans="1:9" s="160" customFormat="1" ht="39" x14ac:dyDescent="0.35">
      <c r="A83" s="83" t="s">
        <v>146</v>
      </c>
      <c r="B83" s="159" t="s">
        <v>147</v>
      </c>
      <c r="C83" s="98" t="s">
        <v>30</v>
      </c>
      <c r="D83" s="97" t="s">
        <v>31</v>
      </c>
      <c r="E83" s="97" t="s">
        <v>32</v>
      </c>
      <c r="F83" s="98" t="s">
        <v>33</v>
      </c>
      <c r="G83" s="98"/>
      <c r="H83" s="98" t="s">
        <v>5</v>
      </c>
    </row>
    <row r="84" spans="1:9" s="160" customFormat="1" ht="39" x14ac:dyDescent="0.35">
      <c r="A84" s="124" t="s">
        <v>148</v>
      </c>
      <c r="B84" s="102" t="s">
        <v>46</v>
      </c>
      <c r="C84" s="170" t="s">
        <v>36</v>
      </c>
      <c r="D84" s="171" t="s">
        <v>37</v>
      </c>
      <c r="E84" s="171" t="s">
        <v>38</v>
      </c>
      <c r="F84" s="22" t="s">
        <v>62</v>
      </c>
      <c r="G84" s="22"/>
      <c r="H84" s="180"/>
    </row>
    <row r="85" spans="1:9" s="160" customFormat="1" ht="182" x14ac:dyDescent="0.35">
      <c r="A85" s="123" t="s">
        <v>148</v>
      </c>
      <c r="B85" s="102" t="s">
        <v>63</v>
      </c>
      <c r="C85" s="22" t="s">
        <v>36</v>
      </c>
      <c r="D85" s="161" t="s">
        <v>37</v>
      </c>
      <c r="E85" s="161" t="s">
        <v>38</v>
      </c>
      <c r="F85" s="99" t="s">
        <v>149</v>
      </c>
      <c r="G85" s="99"/>
      <c r="H85" s="25" t="s">
        <v>137</v>
      </c>
    </row>
    <row r="86" spans="1:9" s="160" customFormat="1" ht="39" x14ac:dyDescent="0.3">
      <c r="A86" s="123" t="s">
        <v>148</v>
      </c>
      <c r="B86" s="102" t="s">
        <v>48</v>
      </c>
      <c r="C86" s="22" t="s">
        <v>49</v>
      </c>
      <c r="D86" s="161" t="s">
        <v>37</v>
      </c>
      <c r="E86" s="161" t="s">
        <v>38</v>
      </c>
      <c r="F86" s="100" t="s">
        <v>50</v>
      </c>
      <c r="G86" s="100"/>
      <c r="H86" s="25"/>
    </row>
    <row r="87" spans="1:9" s="160" customFormat="1" ht="39" x14ac:dyDescent="0.3">
      <c r="A87" s="123" t="s">
        <v>148</v>
      </c>
      <c r="B87" s="21" t="s">
        <v>1852</v>
      </c>
      <c r="C87" s="129" t="s">
        <v>49</v>
      </c>
      <c r="D87" s="166" t="s">
        <v>37</v>
      </c>
      <c r="E87" s="166" t="s">
        <v>38</v>
      </c>
      <c r="F87" s="100" t="s">
        <v>1854</v>
      </c>
      <c r="G87" s="100"/>
      <c r="H87" s="25"/>
    </row>
    <row r="88" spans="1:9" s="160" customFormat="1" ht="143" x14ac:dyDescent="0.35">
      <c r="A88" s="123" t="s">
        <v>148</v>
      </c>
      <c r="B88" s="102" t="s">
        <v>105</v>
      </c>
      <c r="C88" s="22" t="s">
        <v>1715</v>
      </c>
      <c r="D88" s="161" t="s">
        <v>37</v>
      </c>
      <c r="E88" s="161" t="s">
        <v>38</v>
      </c>
      <c r="F88" s="22" t="s">
        <v>150</v>
      </c>
      <c r="G88" s="22"/>
      <c r="H88" s="25"/>
    </row>
    <row r="89" spans="1:9" s="160" customFormat="1" ht="26" x14ac:dyDescent="0.35">
      <c r="A89" s="123" t="s">
        <v>148</v>
      </c>
      <c r="B89" s="179" t="s">
        <v>140</v>
      </c>
      <c r="C89" s="22" t="s">
        <v>141</v>
      </c>
      <c r="D89" s="161" t="s">
        <v>37</v>
      </c>
      <c r="E89" s="161" t="s">
        <v>38</v>
      </c>
      <c r="F89" s="22" t="s">
        <v>142</v>
      </c>
      <c r="G89" s="22"/>
      <c r="H89" s="25"/>
    </row>
    <row r="90" spans="1:9" s="160" customFormat="1" x14ac:dyDescent="0.35">
      <c r="A90" s="123" t="s">
        <v>151</v>
      </c>
      <c r="B90" s="179" t="s">
        <v>144</v>
      </c>
      <c r="C90" s="22" t="s">
        <v>141</v>
      </c>
      <c r="D90" s="161" t="s">
        <v>38</v>
      </c>
      <c r="E90" s="161" t="s">
        <v>37</v>
      </c>
      <c r="F90" s="22" t="s">
        <v>145</v>
      </c>
      <c r="G90" s="22"/>
      <c r="H90" s="25"/>
    </row>
    <row r="91" spans="1:9" s="160" customFormat="1" ht="39" x14ac:dyDescent="0.35">
      <c r="A91" s="83" t="s">
        <v>152</v>
      </c>
      <c r="B91" s="159" t="s">
        <v>153</v>
      </c>
      <c r="C91" s="98" t="s">
        <v>30</v>
      </c>
      <c r="D91" s="97" t="s">
        <v>31</v>
      </c>
      <c r="E91" s="97" t="s">
        <v>32</v>
      </c>
      <c r="F91" s="98" t="s">
        <v>33</v>
      </c>
      <c r="G91" s="98"/>
      <c r="H91" s="98" t="s">
        <v>5</v>
      </c>
    </row>
    <row r="92" spans="1:9" ht="39" x14ac:dyDescent="0.3">
      <c r="A92" s="123" t="s">
        <v>154</v>
      </c>
      <c r="B92" s="102" t="s">
        <v>46</v>
      </c>
      <c r="C92" s="22" t="s">
        <v>36</v>
      </c>
      <c r="D92" s="161" t="s">
        <v>37</v>
      </c>
      <c r="E92" s="161" t="s">
        <v>38</v>
      </c>
      <c r="F92" s="22" t="s">
        <v>62</v>
      </c>
      <c r="G92" s="22"/>
      <c r="H92" s="165"/>
    </row>
    <row r="93" spans="1:9" ht="182" x14ac:dyDescent="0.3">
      <c r="A93" s="125" t="s">
        <v>154</v>
      </c>
      <c r="B93" s="169" t="s">
        <v>63</v>
      </c>
      <c r="C93" s="170" t="s">
        <v>36</v>
      </c>
      <c r="D93" s="171" t="s">
        <v>37</v>
      </c>
      <c r="E93" s="171" t="s">
        <v>38</v>
      </c>
      <c r="F93" s="22" t="s">
        <v>1778</v>
      </c>
      <c r="G93" s="22"/>
      <c r="H93" s="100"/>
    </row>
    <row r="94" spans="1:9" ht="78" x14ac:dyDescent="0.3">
      <c r="A94" s="125" t="s">
        <v>154</v>
      </c>
      <c r="B94" s="169" t="s">
        <v>155</v>
      </c>
      <c r="C94" s="170" t="s">
        <v>36</v>
      </c>
      <c r="D94" s="171" t="s">
        <v>37</v>
      </c>
      <c r="E94" s="171" t="s">
        <v>38</v>
      </c>
      <c r="F94" s="102" t="s">
        <v>156</v>
      </c>
      <c r="G94" s="102"/>
      <c r="H94" s="182"/>
    </row>
    <row r="95" spans="1:9" ht="39" x14ac:dyDescent="0.3">
      <c r="A95" s="123" t="s">
        <v>154</v>
      </c>
      <c r="B95" s="102" t="s">
        <v>48</v>
      </c>
      <c r="C95" s="22" t="s">
        <v>49</v>
      </c>
      <c r="D95" s="161" t="s">
        <v>37</v>
      </c>
      <c r="E95" s="161" t="s">
        <v>38</v>
      </c>
      <c r="F95" s="100" t="s">
        <v>50</v>
      </c>
      <c r="G95" s="100"/>
      <c r="H95" s="25"/>
    </row>
    <row r="96" spans="1:9" ht="39" x14ac:dyDescent="0.3">
      <c r="A96" s="123" t="s">
        <v>154</v>
      </c>
      <c r="B96" s="21" t="s">
        <v>1852</v>
      </c>
      <c r="C96" s="129" t="s">
        <v>49</v>
      </c>
      <c r="D96" s="166" t="s">
        <v>37</v>
      </c>
      <c r="E96" s="166" t="s">
        <v>38</v>
      </c>
      <c r="F96" s="100" t="s">
        <v>1854</v>
      </c>
      <c r="G96" s="100"/>
      <c r="H96" s="25"/>
      <c r="I96" s="178" t="s">
        <v>2008</v>
      </c>
    </row>
    <row r="97" spans="1:252" ht="156" x14ac:dyDescent="0.3">
      <c r="A97" s="9" t="s">
        <v>157</v>
      </c>
      <c r="B97" s="21" t="s">
        <v>1707</v>
      </c>
      <c r="C97" s="9" t="s">
        <v>49</v>
      </c>
      <c r="D97" s="166" t="s">
        <v>38</v>
      </c>
      <c r="E97" s="166" t="s">
        <v>37</v>
      </c>
      <c r="F97" s="25" t="s">
        <v>66</v>
      </c>
      <c r="G97" s="25"/>
      <c r="H97" s="25"/>
    </row>
    <row r="98" spans="1:252" s="184" customFormat="1" ht="78" x14ac:dyDescent="0.3">
      <c r="A98" s="46" t="s">
        <v>157</v>
      </c>
      <c r="B98" s="21" t="s">
        <v>68</v>
      </c>
      <c r="C98" s="129" t="s">
        <v>36</v>
      </c>
      <c r="D98" s="47" t="s">
        <v>38</v>
      </c>
      <c r="E98" s="47" t="s">
        <v>37</v>
      </c>
      <c r="F98" s="103" t="s">
        <v>158</v>
      </c>
      <c r="G98" s="103"/>
      <c r="H98" s="103" t="s">
        <v>159</v>
      </c>
      <c r="I98" s="183"/>
      <c r="J98" s="183"/>
      <c r="K98" s="183"/>
      <c r="L98" s="183"/>
      <c r="M98" s="183"/>
      <c r="N98" s="183"/>
      <c r="O98" s="183"/>
      <c r="P98" s="183"/>
      <c r="Q98" s="183"/>
      <c r="R98" s="183"/>
      <c r="S98" s="183"/>
      <c r="T98" s="183"/>
      <c r="U98" s="183"/>
      <c r="V98" s="183"/>
      <c r="W98" s="183"/>
      <c r="X98" s="183"/>
      <c r="Y98" s="183"/>
      <c r="Z98" s="183"/>
      <c r="AA98" s="183"/>
      <c r="AB98" s="183"/>
      <c r="AC98" s="183"/>
      <c r="AD98" s="183"/>
      <c r="AE98" s="183"/>
      <c r="AF98" s="183"/>
      <c r="AG98" s="183"/>
      <c r="AH98" s="183"/>
      <c r="AI98" s="183"/>
      <c r="AJ98" s="183"/>
      <c r="AK98" s="183"/>
      <c r="AL98" s="183"/>
      <c r="AM98" s="183"/>
      <c r="AN98" s="183"/>
      <c r="AO98" s="183"/>
      <c r="AP98" s="183"/>
      <c r="AQ98" s="183"/>
      <c r="AR98" s="183"/>
      <c r="AS98" s="183"/>
      <c r="AT98" s="183"/>
      <c r="AU98" s="183"/>
      <c r="AV98" s="183"/>
      <c r="AW98" s="183"/>
      <c r="AX98" s="183"/>
      <c r="AY98" s="183"/>
      <c r="AZ98" s="183"/>
      <c r="BA98" s="183"/>
      <c r="BB98" s="183"/>
      <c r="BC98" s="183"/>
      <c r="BD98" s="183"/>
      <c r="BE98" s="183"/>
      <c r="BF98" s="183"/>
      <c r="BG98" s="183"/>
      <c r="BH98" s="183"/>
      <c r="BI98" s="183"/>
      <c r="BJ98" s="183"/>
      <c r="BK98" s="183"/>
      <c r="BL98" s="183"/>
      <c r="BM98" s="183"/>
      <c r="BN98" s="183"/>
      <c r="BO98" s="183"/>
      <c r="BP98" s="183"/>
      <c r="BQ98" s="183"/>
      <c r="BR98" s="183"/>
      <c r="BS98" s="183"/>
      <c r="BT98" s="183"/>
      <c r="BU98" s="183"/>
      <c r="BV98" s="183"/>
      <c r="BW98" s="183"/>
      <c r="BX98" s="183"/>
      <c r="BY98" s="183"/>
      <c r="BZ98" s="183"/>
      <c r="CA98" s="183"/>
      <c r="CB98" s="183"/>
      <c r="CC98" s="183"/>
      <c r="CD98" s="183"/>
      <c r="CE98" s="183"/>
      <c r="CF98" s="183"/>
      <c r="CG98" s="183"/>
      <c r="CH98" s="183"/>
      <c r="CI98" s="183"/>
      <c r="CJ98" s="183"/>
      <c r="CK98" s="183"/>
      <c r="CL98" s="183"/>
      <c r="CM98" s="183"/>
      <c r="CN98" s="183"/>
      <c r="CO98" s="183"/>
      <c r="CP98" s="183"/>
      <c r="CQ98" s="183"/>
      <c r="CR98" s="183"/>
      <c r="CS98" s="183"/>
      <c r="CT98" s="183"/>
      <c r="CU98" s="183"/>
      <c r="CV98" s="183"/>
      <c r="CW98" s="183"/>
      <c r="CX98" s="183"/>
      <c r="CY98" s="183"/>
      <c r="CZ98" s="183"/>
      <c r="DA98" s="183"/>
      <c r="DB98" s="183"/>
      <c r="DC98" s="183"/>
      <c r="DD98" s="183"/>
      <c r="DE98" s="183"/>
      <c r="DF98" s="183"/>
      <c r="DG98" s="183"/>
      <c r="DH98" s="183"/>
      <c r="DI98" s="183"/>
      <c r="DJ98" s="183"/>
      <c r="DK98" s="183"/>
      <c r="DL98" s="183"/>
      <c r="DM98" s="183"/>
      <c r="DN98" s="183"/>
      <c r="DO98" s="183"/>
      <c r="DP98" s="183"/>
      <c r="DQ98" s="183"/>
      <c r="DR98" s="183"/>
      <c r="DS98" s="183"/>
      <c r="DT98" s="183"/>
      <c r="DU98" s="183"/>
      <c r="DV98" s="183"/>
      <c r="DW98" s="183"/>
      <c r="DX98" s="183"/>
      <c r="DY98" s="183"/>
      <c r="DZ98" s="183"/>
      <c r="EA98" s="183"/>
      <c r="EB98" s="183"/>
      <c r="EC98" s="183"/>
      <c r="ED98" s="183"/>
      <c r="EE98" s="183"/>
      <c r="EF98" s="183"/>
      <c r="EG98" s="183"/>
      <c r="EH98" s="183"/>
      <c r="EI98" s="183"/>
      <c r="EJ98" s="183"/>
      <c r="EK98" s="183"/>
      <c r="EL98" s="183"/>
      <c r="EM98" s="183"/>
      <c r="EN98" s="183"/>
      <c r="EO98" s="183"/>
      <c r="EP98" s="183"/>
      <c r="EQ98" s="183"/>
      <c r="ER98" s="183"/>
      <c r="ES98" s="183"/>
      <c r="ET98" s="183"/>
      <c r="EU98" s="183"/>
      <c r="EV98" s="183"/>
      <c r="EW98" s="183"/>
      <c r="EX98" s="183"/>
      <c r="EY98" s="183"/>
      <c r="EZ98" s="183"/>
      <c r="FA98" s="183"/>
      <c r="FB98" s="183"/>
      <c r="FC98" s="183"/>
      <c r="FD98" s="183"/>
      <c r="FE98" s="183"/>
      <c r="FF98" s="183"/>
      <c r="FG98" s="183"/>
      <c r="FH98" s="183"/>
      <c r="FI98" s="183"/>
      <c r="FJ98" s="183"/>
      <c r="FK98" s="183"/>
      <c r="FL98" s="183"/>
      <c r="FM98" s="183"/>
      <c r="FN98" s="183"/>
      <c r="FO98" s="183"/>
      <c r="FP98" s="183"/>
      <c r="FQ98" s="183"/>
      <c r="FR98" s="183"/>
      <c r="FS98" s="183"/>
      <c r="FT98" s="183"/>
      <c r="FU98" s="183"/>
      <c r="FV98" s="183"/>
      <c r="FW98" s="183"/>
      <c r="FX98" s="183"/>
      <c r="FY98" s="183"/>
      <c r="FZ98" s="183"/>
      <c r="GA98" s="183"/>
      <c r="GB98" s="183"/>
      <c r="GC98" s="183"/>
      <c r="GD98" s="183"/>
      <c r="GE98" s="183"/>
      <c r="GF98" s="183"/>
      <c r="GG98" s="183"/>
      <c r="GH98" s="183"/>
      <c r="GI98" s="183"/>
      <c r="GJ98" s="183"/>
      <c r="GK98" s="183"/>
      <c r="GL98" s="183"/>
      <c r="GM98" s="183"/>
      <c r="GN98" s="183"/>
      <c r="GO98" s="183"/>
      <c r="GP98" s="183"/>
      <c r="GQ98" s="183"/>
      <c r="GR98" s="183"/>
      <c r="GS98" s="183"/>
      <c r="GT98" s="183"/>
      <c r="GU98" s="183"/>
      <c r="GV98" s="183"/>
      <c r="GW98" s="183"/>
      <c r="GX98" s="183"/>
      <c r="GY98" s="183"/>
      <c r="GZ98" s="183"/>
      <c r="HA98" s="183"/>
      <c r="HB98" s="183"/>
      <c r="HC98" s="183"/>
      <c r="HD98" s="183"/>
      <c r="HE98" s="183"/>
      <c r="HF98" s="183"/>
      <c r="HG98" s="183"/>
      <c r="HH98" s="183"/>
      <c r="HI98" s="183"/>
      <c r="HJ98" s="183"/>
      <c r="HK98" s="183"/>
      <c r="HL98" s="183"/>
      <c r="HM98" s="183"/>
      <c r="HN98" s="183"/>
      <c r="HO98" s="183"/>
      <c r="HP98" s="183"/>
      <c r="HQ98" s="183"/>
      <c r="HR98" s="183"/>
      <c r="HS98" s="183"/>
      <c r="HT98" s="183"/>
      <c r="HU98" s="183"/>
      <c r="HV98" s="183"/>
      <c r="HW98" s="183"/>
      <c r="HX98" s="183"/>
      <c r="HY98" s="183"/>
      <c r="HZ98" s="183"/>
      <c r="IA98" s="183"/>
      <c r="IB98" s="183"/>
      <c r="IC98" s="183"/>
      <c r="ID98" s="183"/>
      <c r="IE98" s="183"/>
      <c r="IF98" s="183"/>
      <c r="IG98" s="183"/>
      <c r="IH98" s="183"/>
      <c r="II98" s="183"/>
      <c r="IJ98" s="183"/>
      <c r="IK98" s="183"/>
      <c r="IL98" s="183"/>
      <c r="IM98" s="183"/>
      <c r="IN98" s="183"/>
      <c r="IO98" s="183"/>
      <c r="IP98" s="183"/>
      <c r="IQ98" s="183"/>
      <c r="IR98" s="183"/>
    </row>
    <row r="99" spans="1:252" ht="39" x14ac:dyDescent="0.3">
      <c r="A99" s="9" t="s">
        <v>157</v>
      </c>
      <c r="B99" s="21" t="s">
        <v>69</v>
      </c>
      <c r="C99" s="9" t="s">
        <v>36</v>
      </c>
      <c r="D99" s="166" t="s">
        <v>38</v>
      </c>
      <c r="E99" s="166" t="s">
        <v>37</v>
      </c>
      <c r="F99" s="25" t="s">
        <v>70</v>
      </c>
      <c r="G99" s="25"/>
      <c r="H99" s="103" t="s">
        <v>159</v>
      </c>
    </row>
    <row r="100" spans="1:252" ht="52" x14ac:dyDescent="0.3">
      <c r="A100" s="9" t="s">
        <v>154</v>
      </c>
      <c r="B100" s="21" t="s">
        <v>72</v>
      </c>
      <c r="C100" s="129" t="s">
        <v>36</v>
      </c>
      <c r="D100" s="166" t="s">
        <v>37</v>
      </c>
      <c r="E100" s="166" t="s">
        <v>38</v>
      </c>
      <c r="F100" s="25" t="s">
        <v>73</v>
      </c>
      <c r="G100" s="25"/>
      <c r="H100" s="25"/>
    </row>
    <row r="101" spans="1:252" ht="39" x14ac:dyDescent="0.3">
      <c r="A101" s="9" t="s">
        <v>157</v>
      </c>
      <c r="B101" s="257" t="s">
        <v>160</v>
      </c>
      <c r="C101" s="258" t="s">
        <v>36</v>
      </c>
      <c r="D101" s="259" t="s">
        <v>38</v>
      </c>
      <c r="E101" s="259" t="s">
        <v>37</v>
      </c>
      <c r="F101" s="260" t="s">
        <v>161</v>
      </c>
      <c r="G101" s="25"/>
      <c r="H101" s="25"/>
    </row>
    <row r="102" spans="1:252" ht="52" x14ac:dyDescent="0.3">
      <c r="A102" s="27" t="s">
        <v>154</v>
      </c>
      <c r="B102" s="261" t="s">
        <v>162</v>
      </c>
      <c r="C102" s="262" t="s">
        <v>36</v>
      </c>
      <c r="D102" s="263" t="s">
        <v>37</v>
      </c>
      <c r="E102" s="263" t="s">
        <v>38</v>
      </c>
      <c r="F102" s="264" t="s">
        <v>163</v>
      </c>
      <c r="G102" s="104"/>
      <c r="H102" s="104"/>
      <c r="I102" s="178" t="s">
        <v>2009</v>
      </c>
    </row>
    <row r="103" spans="1:252" s="178" customFormat="1" ht="52" x14ac:dyDescent="0.35">
      <c r="A103" s="9" t="s">
        <v>154</v>
      </c>
      <c r="B103" s="21" t="s">
        <v>24</v>
      </c>
      <c r="C103" s="9" t="s">
        <v>36</v>
      </c>
      <c r="D103" s="166" t="s">
        <v>37</v>
      </c>
      <c r="E103" s="166" t="s">
        <v>38</v>
      </c>
      <c r="F103" s="25" t="s">
        <v>76</v>
      </c>
      <c r="G103" s="25"/>
      <c r="H103" s="25"/>
    </row>
    <row r="104" spans="1:252" ht="117" x14ac:dyDescent="0.3">
      <c r="A104" s="9" t="s">
        <v>157</v>
      </c>
      <c r="B104" s="21" t="s">
        <v>25</v>
      </c>
      <c r="C104" s="9" t="s">
        <v>49</v>
      </c>
      <c r="D104" s="166" t="s">
        <v>38</v>
      </c>
      <c r="E104" s="166" t="s">
        <v>37</v>
      </c>
      <c r="F104" s="25" t="s">
        <v>164</v>
      </c>
      <c r="G104" s="25"/>
      <c r="H104" s="25"/>
    </row>
    <row r="105" spans="1:252" ht="52" x14ac:dyDescent="0.3">
      <c r="A105" s="9" t="s">
        <v>157</v>
      </c>
      <c r="B105" s="21" t="s">
        <v>26</v>
      </c>
      <c r="C105" s="129" t="s">
        <v>36</v>
      </c>
      <c r="D105" s="166" t="s">
        <v>38</v>
      </c>
      <c r="E105" s="166" t="s">
        <v>37</v>
      </c>
      <c r="F105" s="25" t="s">
        <v>79</v>
      </c>
      <c r="G105" s="25"/>
      <c r="H105" s="25"/>
    </row>
    <row r="106" spans="1:252" s="178" customFormat="1" ht="39" x14ac:dyDescent="0.35">
      <c r="A106" s="9" t="s">
        <v>154</v>
      </c>
      <c r="B106" s="9" t="s">
        <v>27</v>
      </c>
      <c r="C106" s="22" t="s">
        <v>36</v>
      </c>
      <c r="D106" s="161" t="s">
        <v>37</v>
      </c>
      <c r="E106" s="161" t="s">
        <v>38</v>
      </c>
      <c r="F106" s="25" t="s">
        <v>80</v>
      </c>
      <c r="G106" s="25"/>
      <c r="H106" s="25"/>
    </row>
    <row r="107" spans="1:252" s="178" customFormat="1" ht="26" x14ac:dyDescent="0.35">
      <c r="A107" s="9" t="s">
        <v>157</v>
      </c>
      <c r="B107" s="9" t="s">
        <v>82</v>
      </c>
      <c r="C107" s="22" t="s">
        <v>36</v>
      </c>
      <c r="D107" s="161" t="s">
        <v>38</v>
      </c>
      <c r="E107" s="161" t="s">
        <v>37</v>
      </c>
      <c r="F107" s="25" t="s">
        <v>83</v>
      </c>
      <c r="G107" s="25"/>
      <c r="H107" s="25"/>
    </row>
    <row r="108" spans="1:252" s="178" customFormat="1" ht="52" x14ac:dyDescent="0.35">
      <c r="A108" s="9" t="s">
        <v>154</v>
      </c>
      <c r="B108" s="82" t="s">
        <v>140</v>
      </c>
      <c r="C108" s="22" t="s">
        <v>141</v>
      </c>
      <c r="D108" s="161" t="s">
        <v>37</v>
      </c>
      <c r="E108" s="161" t="s">
        <v>38</v>
      </c>
      <c r="F108" s="25" t="s">
        <v>165</v>
      </c>
      <c r="G108" s="25"/>
      <c r="H108" s="25" t="s">
        <v>93</v>
      </c>
    </row>
    <row r="109" spans="1:252" s="178" customFormat="1" ht="52" x14ac:dyDescent="0.35">
      <c r="A109" s="9" t="s">
        <v>157</v>
      </c>
      <c r="B109" s="82" t="s">
        <v>144</v>
      </c>
      <c r="C109" s="22" t="s">
        <v>141</v>
      </c>
      <c r="D109" s="161" t="s">
        <v>38</v>
      </c>
      <c r="E109" s="161" t="s">
        <v>37</v>
      </c>
      <c r="F109" s="25" t="s">
        <v>166</v>
      </c>
      <c r="G109" s="25"/>
      <c r="H109" s="25" t="s">
        <v>93</v>
      </c>
    </row>
    <row r="110" spans="1:252" s="160" customFormat="1" ht="39" x14ac:dyDescent="0.35">
      <c r="A110" s="83" t="s">
        <v>167</v>
      </c>
      <c r="B110" s="159" t="s">
        <v>168</v>
      </c>
      <c r="C110" s="98" t="s">
        <v>30</v>
      </c>
      <c r="D110" s="97" t="s">
        <v>31</v>
      </c>
      <c r="E110" s="97" t="s">
        <v>32</v>
      </c>
      <c r="F110" s="98" t="s">
        <v>33</v>
      </c>
      <c r="G110" s="98"/>
      <c r="H110" s="98" t="s">
        <v>5</v>
      </c>
    </row>
    <row r="111" spans="1:252" ht="39" x14ac:dyDescent="0.3">
      <c r="A111" s="126" t="s">
        <v>169</v>
      </c>
      <c r="B111" s="185" t="s">
        <v>46</v>
      </c>
      <c r="C111" s="186" t="s">
        <v>36</v>
      </c>
      <c r="D111" s="187" t="s">
        <v>37</v>
      </c>
      <c r="E111" s="187" t="s">
        <v>38</v>
      </c>
      <c r="F111" s="22" t="s">
        <v>62</v>
      </c>
      <c r="G111" s="186"/>
      <c r="H111" s="188"/>
    </row>
    <row r="112" spans="1:252" ht="182" x14ac:dyDescent="0.3">
      <c r="A112" s="123" t="s">
        <v>169</v>
      </c>
      <c r="B112" s="169" t="s">
        <v>63</v>
      </c>
      <c r="C112" s="169" t="s">
        <v>36</v>
      </c>
      <c r="D112" s="171" t="s">
        <v>37</v>
      </c>
      <c r="E112" s="171" t="s">
        <v>38</v>
      </c>
      <c r="F112" s="99" t="s">
        <v>170</v>
      </c>
      <c r="G112" s="99"/>
      <c r="H112" s="25"/>
    </row>
    <row r="113" spans="1:8" ht="39" x14ac:dyDescent="0.3">
      <c r="A113" s="123" t="s">
        <v>169</v>
      </c>
      <c r="B113" s="102" t="s">
        <v>48</v>
      </c>
      <c r="C113" s="102" t="s">
        <v>49</v>
      </c>
      <c r="D113" s="161" t="s">
        <v>37</v>
      </c>
      <c r="E113" s="161" t="s">
        <v>38</v>
      </c>
      <c r="F113" s="100" t="s">
        <v>50</v>
      </c>
      <c r="G113" s="100"/>
      <c r="H113" s="25"/>
    </row>
    <row r="114" spans="1:8" ht="39" x14ac:dyDescent="0.3">
      <c r="A114" s="123" t="s">
        <v>169</v>
      </c>
      <c r="B114" s="21" t="s">
        <v>1852</v>
      </c>
      <c r="C114" s="129" t="s">
        <v>49</v>
      </c>
      <c r="D114" s="166" t="s">
        <v>37</v>
      </c>
      <c r="E114" s="166" t="s">
        <v>38</v>
      </c>
      <c r="F114" s="100" t="s">
        <v>1854</v>
      </c>
      <c r="G114" s="100"/>
      <c r="H114" s="25"/>
    </row>
    <row r="115" spans="1:8" ht="143" x14ac:dyDescent="0.3">
      <c r="A115" s="123" t="s">
        <v>169</v>
      </c>
      <c r="B115" s="102" t="s">
        <v>105</v>
      </c>
      <c r="C115" s="22" t="s">
        <v>1715</v>
      </c>
      <c r="D115" s="161" t="s">
        <v>37</v>
      </c>
      <c r="E115" s="161" t="s">
        <v>38</v>
      </c>
      <c r="F115" s="22" t="s">
        <v>150</v>
      </c>
      <c r="G115" s="22"/>
      <c r="H115" s="25"/>
    </row>
    <row r="116" spans="1:8" ht="65" x14ac:dyDescent="0.3">
      <c r="A116" s="123" t="s">
        <v>169</v>
      </c>
      <c r="B116" s="176" t="s">
        <v>171</v>
      </c>
      <c r="C116" s="102" t="s">
        <v>36</v>
      </c>
      <c r="D116" s="161" t="s">
        <v>37</v>
      </c>
      <c r="E116" s="161" t="s">
        <v>38</v>
      </c>
      <c r="F116" s="22" t="s">
        <v>172</v>
      </c>
      <c r="G116" s="22"/>
      <c r="H116" s="25" t="s">
        <v>93</v>
      </c>
    </row>
    <row r="117" spans="1:8" ht="26" x14ac:dyDescent="0.3">
      <c r="A117" s="123" t="s">
        <v>169</v>
      </c>
      <c r="B117" s="102" t="s">
        <v>173</v>
      </c>
      <c r="C117" s="9" t="s">
        <v>141</v>
      </c>
      <c r="D117" s="161" t="s">
        <v>37</v>
      </c>
      <c r="E117" s="161" t="s">
        <v>38</v>
      </c>
      <c r="F117" s="25" t="s">
        <v>174</v>
      </c>
      <c r="G117" s="25"/>
      <c r="H117" s="25"/>
    </row>
    <row r="118" spans="1:8" ht="26" x14ac:dyDescent="0.3">
      <c r="A118" s="123" t="s">
        <v>175</v>
      </c>
      <c r="B118" s="21" t="s">
        <v>176</v>
      </c>
      <c r="C118" s="9" t="s">
        <v>177</v>
      </c>
      <c r="D118" s="161" t="s">
        <v>38</v>
      </c>
      <c r="E118" s="161" t="s">
        <v>37</v>
      </c>
      <c r="F118" s="22" t="s">
        <v>178</v>
      </c>
      <c r="G118" s="22"/>
      <c r="H118" s="25"/>
    </row>
    <row r="119" spans="1:8" ht="65" x14ac:dyDescent="0.3">
      <c r="A119" s="9" t="s">
        <v>175</v>
      </c>
      <c r="B119" s="21" t="s">
        <v>179</v>
      </c>
      <c r="C119" s="82" t="s">
        <v>36</v>
      </c>
      <c r="D119" s="161" t="s">
        <v>38</v>
      </c>
      <c r="E119" s="161" t="s">
        <v>37</v>
      </c>
      <c r="F119" s="25" t="s">
        <v>180</v>
      </c>
      <c r="G119" s="25"/>
      <c r="H119" s="25"/>
    </row>
    <row r="120" spans="1:8" ht="78" x14ac:dyDescent="0.3">
      <c r="A120" s="123" t="s">
        <v>169</v>
      </c>
      <c r="B120" s="102" t="s">
        <v>1708</v>
      </c>
      <c r="C120" s="102" t="s">
        <v>36</v>
      </c>
      <c r="D120" s="161" t="s">
        <v>37</v>
      </c>
      <c r="E120" s="161" t="s">
        <v>38</v>
      </c>
      <c r="F120" s="25" t="s">
        <v>181</v>
      </c>
      <c r="G120" s="25"/>
      <c r="H120" s="25"/>
    </row>
    <row r="121" spans="1:8" ht="26" x14ac:dyDescent="0.3">
      <c r="A121" s="123" t="s">
        <v>175</v>
      </c>
      <c r="B121" s="9" t="s">
        <v>182</v>
      </c>
      <c r="C121" s="102" t="s">
        <v>36</v>
      </c>
      <c r="D121" s="161" t="s">
        <v>38</v>
      </c>
      <c r="E121" s="161" t="s">
        <v>37</v>
      </c>
      <c r="F121" s="25" t="s">
        <v>183</v>
      </c>
      <c r="G121" s="25"/>
      <c r="H121" s="25"/>
    </row>
    <row r="122" spans="1:8" ht="52" x14ac:dyDescent="0.3">
      <c r="A122" s="123" t="s">
        <v>169</v>
      </c>
      <c r="B122" s="102" t="s">
        <v>24</v>
      </c>
      <c r="C122" s="9" t="s">
        <v>36</v>
      </c>
      <c r="D122" s="161" t="s">
        <v>37</v>
      </c>
      <c r="E122" s="161" t="s">
        <v>38</v>
      </c>
      <c r="F122" s="25" t="s">
        <v>76</v>
      </c>
      <c r="G122" s="25"/>
      <c r="H122" s="25"/>
    </row>
    <row r="123" spans="1:8" ht="39" x14ac:dyDescent="0.3">
      <c r="A123" s="123" t="s">
        <v>175</v>
      </c>
      <c r="B123" s="21" t="s">
        <v>25</v>
      </c>
      <c r="C123" s="9" t="s">
        <v>49</v>
      </c>
      <c r="D123" s="161" t="s">
        <v>38</v>
      </c>
      <c r="E123" s="161" t="s">
        <v>37</v>
      </c>
      <c r="F123" s="25" t="s">
        <v>78</v>
      </c>
      <c r="G123" s="25"/>
      <c r="H123" s="25"/>
    </row>
    <row r="124" spans="1:8" ht="52" x14ac:dyDescent="0.3">
      <c r="A124" s="123" t="s">
        <v>175</v>
      </c>
      <c r="B124" s="102" t="s">
        <v>26</v>
      </c>
      <c r="C124" s="22" t="s">
        <v>36</v>
      </c>
      <c r="D124" s="161" t="s">
        <v>38</v>
      </c>
      <c r="E124" s="161" t="s">
        <v>37</v>
      </c>
      <c r="F124" s="25" t="s">
        <v>79</v>
      </c>
      <c r="G124" s="25"/>
      <c r="H124" s="25"/>
    </row>
    <row r="125" spans="1:8" ht="39" x14ac:dyDescent="0.3">
      <c r="A125" s="123" t="s">
        <v>169</v>
      </c>
      <c r="B125" s="102" t="s">
        <v>27</v>
      </c>
      <c r="C125" s="22" t="s">
        <v>36</v>
      </c>
      <c r="D125" s="161" t="s">
        <v>37</v>
      </c>
      <c r="E125" s="161" t="s">
        <v>38</v>
      </c>
      <c r="F125" s="25" t="s">
        <v>80</v>
      </c>
      <c r="G125" s="25"/>
      <c r="H125" s="25"/>
    </row>
    <row r="126" spans="1:8" ht="26" x14ac:dyDescent="0.3">
      <c r="A126" s="123" t="s">
        <v>175</v>
      </c>
      <c r="B126" s="9" t="s">
        <v>82</v>
      </c>
      <c r="C126" s="22" t="s">
        <v>36</v>
      </c>
      <c r="D126" s="161" t="s">
        <v>38</v>
      </c>
      <c r="E126" s="161" t="s">
        <v>37</v>
      </c>
      <c r="F126" s="25" t="s">
        <v>83</v>
      </c>
      <c r="G126" s="25"/>
      <c r="H126" s="25"/>
    </row>
    <row r="127" spans="1:8" s="160" customFormat="1" ht="39" x14ac:dyDescent="0.35">
      <c r="A127" s="83" t="s">
        <v>230</v>
      </c>
      <c r="B127" s="159" t="s">
        <v>185</v>
      </c>
      <c r="C127" s="98" t="s">
        <v>30</v>
      </c>
      <c r="D127" s="97" t="s">
        <v>31</v>
      </c>
      <c r="E127" s="97" t="s">
        <v>32</v>
      </c>
      <c r="F127" s="98" t="s">
        <v>33</v>
      </c>
      <c r="G127" s="98"/>
      <c r="H127" s="98" t="s">
        <v>5</v>
      </c>
    </row>
    <row r="128" spans="1:8" ht="39" x14ac:dyDescent="0.3">
      <c r="A128" s="123" t="s">
        <v>186</v>
      </c>
      <c r="B128" s="102" t="s">
        <v>46</v>
      </c>
      <c r="C128" s="22" t="s">
        <v>36</v>
      </c>
      <c r="D128" s="161" t="s">
        <v>37</v>
      </c>
      <c r="E128" s="161" t="s">
        <v>38</v>
      </c>
      <c r="F128" s="22" t="s">
        <v>62</v>
      </c>
      <c r="G128" s="22"/>
      <c r="H128" s="25"/>
    </row>
    <row r="129" spans="1:8" ht="182" x14ac:dyDescent="0.3">
      <c r="A129" s="123" t="s">
        <v>186</v>
      </c>
      <c r="B129" s="169" t="s">
        <v>63</v>
      </c>
      <c r="C129" s="169" t="s">
        <v>36</v>
      </c>
      <c r="D129" s="171" t="s">
        <v>37</v>
      </c>
      <c r="E129" s="171" t="s">
        <v>38</v>
      </c>
      <c r="F129" s="99" t="s">
        <v>170</v>
      </c>
      <c r="G129" s="99"/>
      <c r="H129" s="25"/>
    </row>
    <row r="130" spans="1:8" ht="39" x14ac:dyDescent="0.3">
      <c r="A130" s="123" t="s">
        <v>186</v>
      </c>
      <c r="B130" s="102" t="s">
        <v>48</v>
      </c>
      <c r="C130" s="102" t="s">
        <v>49</v>
      </c>
      <c r="D130" s="161" t="s">
        <v>37</v>
      </c>
      <c r="E130" s="161" t="s">
        <v>38</v>
      </c>
      <c r="F130" s="100" t="s">
        <v>50</v>
      </c>
      <c r="G130" s="100"/>
      <c r="H130" s="25"/>
    </row>
    <row r="131" spans="1:8" ht="39" x14ac:dyDescent="0.3">
      <c r="A131" s="123" t="s">
        <v>186</v>
      </c>
      <c r="B131" s="21" t="s">
        <v>1852</v>
      </c>
      <c r="C131" s="129" t="s">
        <v>49</v>
      </c>
      <c r="D131" s="166" t="s">
        <v>37</v>
      </c>
      <c r="E131" s="166" t="s">
        <v>38</v>
      </c>
      <c r="F131" s="100" t="s">
        <v>1854</v>
      </c>
      <c r="G131" s="100"/>
      <c r="H131" s="25"/>
    </row>
    <row r="132" spans="1:8" ht="130" x14ac:dyDescent="0.3">
      <c r="A132" s="123" t="s">
        <v>186</v>
      </c>
      <c r="B132" s="21" t="s">
        <v>105</v>
      </c>
      <c r="C132" s="22" t="s">
        <v>1715</v>
      </c>
      <c r="D132" s="161" t="s">
        <v>37</v>
      </c>
      <c r="E132" s="161" t="s">
        <v>38</v>
      </c>
      <c r="F132" s="22" t="s">
        <v>187</v>
      </c>
      <c r="G132" s="22"/>
      <c r="H132" s="25"/>
    </row>
    <row r="133" spans="1:8" ht="156" x14ac:dyDescent="0.3">
      <c r="A133" s="123" t="s">
        <v>188</v>
      </c>
      <c r="B133" s="21" t="s">
        <v>21</v>
      </c>
      <c r="C133" s="9" t="s">
        <v>49</v>
      </c>
      <c r="D133" s="161" t="s">
        <v>38</v>
      </c>
      <c r="E133" s="161" t="s">
        <v>37</v>
      </c>
      <c r="F133" s="25" t="s">
        <v>66</v>
      </c>
      <c r="G133" s="25"/>
      <c r="H133" s="25"/>
    </row>
    <row r="134" spans="1:8" ht="39" x14ac:dyDescent="0.3">
      <c r="A134" s="123" t="s">
        <v>188</v>
      </c>
      <c r="B134" s="21" t="s">
        <v>22</v>
      </c>
      <c r="C134" s="9" t="s">
        <v>36</v>
      </c>
      <c r="D134" s="161" t="s">
        <v>38</v>
      </c>
      <c r="E134" s="161" t="s">
        <v>37</v>
      </c>
      <c r="F134" s="25" t="s">
        <v>88</v>
      </c>
      <c r="G134" s="25"/>
      <c r="H134" s="25"/>
    </row>
    <row r="135" spans="1:8" ht="52" x14ac:dyDescent="0.3">
      <c r="A135" s="123" t="s">
        <v>186</v>
      </c>
      <c r="B135" s="21" t="s">
        <v>23</v>
      </c>
      <c r="C135" s="22" t="s">
        <v>36</v>
      </c>
      <c r="D135" s="161" t="s">
        <v>37</v>
      </c>
      <c r="E135" s="161" t="s">
        <v>38</v>
      </c>
      <c r="F135" s="25" t="s">
        <v>89</v>
      </c>
      <c r="G135" s="25"/>
      <c r="H135" s="25"/>
    </row>
    <row r="136" spans="1:8" ht="26" x14ac:dyDescent="0.3">
      <c r="A136" s="123" t="s">
        <v>186</v>
      </c>
      <c r="B136" s="21" t="s">
        <v>189</v>
      </c>
      <c r="C136" s="9" t="s">
        <v>141</v>
      </c>
      <c r="D136" s="161" t="s">
        <v>37</v>
      </c>
      <c r="E136" s="161" t="s">
        <v>38</v>
      </c>
      <c r="F136" s="25" t="s">
        <v>190</v>
      </c>
      <c r="G136" s="25"/>
      <c r="H136" s="25"/>
    </row>
    <row r="137" spans="1:8" ht="26" x14ac:dyDescent="0.3">
      <c r="A137" s="123" t="s">
        <v>188</v>
      </c>
      <c r="B137" s="21" t="s">
        <v>176</v>
      </c>
      <c r="C137" s="9" t="s">
        <v>177</v>
      </c>
      <c r="D137" s="161" t="s">
        <v>38</v>
      </c>
      <c r="E137" s="161" t="s">
        <v>37</v>
      </c>
      <c r="F137" s="22" t="s">
        <v>191</v>
      </c>
      <c r="G137" s="22"/>
      <c r="H137" s="164" t="s">
        <v>191</v>
      </c>
    </row>
    <row r="138" spans="1:8" ht="52" x14ac:dyDescent="0.3">
      <c r="A138" s="9" t="s">
        <v>188</v>
      </c>
      <c r="B138" s="21" t="s">
        <v>192</v>
      </c>
      <c r="C138" s="82" t="s">
        <v>36</v>
      </c>
      <c r="D138" s="161" t="s">
        <v>38</v>
      </c>
      <c r="E138" s="161" t="s">
        <v>37</v>
      </c>
      <c r="F138" s="105" t="s">
        <v>193</v>
      </c>
      <c r="G138" s="105"/>
      <c r="H138" s="189" t="s">
        <v>194</v>
      </c>
    </row>
    <row r="139" spans="1:8" ht="52" x14ac:dyDescent="0.3">
      <c r="A139" s="123" t="s">
        <v>186</v>
      </c>
      <c r="B139" s="9" t="s">
        <v>195</v>
      </c>
      <c r="C139" s="102" t="s">
        <v>36</v>
      </c>
      <c r="D139" s="161" t="s">
        <v>37</v>
      </c>
      <c r="E139" s="161" t="s">
        <v>38</v>
      </c>
      <c r="F139" s="25" t="s">
        <v>196</v>
      </c>
      <c r="G139" s="25"/>
      <c r="H139" s="25" t="s">
        <v>197</v>
      </c>
    </row>
    <row r="140" spans="1:8" ht="26" x14ac:dyDescent="0.3">
      <c r="A140" s="9" t="s">
        <v>188</v>
      </c>
      <c r="B140" s="82" t="s">
        <v>198</v>
      </c>
      <c r="C140" s="102" t="s">
        <v>1714</v>
      </c>
      <c r="D140" s="161" t="s">
        <v>38</v>
      </c>
      <c r="E140" s="161" t="s">
        <v>37</v>
      </c>
      <c r="F140" s="25" t="s">
        <v>199</v>
      </c>
      <c r="G140" s="25"/>
      <c r="H140" s="25" t="s">
        <v>93</v>
      </c>
    </row>
    <row r="141" spans="1:8" s="178" customFormat="1" ht="52" x14ac:dyDescent="0.35">
      <c r="A141" s="123" t="s">
        <v>186</v>
      </c>
      <c r="B141" s="21" t="s">
        <v>24</v>
      </c>
      <c r="C141" s="9" t="s">
        <v>36</v>
      </c>
      <c r="D141" s="166" t="s">
        <v>37</v>
      </c>
      <c r="E141" s="166" t="s">
        <v>38</v>
      </c>
      <c r="F141" s="25" t="s">
        <v>76</v>
      </c>
      <c r="G141" s="25"/>
      <c r="H141" s="25"/>
    </row>
    <row r="142" spans="1:8" ht="39" x14ac:dyDescent="0.3">
      <c r="A142" s="123" t="s">
        <v>188</v>
      </c>
      <c r="B142" s="21" t="s">
        <v>25</v>
      </c>
      <c r="C142" s="9" t="s">
        <v>49</v>
      </c>
      <c r="D142" s="166" t="s">
        <v>38</v>
      </c>
      <c r="E142" s="166" t="s">
        <v>37</v>
      </c>
      <c r="F142" s="25" t="s">
        <v>78</v>
      </c>
      <c r="G142" s="25"/>
      <c r="H142" s="25"/>
    </row>
    <row r="143" spans="1:8" ht="52" x14ac:dyDescent="0.3">
      <c r="A143" s="123" t="s">
        <v>188</v>
      </c>
      <c r="B143" s="21" t="s">
        <v>26</v>
      </c>
      <c r="C143" s="129" t="s">
        <v>36</v>
      </c>
      <c r="D143" s="166" t="s">
        <v>38</v>
      </c>
      <c r="E143" s="166" t="s">
        <v>37</v>
      </c>
      <c r="F143" s="25" t="s">
        <v>79</v>
      </c>
      <c r="G143" s="25"/>
      <c r="H143" s="25"/>
    </row>
    <row r="144" spans="1:8" ht="39" x14ac:dyDescent="0.3">
      <c r="A144" s="123" t="s">
        <v>186</v>
      </c>
      <c r="B144" s="9" t="s">
        <v>27</v>
      </c>
      <c r="C144" s="129" t="s">
        <v>36</v>
      </c>
      <c r="D144" s="166" t="s">
        <v>37</v>
      </c>
      <c r="E144" s="166" t="s">
        <v>38</v>
      </c>
      <c r="F144" s="25" t="s">
        <v>80</v>
      </c>
      <c r="G144" s="25"/>
      <c r="H144" s="25"/>
    </row>
    <row r="145" spans="1:8" ht="26" x14ac:dyDescent="0.3">
      <c r="A145" s="123" t="s">
        <v>188</v>
      </c>
      <c r="B145" s="9" t="s">
        <v>82</v>
      </c>
      <c r="C145" s="129" t="s">
        <v>36</v>
      </c>
      <c r="D145" s="166" t="s">
        <v>38</v>
      </c>
      <c r="E145" s="166" t="s">
        <v>37</v>
      </c>
      <c r="F145" s="25" t="s">
        <v>83</v>
      </c>
      <c r="G145" s="25"/>
      <c r="H145" s="25"/>
    </row>
    <row r="146" spans="1:8" s="160" customFormat="1" ht="39" x14ac:dyDescent="0.35">
      <c r="A146" s="83" t="s">
        <v>200</v>
      </c>
      <c r="B146" s="159" t="s">
        <v>201</v>
      </c>
      <c r="C146" s="98" t="s">
        <v>30</v>
      </c>
      <c r="D146" s="97" t="s">
        <v>31</v>
      </c>
      <c r="E146" s="97" t="s">
        <v>32</v>
      </c>
      <c r="F146" s="98" t="s">
        <v>33</v>
      </c>
      <c r="G146" s="98"/>
      <c r="H146" s="98" t="s">
        <v>5</v>
      </c>
    </row>
    <row r="147" spans="1:8" ht="39" x14ac:dyDescent="0.3">
      <c r="A147" s="126" t="s">
        <v>202</v>
      </c>
      <c r="B147" s="185" t="s">
        <v>46</v>
      </c>
      <c r="C147" s="186" t="s">
        <v>36</v>
      </c>
      <c r="D147" s="187" t="s">
        <v>37</v>
      </c>
      <c r="E147" s="187" t="s">
        <v>38</v>
      </c>
      <c r="F147" s="22" t="s">
        <v>62</v>
      </c>
      <c r="G147" s="186"/>
      <c r="H147" s="188"/>
    </row>
    <row r="148" spans="1:8" ht="182" x14ac:dyDescent="0.3">
      <c r="A148" s="123" t="s">
        <v>202</v>
      </c>
      <c r="B148" s="169" t="s">
        <v>63</v>
      </c>
      <c r="C148" s="169" t="s">
        <v>36</v>
      </c>
      <c r="D148" s="171" t="s">
        <v>37</v>
      </c>
      <c r="E148" s="171" t="s">
        <v>38</v>
      </c>
      <c r="F148" s="106" t="s">
        <v>203</v>
      </c>
      <c r="G148" s="106"/>
      <c r="H148" s="25"/>
    </row>
    <row r="149" spans="1:8" ht="39" x14ac:dyDescent="0.3">
      <c r="A149" s="123" t="s">
        <v>202</v>
      </c>
      <c r="B149" s="102" t="s">
        <v>48</v>
      </c>
      <c r="C149" s="102" t="s">
        <v>49</v>
      </c>
      <c r="D149" s="161" t="s">
        <v>37</v>
      </c>
      <c r="E149" s="161" t="s">
        <v>38</v>
      </c>
      <c r="F149" s="107" t="s">
        <v>50</v>
      </c>
      <c r="G149" s="107"/>
      <c r="H149" s="25"/>
    </row>
    <row r="150" spans="1:8" ht="39" x14ac:dyDescent="0.3">
      <c r="A150" s="123" t="s">
        <v>202</v>
      </c>
      <c r="B150" s="21" t="s">
        <v>1852</v>
      </c>
      <c r="C150" s="129" t="s">
        <v>49</v>
      </c>
      <c r="D150" s="166" t="s">
        <v>37</v>
      </c>
      <c r="E150" s="166" t="s">
        <v>38</v>
      </c>
      <c r="F150" s="100" t="s">
        <v>1854</v>
      </c>
      <c r="G150" s="107"/>
      <c r="H150" s="25"/>
    </row>
    <row r="151" spans="1:8" ht="143" x14ac:dyDescent="0.3">
      <c r="A151" s="123" t="s">
        <v>202</v>
      </c>
      <c r="B151" s="21" t="s">
        <v>105</v>
      </c>
      <c r="C151" s="22" t="s">
        <v>1715</v>
      </c>
      <c r="D151" s="161" t="s">
        <v>37</v>
      </c>
      <c r="E151" s="161" t="s">
        <v>38</v>
      </c>
      <c r="F151" s="102" t="s">
        <v>204</v>
      </c>
      <c r="G151" s="102"/>
      <c r="H151" s="25"/>
    </row>
    <row r="152" spans="1:8" ht="26" x14ac:dyDescent="0.3">
      <c r="A152" s="123" t="s">
        <v>202</v>
      </c>
      <c r="B152" s="21" t="s">
        <v>173</v>
      </c>
      <c r="C152" s="9" t="s">
        <v>141</v>
      </c>
      <c r="D152" s="161" t="s">
        <v>37</v>
      </c>
      <c r="E152" s="161" t="s">
        <v>38</v>
      </c>
      <c r="F152" s="9" t="s">
        <v>174</v>
      </c>
      <c r="G152" s="9"/>
      <c r="H152" s="25"/>
    </row>
    <row r="153" spans="1:8" ht="26" x14ac:dyDescent="0.3">
      <c r="A153" s="123" t="s">
        <v>205</v>
      </c>
      <c r="B153" s="21" t="s">
        <v>176</v>
      </c>
      <c r="C153" s="9" t="s">
        <v>177</v>
      </c>
      <c r="D153" s="161" t="s">
        <v>38</v>
      </c>
      <c r="E153" s="161" t="s">
        <v>37</v>
      </c>
      <c r="F153" s="102" t="s">
        <v>178</v>
      </c>
      <c r="G153" s="102"/>
      <c r="H153" s="25"/>
    </row>
    <row r="154" spans="1:8" ht="26" x14ac:dyDescent="0.3">
      <c r="A154" s="123" t="s">
        <v>205</v>
      </c>
      <c r="B154" s="21" t="s">
        <v>206</v>
      </c>
      <c r="C154" s="102" t="s">
        <v>75</v>
      </c>
      <c r="D154" s="161" t="s">
        <v>38</v>
      </c>
      <c r="E154" s="161" t="s">
        <v>37</v>
      </c>
      <c r="F154" s="102" t="s">
        <v>207</v>
      </c>
      <c r="G154" s="102"/>
      <c r="H154" s="25"/>
    </row>
    <row r="155" spans="1:8" ht="26" x14ac:dyDescent="0.3">
      <c r="A155" s="123" t="s">
        <v>205</v>
      </c>
      <c r="B155" s="21" t="s">
        <v>208</v>
      </c>
      <c r="C155" s="9" t="s">
        <v>177</v>
      </c>
      <c r="D155" s="161" t="s">
        <v>38</v>
      </c>
      <c r="E155" s="161" t="s">
        <v>37</v>
      </c>
      <c r="F155" s="102" t="s">
        <v>209</v>
      </c>
      <c r="G155" s="102"/>
      <c r="H155" s="25"/>
    </row>
    <row r="156" spans="1:8" ht="78" x14ac:dyDescent="0.3">
      <c r="A156" s="9" t="s">
        <v>205</v>
      </c>
      <c r="B156" s="21" t="s">
        <v>179</v>
      </c>
      <c r="C156" s="9" t="s">
        <v>141</v>
      </c>
      <c r="D156" s="161" t="s">
        <v>38</v>
      </c>
      <c r="E156" s="161" t="s">
        <v>37</v>
      </c>
      <c r="F156" s="9" t="s">
        <v>210</v>
      </c>
      <c r="G156" s="9"/>
      <c r="H156" s="158" t="s">
        <v>211</v>
      </c>
    </row>
    <row r="157" spans="1:8" ht="52" x14ac:dyDescent="0.3">
      <c r="A157" s="123" t="s">
        <v>202</v>
      </c>
      <c r="B157" s="9" t="s">
        <v>1708</v>
      </c>
      <c r="C157" s="102" t="s">
        <v>36</v>
      </c>
      <c r="D157" s="161" t="s">
        <v>37</v>
      </c>
      <c r="E157" s="161" t="s">
        <v>38</v>
      </c>
      <c r="F157" s="9" t="s">
        <v>212</v>
      </c>
      <c r="G157" s="9"/>
      <c r="H157" s="25"/>
    </row>
    <row r="158" spans="1:8" ht="26" x14ac:dyDescent="0.3">
      <c r="A158" s="123" t="s">
        <v>205</v>
      </c>
      <c r="B158" s="9" t="s">
        <v>182</v>
      </c>
      <c r="C158" s="102" t="s">
        <v>36</v>
      </c>
      <c r="D158" s="161" t="s">
        <v>38</v>
      </c>
      <c r="E158" s="161" t="s">
        <v>37</v>
      </c>
      <c r="F158" s="9" t="s">
        <v>183</v>
      </c>
      <c r="G158" s="9"/>
      <c r="H158" s="25"/>
    </row>
    <row r="159" spans="1:8" s="160" customFormat="1" ht="39" x14ac:dyDescent="0.35">
      <c r="A159" s="83" t="s">
        <v>213</v>
      </c>
      <c r="B159" s="159" t="s">
        <v>214</v>
      </c>
      <c r="C159" s="98" t="s">
        <v>30</v>
      </c>
      <c r="D159" s="97" t="s">
        <v>31</v>
      </c>
      <c r="E159" s="97" t="s">
        <v>32</v>
      </c>
      <c r="F159" s="98" t="s">
        <v>33</v>
      </c>
      <c r="G159" s="98"/>
      <c r="H159" s="98" t="s">
        <v>5</v>
      </c>
    </row>
    <row r="160" spans="1:8" ht="39" x14ac:dyDescent="0.3">
      <c r="A160" s="123" t="s">
        <v>215</v>
      </c>
      <c r="B160" s="21" t="s">
        <v>46</v>
      </c>
      <c r="C160" s="22" t="s">
        <v>36</v>
      </c>
      <c r="D160" s="161" t="s">
        <v>37</v>
      </c>
      <c r="E160" s="161" t="s">
        <v>38</v>
      </c>
      <c r="F160" s="22" t="s">
        <v>62</v>
      </c>
      <c r="G160" s="22"/>
      <c r="H160" s="165"/>
    </row>
    <row r="161" spans="1:8" ht="143" x14ac:dyDescent="0.3">
      <c r="A161" s="124" t="s">
        <v>215</v>
      </c>
      <c r="B161" s="21" t="s">
        <v>63</v>
      </c>
      <c r="C161" s="170" t="s">
        <v>36</v>
      </c>
      <c r="D161" s="171" t="s">
        <v>37</v>
      </c>
      <c r="E161" s="171" t="s">
        <v>38</v>
      </c>
      <c r="F161" s="101" t="s">
        <v>216</v>
      </c>
      <c r="G161" s="101"/>
      <c r="H161" s="167"/>
    </row>
    <row r="162" spans="1:8" ht="39" x14ac:dyDescent="0.3">
      <c r="A162" s="123" t="s">
        <v>215</v>
      </c>
      <c r="B162" s="21" t="s">
        <v>48</v>
      </c>
      <c r="C162" s="22" t="s">
        <v>49</v>
      </c>
      <c r="D162" s="161" t="s">
        <v>37</v>
      </c>
      <c r="E162" s="161" t="s">
        <v>38</v>
      </c>
      <c r="F162" s="107" t="s">
        <v>50</v>
      </c>
      <c r="G162" s="107"/>
      <c r="H162" s="25"/>
    </row>
    <row r="163" spans="1:8" ht="39" x14ac:dyDescent="0.3">
      <c r="A163" s="123" t="s">
        <v>215</v>
      </c>
      <c r="B163" s="21" t="s">
        <v>1852</v>
      </c>
      <c r="C163" s="129" t="s">
        <v>49</v>
      </c>
      <c r="D163" s="166" t="s">
        <v>37</v>
      </c>
      <c r="E163" s="166" t="s">
        <v>38</v>
      </c>
      <c r="F163" s="100" t="s">
        <v>1854</v>
      </c>
      <c r="G163" s="107"/>
      <c r="H163" s="25"/>
    </row>
    <row r="164" spans="1:8" ht="169" x14ac:dyDescent="0.3">
      <c r="A164" s="123" t="s">
        <v>217</v>
      </c>
      <c r="B164" s="21" t="s">
        <v>21</v>
      </c>
      <c r="C164" s="9" t="s">
        <v>49</v>
      </c>
      <c r="D164" s="161" t="s">
        <v>38</v>
      </c>
      <c r="E164" s="161" t="s">
        <v>37</v>
      </c>
      <c r="F164" s="25" t="s">
        <v>218</v>
      </c>
      <c r="G164" s="25"/>
      <c r="H164" s="25"/>
    </row>
    <row r="165" spans="1:8" ht="39" x14ac:dyDescent="0.3">
      <c r="A165" s="123" t="s">
        <v>217</v>
      </c>
      <c r="B165" s="21" t="s">
        <v>22</v>
      </c>
      <c r="C165" s="9" t="s">
        <v>36</v>
      </c>
      <c r="D165" s="161" t="s">
        <v>38</v>
      </c>
      <c r="E165" s="161" t="s">
        <v>37</v>
      </c>
      <c r="F165" s="25" t="s">
        <v>88</v>
      </c>
      <c r="G165" s="25"/>
      <c r="H165" s="25"/>
    </row>
    <row r="166" spans="1:8" ht="52" x14ac:dyDescent="0.3">
      <c r="A166" s="123" t="s">
        <v>215</v>
      </c>
      <c r="B166" s="21" t="s">
        <v>23</v>
      </c>
      <c r="C166" s="22" t="s">
        <v>36</v>
      </c>
      <c r="D166" s="161" t="s">
        <v>37</v>
      </c>
      <c r="E166" s="161" t="s">
        <v>38</v>
      </c>
      <c r="F166" s="25" t="s">
        <v>89</v>
      </c>
      <c r="G166" s="25"/>
      <c r="H166" s="173"/>
    </row>
    <row r="167" spans="1:8" ht="52" x14ac:dyDescent="0.3">
      <c r="A167" s="123" t="s">
        <v>215</v>
      </c>
      <c r="B167" s="21" t="s">
        <v>24</v>
      </c>
      <c r="C167" s="9" t="s">
        <v>36</v>
      </c>
      <c r="D167" s="161" t="s">
        <v>37</v>
      </c>
      <c r="E167" s="161" t="s">
        <v>38</v>
      </c>
      <c r="F167" s="25" t="s">
        <v>76</v>
      </c>
      <c r="G167" s="25"/>
      <c r="H167" s="173" t="s">
        <v>219</v>
      </c>
    </row>
    <row r="168" spans="1:8" ht="130" x14ac:dyDescent="0.3">
      <c r="A168" s="123" t="s">
        <v>215</v>
      </c>
      <c r="B168" s="21" t="s">
        <v>105</v>
      </c>
      <c r="C168" s="22" t="s">
        <v>1715</v>
      </c>
      <c r="D168" s="161" t="s">
        <v>37</v>
      </c>
      <c r="E168" s="161" t="s">
        <v>38</v>
      </c>
      <c r="F168" s="25" t="s">
        <v>220</v>
      </c>
      <c r="G168" s="25"/>
      <c r="H168" s="173" t="s">
        <v>221</v>
      </c>
    </row>
    <row r="169" spans="1:8" ht="39" x14ac:dyDescent="0.3">
      <c r="A169" s="123" t="s">
        <v>217</v>
      </c>
      <c r="B169" s="21" t="s">
        <v>25</v>
      </c>
      <c r="C169" s="9" t="s">
        <v>49</v>
      </c>
      <c r="D169" s="161" t="s">
        <v>38</v>
      </c>
      <c r="E169" s="161" t="s">
        <v>37</v>
      </c>
      <c r="F169" s="25" t="s">
        <v>78</v>
      </c>
      <c r="G169" s="25"/>
      <c r="H169" s="25"/>
    </row>
    <row r="170" spans="1:8" ht="52" x14ac:dyDescent="0.3">
      <c r="A170" s="123" t="s">
        <v>217</v>
      </c>
      <c r="B170" s="21" t="s">
        <v>26</v>
      </c>
      <c r="C170" s="22" t="s">
        <v>36</v>
      </c>
      <c r="D170" s="161" t="s">
        <v>38</v>
      </c>
      <c r="E170" s="161" t="s">
        <v>37</v>
      </c>
      <c r="F170" s="25" t="s">
        <v>79</v>
      </c>
      <c r="G170" s="25"/>
      <c r="H170" s="173" t="s">
        <v>219</v>
      </c>
    </row>
    <row r="171" spans="1:8" ht="39" x14ac:dyDescent="0.3">
      <c r="A171" s="123" t="s">
        <v>215</v>
      </c>
      <c r="B171" s="21" t="s">
        <v>27</v>
      </c>
      <c r="C171" s="22" t="s">
        <v>36</v>
      </c>
      <c r="D171" s="161" t="s">
        <v>37</v>
      </c>
      <c r="E171" s="161" t="s">
        <v>38</v>
      </c>
      <c r="F171" s="25" t="s">
        <v>80</v>
      </c>
      <c r="G171" s="25"/>
      <c r="H171" s="25"/>
    </row>
    <row r="172" spans="1:8" ht="26" x14ac:dyDescent="0.3">
      <c r="A172" s="123" t="s">
        <v>217</v>
      </c>
      <c r="B172" s="21" t="s">
        <v>82</v>
      </c>
      <c r="C172" s="22" t="s">
        <v>36</v>
      </c>
      <c r="D172" s="161" t="s">
        <v>38</v>
      </c>
      <c r="E172" s="161" t="s">
        <v>37</v>
      </c>
      <c r="F172" s="25" t="s">
        <v>83</v>
      </c>
      <c r="G172" s="25"/>
      <c r="H172" s="25"/>
    </row>
    <row r="173" spans="1:8" s="160" customFormat="1" ht="39" x14ac:dyDescent="0.35">
      <c r="A173" s="83" t="s">
        <v>184</v>
      </c>
      <c r="B173" s="159" t="s">
        <v>222</v>
      </c>
      <c r="C173" s="98" t="s">
        <v>30</v>
      </c>
      <c r="D173" s="97" t="s">
        <v>31</v>
      </c>
      <c r="E173" s="97" t="s">
        <v>32</v>
      </c>
      <c r="F173" s="98" t="s">
        <v>33</v>
      </c>
      <c r="G173" s="98"/>
      <c r="H173" s="98" t="s">
        <v>5</v>
      </c>
    </row>
    <row r="174" spans="1:8" s="160" customFormat="1" ht="39" x14ac:dyDescent="0.35">
      <c r="A174" s="123" t="s">
        <v>223</v>
      </c>
      <c r="B174" s="102" t="s">
        <v>46</v>
      </c>
      <c r="C174" s="22" t="s">
        <v>36</v>
      </c>
      <c r="D174" s="161" t="s">
        <v>37</v>
      </c>
      <c r="E174" s="161" t="s">
        <v>38</v>
      </c>
      <c r="F174" s="22" t="s">
        <v>62</v>
      </c>
      <c r="G174" s="22"/>
      <c r="H174" s="165"/>
    </row>
    <row r="175" spans="1:8" s="172" customFormat="1" ht="169" x14ac:dyDescent="0.35">
      <c r="A175" s="124" t="s">
        <v>223</v>
      </c>
      <c r="B175" s="169" t="s">
        <v>63</v>
      </c>
      <c r="C175" s="170" t="s">
        <v>36</v>
      </c>
      <c r="D175" s="171" t="s">
        <v>37</v>
      </c>
      <c r="E175" s="171" t="s">
        <v>38</v>
      </c>
      <c r="F175" s="101" t="s">
        <v>224</v>
      </c>
      <c r="G175" s="101"/>
      <c r="H175" s="167"/>
    </row>
    <row r="176" spans="1:8" s="160" customFormat="1" ht="39" x14ac:dyDescent="0.3">
      <c r="A176" s="123" t="s">
        <v>223</v>
      </c>
      <c r="B176" s="102" t="s">
        <v>48</v>
      </c>
      <c r="C176" s="22" t="s">
        <v>49</v>
      </c>
      <c r="D176" s="161" t="s">
        <v>37</v>
      </c>
      <c r="E176" s="161" t="s">
        <v>38</v>
      </c>
      <c r="F176" s="100" t="s">
        <v>50</v>
      </c>
      <c r="G176" s="100"/>
      <c r="H176" s="25"/>
    </row>
    <row r="177" spans="1:8" s="160" customFormat="1" ht="39" x14ac:dyDescent="0.3">
      <c r="A177" s="123" t="s">
        <v>223</v>
      </c>
      <c r="B177" s="21" t="s">
        <v>1852</v>
      </c>
      <c r="C177" s="129" t="s">
        <v>49</v>
      </c>
      <c r="D177" s="166" t="s">
        <v>37</v>
      </c>
      <c r="E177" s="166" t="s">
        <v>38</v>
      </c>
      <c r="F177" s="100" t="s">
        <v>1854</v>
      </c>
      <c r="G177" s="100"/>
      <c r="H177" s="25"/>
    </row>
    <row r="178" spans="1:8" s="160" customFormat="1" ht="156" x14ac:dyDescent="0.35">
      <c r="A178" s="123" t="s">
        <v>225</v>
      </c>
      <c r="B178" s="21" t="s">
        <v>21</v>
      </c>
      <c r="C178" s="9" t="s">
        <v>49</v>
      </c>
      <c r="D178" s="161" t="s">
        <v>38</v>
      </c>
      <c r="E178" s="161" t="s">
        <v>37</v>
      </c>
      <c r="F178" s="25" t="s">
        <v>66</v>
      </c>
      <c r="G178" s="25" t="s">
        <v>128</v>
      </c>
      <c r="H178" s="25"/>
    </row>
    <row r="179" spans="1:8" s="160" customFormat="1" ht="78" x14ac:dyDescent="0.35">
      <c r="A179" s="123" t="s">
        <v>225</v>
      </c>
      <c r="B179" s="21" t="s">
        <v>22</v>
      </c>
      <c r="C179" s="9" t="s">
        <v>36</v>
      </c>
      <c r="D179" s="161" t="s">
        <v>38</v>
      </c>
      <c r="E179" s="161" t="s">
        <v>37</v>
      </c>
      <c r="F179" s="25" t="s">
        <v>88</v>
      </c>
      <c r="G179" s="25" t="s">
        <v>128</v>
      </c>
      <c r="H179" s="25"/>
    </row>
    <row r="180" spans="1:8" s="160" customFormat="1" ht="78" x14ac:dyDescent="0.35">
      <c r="A180" s="123" t="s">
        <v>223</v>
      </c>
      <c r="B180" s="21" t="s">
        <v>23</v>
      </c>
      <c r="C180" s="22" t="s">
        <v>36</v>
      </c>
      <c r="D180" s="161" t="s">
        <v>37</v>
      </c>
      <c r="E180" s="161" t="s">
        <v>38</v>
      </c>
      <c r="F180" s="25" t="s">
        <v>89</v>
      </c>
      <c r="G180" s="25" t="s">
        <v>128</v>
      </c>
      <c r="H180" s="173"/>
    </row>
    <row r="181" spans="1:8" s="160" customFormat="1" ht="91" x14ac:dyDescent="0.35">
      <c r="A181" s="123" t="s">
        <v>225</v>
      </c>
      <c r="B181" s="21" t="s">
        <v>226</v>
      </c>
      <c r="C181" s="9" t="s">
        <v>36</v>
      </c>
      <c r="D181" s="161" t="s">
        <v>38</v>
      </c>
      <c r="E181" s="161" t="s">
        <v>37</v>
      </c>
      <c r="F181" s="25" t="s">
        <v>227</v>
      </c>
      <c r="G181" s="25"/>
      <c r="H181" s="173"/>
    </row>
    <row r="182" spans="1:8" s="160" customFormat="1" ht="104" x14ac:dyDescent="0.35">
      <c r="A182" s="123" t="s">
        <v>225</v>
      </c>
      <c r="B182" s="21" t="s">
        <v>228</v>
      </c>
      <c r="C182" s="9" t="s">
        <v>36</v>
      </c>
      <c r="D182" s="161" t="s">
        <v>38</v>
      </c>
      <c r="E182" s="161" t="s">
        <v>37</v>
      </c>
      <c r="F182" s="25" t="s">
        <v>229</v>
      </c>
      <c r="G182" s="25"/>
      <c r="H182" s="173"/>
    </row>
    <row r="183" spans="1:8" s="160" customFormat="1" ht="91" x14ac:dyDescent="0.35">
      <c r="A183" s="123" t="s">
        <v>223</v>
      </c>
      <c r="B183" s="21" t="s">
        <v>24</v>
      </c>
      <c r="C183" s="9" t="s">
        <v>36</v>
      </c>
      <c r="D183" s="161" t="s">
        <v>37</v>
      </c>
      <c r="E183" s="161" t="s">
        <v>38</v>
      </c>
      <c r="F183" s="25" t="s">
        <v>76</v>
      </c>
      <c r="G183" s="25" t="s">
        <v>77</v>
      </c>
      <c r="H183" s="173"/>
    </row>
    <row r="184" spans="1:8" s="160" customFormat="1" ht="91" x14ac:dyDescent="0.35">
      <c r="A184" s="123" t="s">
        <v>225</v>
      </c>
      <c r="B184" s="21" t="s">
        <v>25</v>
      </c>
      <c r="C184" s="9" t="s">
        <v>49</v>
      </c>
      <c r="D184" s="161" t="s">
        <v>38</v>
      </c>
      <c r="E184" s="161" t="s">
        <v>37</v>
      </c>
      <c r="F184" s="25" t="s">
        <v>129</v>
      </c>
      <c r="G184" s="25" t="s">
        <v>77</v>
      </c>
      <c r="H184" s="177" t="s">
        <v>130</v>
      </c>
    </row>
    <row r="185" spans="1:8" s="178" customFormat="1" ht="91" x14ac:dyDescent="0.35">
      <c r="A185" s="123" t="s">
        <v>225</v>
      </c>
      <c r="B185" s="102" t="s">
        <v>26</v>
      </c>
      <c r="C185" s="22" t="s">
        <v>36</v>
      </c>
      <c r="D185" s="161" t="s">
        <v>38</v>
      </c>
      <c r="E185" s="161" t="s">
        <v>37</v>
      </c>
      <c r="F185" s="25" t="s">
        <v>131</v>
      </c>
      <c r="G185" s="25" t="s">
        <v>77</v>
      </c>
      <c r="H185" s="173"/>
    </row>
    <row r="186" spans="1:8" s="178" customFormat="1" ht="78" x14ac:dyDescent="0.35">
      <c r="A186" s="123" t="s">
        <v>223</v>
      </c>
      <c r="B186" s="9" t="s">
        <v>27</v>
      </c>
      <c r="C186" s="22" t="s">
        <v>36</v>
      </c>
      <c r="D186" s="161" t="s">
        <v>37</v>
      </c>
      <c r="E186" s="161" t="s">
        <v>38</v>
      </c>
      <c r="F186" s="25" t="s">
        <v>132</v>
      </c>
      <c r="G186" s="25" t="s">
        <v>81</v>
      </c>
      <c r="H186" s="25"/>
    </row>
    <row r="187" spans="1:8" s="178" customFormat="1" ht="78" x14ac:dyDescent="0.35">
      <c r="A187" s="123" t="s">
        <v>225</v>
      </c>
      <c r="B187" s="9" t="s">
        <v>82</v>
      </c>
      <c r="C187" s="22" t="s">
        <v>36</v>
      </c>
      <c r="D187" s="161" t="s">
        <v>38</v>
      </c>
      <c r="E187" s="161" t="s">
        <v>37</v>
      </c>
      <c r="F187" s="25" t="s">
        <v>83</v>
      </c>
      <c r="G187" s="25" t="s">
        <v>81</v>
      </c>
      <c r="H187" s="25"/>
    </row>
    <row r="188" spans="1:8" ht="39" x14ac:dyDescent="0.3">
      <c r="A188" s="83" t="s">
        <v>230</v>
      </c>
      <c r="B188" s="190" t="s">
        <v>231</v>
      </c>
      <c r="C188" s="96" t="s">
        <v>30</v>
      </c>
      <c r="D188" s="96" t="s">
        <v>31</v>
      </c>
      <c r="E188" s="96" t="s">
        <v>32</v>
      </c>
      <c r="F188" s="96" t="s">
        <v>33</v>
      </c>
    </row>
    <row r="189" spans="1:8" x14ac:dyDescent="0.3">
      <c r="A189" s="268" t="s">
        <v>232</v>
      </c>
      <c r="B189" s="271" t="s">
        <v>46</v>
      </c>
      <c r="C189" s="274" t="s">
        <v>36</v>
      </c>
      <c r="D189" s="265" t="s">
        <v>37</v>
      </c>
      <c r="E189" s="265" t="s">
        <v>38</v>
      </c>
      <c r="F189" s="108" t="s">
        <v>233</v>
      </c>
    </row>
    <row r="190" spans="1:8" x14ac:dyDescent="0.3">
      <c r="A190" s="269"/>
      <c r="B190" s="272"/>
      <c r="C190" s="275"/>
      <c r="D190" s="266"/>
      <c r="E190" s="266"/>
      <c r="F190" s="109" t="s">
        <v>234</v>
      </c>
    </row>
    <row r="191" spans="1:8" x14ac:dyDescent="0.3">
      <c r="A191" s="270"/>
      <c r="B191" s="273"/>
      <c r="C191" s="276"/>
      <c r="D191" s="267"/>
      <c r="E191" s="267"/>
      <c r="F191" s="110" t="s">
        <v>235</v>
      </c>
    </row>
    <row r="192" spans="1:8" x14ac:dyDescent="0.3">
      <c r="A192" s="268" t="s">
        <v>232</v>
      </c>
      <c r="B192" s="271" t="s">
        <v>48</v>
      </c>
      <c r="C192" s="274" t="s">
        <v>49</v>
      </c>
      <c r="D192" s="265" t="s">
        <v>37</v>
      </c>
      <c r="E192" s="265" t="s">
        <v>38</v>
      </c>
      <c r="F192" s="111" t="s">
        <v>236</v>
      </c>
    </row>
    <row r="193" spans="1:6" x14ac:dyDescent="0.3">
      <c r="A193" s="269"/>
      <c r="B193" s="272"/>
      <c r="C193" s="275"/>
      <c r="D193" s="266"/>
      <c r="E193" s="266"/>
      <c r="F193" s="112" t="s">
        <v>237</v>
      </c>
    </row>
    <row r="194" spans="1:6" x14ac:dyDescent="0.3">
      <c r="A194" s="270"/>
      <c r="B194" s="273"/>
      <c r="C194" s="276"/>
      <c r="D194" s="267"/>
      <c r="E194" s="267"/>
      <c r="F194" s="113" t="s">
        <v>238</v>
      </c>
    </row>
    <row r="195" spans="1:6" ht="39" x14ac:dyDescent="0.3">
      <c r="A195" s="122" t="s">
        <v>232</v>
      </c>
      <c r="B195" s="21" t="s">
        <v>1852</v>
      </c>
      <c r="C195" s="129" t="s">
        <v>49</v>
      </c>
      <c r="D195" s="166" t="s">
        <v>37</v>
      </c>
      <c r="E195" s="166" t="s">
        <v>38</v>
      </c>
      <c r="F195" s="100" t="s">
        <v>1854</v>
      </c>
    </row>
    <row r="196" spans="1:6" ht="39" x14ac:dyDescent="0.3">
      <c r="A196" s="83" t="s">
        <v>239</v>
      </c>
      <c r="B196" s="190" t="s">
        <v>240</v>
      </c>
      <c r="C196" s="191" t="s">
        <v>30</v>
      </c>
      <c r="D196" s="192" t="s">
        <v>31</v>
      </c>
      <c r="E196" s="192" t="s">
        <v>32</v>
      </c>
      <c r="F196" s="114" t="s">
        <v>33</v>
      </c>
    </row>
    <row r="197" spans="1:6" x14ac:dyDescent="0.3">
      <c r="A197" s="268" t="s">
        <v>241</v>
      </c>
      <c r="B197" s="271" t="s">
        <v>46</v>
      </c>
      <c r="C197" s="274" t="s">
        <v>36</v>
      </c>
      <c r="D197" s="265" t="s">
        <v>37</v>
      </c>
      <c r="E197" s="265" t="s">
        <v>38</v>
      </c>
      <c r="F197" s="108" t="s">
        <v>233</v>
      </c>
    </row>
    <row r="198" spans="1:6" x14ac:dyDescent="0.3">
      <c r="A198" s="269"/>
      <c r="B198" s="272"/>
      <c r="C198" s="275"/>
      <c r="D198" s="266"/>
      <c r="E198" s="266"/>
      <c r="F198" s="109" t="s">
        <v>234</v>
      </c>
    </row>
    <row r="199" spans="1:6" x14ac:dyDescent="0.3">
      <c r="A199" s="270"/>
      <c r="B199" s="273"/>
      <c r="C199" s="276"/>
      <c r="D199" s="267"/>
      <c r="E199" s="267"/>
      <c r="F199" s="110" t="s">
        <v>235</v>
      </c>
    </row>
    <row r="200" spans="1:6" x14ac:dyDescent="0.3">
      <c r="A200" s="268" t="s">
        <v>241</v>
      </c>
      <c r="B200" s="271" t="s">
        <v>48</v>
      </c>
      <c r="C200" s="274" t="s">
        <v>49</v>
      </c>
      <c r="D200" s="265" t="s">
        <v>37</v>
      </c>
      <c r="E200" s="265" t="s">
        <v>38</v>
      </c>
      <c r="F200" s="111" t="s">
        <v>236</v>
      </c>
    </row>
    <row r="201" spans="1:6" x14ac:dyDescent="0.3">
      <c r="A201" s="269"/>
      <c r="B201" s="272"/>
      <c r="C201" s="275"/>
      <c r="D201" s="266"/>
      <c r="E201" s="266"/>
      <c r="F201" s="112" t="s">
        <v>237</v>
      </c>
    </row>
    <row r="202" spans="1:6" x14ac:dyDescent="0.3">
      <c r="A202" s="270"/>
      <c r="B202" s="273"/>
      <c r="C202" s="276"/>
      <c r="D202" s="267"/>
      <c r="E202" s="267"/>
      <c r="F202" s="113" t="s">
        <v>238</v>
      </c>
    </row>
    <row r="203" spans="1:6" ht="39" x14ac:dyDescent="0.3">
      <c r="A203" s="239" t="s">
        <v>241</v>
      </c>
      <c r="B203" s="21" t="s">
        <v>1852</v>
      </c>
      <c r="C203" s="129" t="s">
        <v>49</v>
      </c>
      <c r="D203" s="166" t="s">
        <v>37</v>
      </c>
      <c r="E203" s="166" t="s">
        <v>38</v>
      </c>
      <c r="F203" s="100" t="s">
        <v>1854</v>
      </c>
    </row>
    <row r="204" spans="1:6" ht="39" x14ac:dyDescent="0.3">
      <c r="A204" s="83" t="s">
        <v>152</v>
      </c>
      <c r="B204" s="190" t="s">
        <v>242</v>
      </c>
      <c r="C204" s="191" t="s">
        <v>30</v>
      </c>
      <c r="D204" s="192" t="s">
        <v>31</v>
      </c>
      <c r="E204" s="192" t="s">
        <v>32</v>
      </c>
      <c r="F204" s="114" t="s">
        <v>33</v>
      </c>
    </row>
    <row r="205" spans="1:6" x14ac:dyDescent="0.3">
      <c r="A205" s="268" t="s">
        <v>243</v>
      </c>
      <c r="B205" s="271" t="s">
        <v>46</v>
      </c>
      <c r="C205" s="274" t="s">
        <v>36</v>
      </c>
      <c r="D205" s="265" t="s">
        <v>37</v>
      </c>
      <c r="E205" s="265" t="s">
        <v>38</v>
      </c>
      <c r="F205" s="108" t="s">
        <v>233</v>
      </c>
    </row>
    <row r="206" spans="1:6" x14ac:dyDescent="0.3">
      <c r="A206" s="269"/>
      <c r="B206" s="272"/>
      <c r="C206" s="275"/>
      <c r="D206" s="266"/>
      <c r="E206" s="266"/>
      <c r="F206" s="109" t="s">
        <v>234</v>
      </c>
    </row>
    <row r="207" spans="1:6" x14ac:dyDescent="0.3">
      <c r="A207" s="270"/>
      <c r="B207" s="273"/>
      <c r="C207" s="276"/>
      <c r="D207" s="267"/>
      <c r="E207" s="267"/>
      <c r="F207" s="110" t="s">
        <v>235</v>
      </c>
    </row>
    <row r="208" spans="1:6" x14ac:dyDescent="0.3">
      <c r="A208" s="268" t="s">
        <v>243</v>
      </c>
      <c r="B208" s="271" t="s">
        <v>48</v>
      </c>
      <c r="C208" s="274" t="s">
        <v>49</v>
      </c>
      <c r="D208" s="265" t="s">
        <v>37</v>
      </c>
      <c r="E208" s="265" t="s">
        <v>38</v>
      </c>
      <c r="F208" s="111" t="s">
        <v>236</v>
      </c>
    </row>
    <row r="209" spans="1:6" x14ac:dyDescent="0.3">
      <c r="A209" s="269"/>
      <c r="B209" s="272"/>
      <c r="C209" s="275"/>
      <c r="D209" s="266"/>
      <c r="E209" s="266"/>
      <c r="F209" s="112" t="s">
        <v>237</v>
      </c>
    </row>
    <row r="210" spans="1:6" x14ac:dyDescent="0.3">
      <c r="A210" s="270"/>
      <c r="B210" s="273"/>
      <c r="C210" s="276"/>
      <c r="D210" s="267"/>
      <c r="E210" s="267"/>
      <c r="F210" s="113" t="s">
        <v>238</v>
      </c>
    </row>
    <row r="211" spans="1:6" ht="39" x14ac:dyDescent="0.3">
      <c r="A211" s="239" t="s">
        <v>243</v>
      </c>
      <c r="B211" s="21" t="s">
        <v>1852</v>
      </c>
      <c r="C211" s="129" t="s">
        <v>49</v>
      </c>
      <c r="D211" s="166" t="s">
        <v>37</v>
      </c>
      <c r="E211" s="166" t="s">
        <v>38</v>
      </c>
      <c r="F211" s="100" t="s">
        <v>1854</v>
      </c>
    </row>
    <row r="212" spans="1:6" ht="39" x14ac:dyDescent="0.3">
      <c r="A212" s="83" t="s">
        <v>152</v>
      </c>
      <c r="B212" s="190" t="s">
        <v>244</v>
      </c>
      <c r="C212" s="191" t="s">
        <v>30</v>
      </c>
      <c r="D212" s="192" t="s">
        <v>31</v>
      </c>
      <c r="E212" s="192" t="s">
        <v>32</v>
      </c>
      <c r="F212" s="114" t="s">
        <v>33</v>
      </c>
    </row>
    <row r="213" spans="1:6" x14ac:dyDescent="0.3">
      <c r="A213" s="268" t="s">
        <v>245</v>
      </c>
      <c r="B213" s="271" t="s">
        <v>46</v>
      </c>
      <c r="C213" s="274" t="s">
        <v>36</v>
      </c>
      <c r="D213" s="265" t="s">
        <v>37</v>
      </c>
      <c r="E213" s="265" t="s">
        <v>38</v>
      </c>
      <c r="F213" s="108" t="s">
        <v>233</v>
      </c>
    </row>
    <row r="214" spans="1:6" x14ac:dyDescent="0.3">
      <c r="A214" s="269"/>
      <c r="B214" s="272"/>
      <c r="C214" s="275"/>
      <c r="D214" s="266"/>
      <c r="E214" s="266"/>
      <c r="F214" s="109" t="s">
        <v>234</v>
      </c>
    </row>
    <row r="215" spans="1:6" x14ac:dyDescent="0.3">
      <c r="A215" s="270"/>
      <c r="B215" s="273"/>
      <c r="C215" s="276"/>
      <c r="D215" s="267"/>
      <c r="E215" s="267"/>
      <c r="F215" s="110" t="s">
        <v>235</v>
      </c>
    </row>
    <row r="216" spans="1:6" x14ac:dyDescent="0.3">
      <c r="A216" s="268" t="s">
        <v>245</v>
      </c>
      <c r="B216" s="271" t="s">
        <v>48</v>
      </c>
      <c r="C216" s="274" t="s">
        <v>49</v>
      </c>
      <c r="D216" s="265" t="s">
        <v>37</v>
      </c>
      <c r="E216" s="265" t="s">
        <v>38</v>
      </c>
      <c r="F216" s="111" t="s">
        <v>236</v>
      </c>
    </row>
    <row r="217" spans="1:6" x14ac:dyDescent="0.3">
      <c r="A217" s="269"/>
      <c r="B217" s="272"/>
      <c r="C217" s="275"/>
      <c r="D217" s="266"/>
      <c r="E217" s="266"/>
      <c r="F217" s="112" t="s">
        <v>237</v>
      </c>
    </row>
    <row r="218" spans="1:6" x14ac:dyDescent="0.3">
      <c r="A218" s="270"/>
      <c r="B218" s="273"/>
      <c r="C218" s="276"/>
      <c r="D218" s="267"/>
      <c r="E218" s="267"/>
      <c r="F218" s="113" t="s">
        <v>238</v>
      </c>
    </row>
    <row r="219" spans="1:6" ht="39" x14ac:dyDescent="0.3">
      <c r="A219" s="239" t="s">
        <v>245</v>
      </c>
      <c r="B219" s="21" t="s">
        <v>1852</v>
      </c>
      <c r="C219" s="129" t="s">
        <v>49</v>
      </c>
      <c r="D219" s="166" t="s">
        <v>37</v>
      </c>
      <c r="E219" s="166" t="s">
        <v>38</v>
      </c>
      <c r="F219" s="100" t="s">
        <v>1854</v>
      </c>
    </row>
    <row r="220" spans="1:6" ht="39" x14ac:dyDescent="0.3">
      <c r="A220" s="83" t="s">
        <v>246</v>
      </c>
      <c r="B220" s="190" t="s">
        <v>1857</v>
      </c>
      <c r="C220" s="191" t="s">
        <v>30</v>
      </c>
      <c r="D220" s="192" t="s">
        <v>31</v>
      </c>
      <c r="E220" s="192" t="s">
        <v>32</v>
      </c>
      <c r="F220" s="114" t="s">
        <v>33</v>
      </c>
    </row>
    <row r="221" spans="1:6" x14ac:dyDescent="0.3">
      <c r="A221" s="268" t="s">
        <v>1858</v>
      </c>
      <c r="B221" s="271" t="s">
        <v>46</v>
      </c>
      <c r="C221" s="274" t="s">
        <v>36</v>
      </c>
      <c r="D221" s="265" t="s">
        <v>37</v>
      </c>
      <c r="E221" s="265" t="s">
        <v>38</v>
      </c>
      <c r="F221" s="108" t="s">
        <v>233</v>
      </c>
    </row>
    <row r="222" spans="1:6" x14ac:dyDescent="0.3">
      <c r="A222" s="269"/>
      <c r="B222" s="272"/>
      <c r="C222" s="275"/>
      <c r="D222" s="266"/>
      <c r="E222" s="266"/>
      <c r="F222" s="109" t="s">
        <v>234</v>
      </c>
    </row>
    <row r="223" spans="1:6" x14ac:dyDescent="0.3">
      <c r="A223" s="270"/>
      <c r="B223" s="273"/>
      <c r="C223" s="276"/>
      <c r="D223" s="267"/>
      <c r="E223" s="267"/>
      <c r="F223" s="110" t="s">
        <v>235</v>
      </c>
    </row>
    <row r="224" spans="1:6" x14ac:dyDescent="0.3">
      <c r="A224" s="268" t="s">
        <v>1859</v>
      </c>
      <c r="B224" s="271" t="s">
        <v>48</v>
      </c>
      <c r="C224" s="274" t="s">
        <v>49</v>
      </c>
      <c r="D224" s="265" t="s">
        <v>37</v>
      </c>
      <c r="E224" s="265" t="s">
        <v>38</v>
      </c>
      <c r="F224" s="111" t="s">
        <v>236</v>
      </c>
    </row>
    <row r="225" spans="1:6" x14ac:dyDescent="0.3">
      <c r="A225" s="269"/>
      <c r="B225" s="272"/>
      <c r="C225" s="275"/>
      <c r="D225" s="266"/>
      <c r="E225" s="266"/>
      <c r="F225" s="112" t="s">
        <v>237</v>
      </c>
    </row>
    <row r="226" spans="1:6" x14ac:dyDescent="0.3">
      <c r="A226" s="270"/>
      <c r="B226" s="273"/>
      <c r="C226" s="276"/>
      <c r="D226" s="267"/>
      <c r="E226" s="267"/>
      <c r="F226" s="113" t="s">
        <v>238</v>
      </c>
    </row>
    <row r="227" spans="1:6" ht="39" x14ac:dyDescent="0.3">
      <c r="A227" s="239" t="s">
        <v>1859</v>
      </c>
      <c r="B227" s="21" t="s">
        <v>1852</v>
      </c>
      <c r="C227" s="129" t="s">
        <v>49</v>
      </c>
      <c r="D227" s="166" t="s">
        <v>37</v>
      </c>
      <c r="E227" s="166" t="s">
        <v>38</v>
      </c>
      <c r="F227" s="100" t="s">
        <v>1854</v>
      </c>
    </row>
    <row r="228" spans="1:6" ht="39" x14ac:dyDescent="0.3">
      <c r="A228" s="83" t="s">
        <v>246</v>
      </c>
      <c r="B228" s="190" t="s">
        <v>247</v>
      </c>
      <c r="C228" s="191" t="s">
        <v>30</v>
      </c>
      <c r="D228" s="192" t="s">
        <v>31</v>
      </c>
      <c r="E228" s="192" t="s">
        <v>32</v>
      </c>
      <c r="F228" s="114" t="s">
        <v>33</v>
      </c>
    </row>
    <row r="229" spans="1:6" x14ac:dyDescent="0.3">
      <c r="A229" s="268" t="s">
        <v>248</v>
      </c>
      <c r="B229" s="271" t="s">
        <v>46</v>
      </c>
      <c r="C229" s="274" t="s">
        <v>36</v>
      </c>
      <c r="D229" s="265" t="s">
        <v>37</v>
      </c>
      <c r="E229" s="265" t="s">
        <v>38</v>
      </c>
      <c r="F229" s="108" t="s">
        <v>233</v>
      </c>
    </row>
    <row r="230" spans="1:6" x14ac:dyDescent="0.3">
      <c r="A230" s="269"/>
      <c r="B230" s="272"/>
      <c r="C230" s="275"/>
      <c r="D230" s="266"/>
      <c r="E230" s="266"/>
      <c r="F230" s="109" t="s">
        <v>234</v>
      </c>
    </row>
    <row r="231" spans="1:6" x14ac:dyDescent="0.3">
      <c r="A231" s="270"/>
      <c r="B231" s="273"/>
      <c r="C231" s="276"/>
      <c r="D231" s="267"/>
      <c r="E231" s="267"/>
      <c r="F231" s="110" t="s">
        <v>235</v>
      </c>
    </row>
    <row r="232" spans="1:6" x14ac:dyDescent="0.3">
      <c r="A232" s="268" t="s">
        <v>248</v>
      </c>
      <c r="B232" s="271" t="s">
        <v>48</v>
      </c>
      <c r="C232" s="274" t="s">
        <v>49</v>
      </c>
      <c r="D232" s="265" t="s">
        <v>37</v>
      </c>
      <c r="E232" s="265" t="s">
        <v>38</v>
      </c>
      <c r="F232" s="111" t="s">
        <v>236</v>
      </c>
    </row>
    <row r="233" spans="1:6" x14ac:dyDescent="0.3">
      <c r="A233" s="269"/>
      <c r="B233" s="272"/>
      <c r="C233" s="275"/>
      <c r="D233" s="266"/>
      <c r="E233" s="266"/>
      <c r="F233" s="112" t="s">
        <v>237</v>
      </c>
    </row>
    <row r="234" spans="1:6" x14ac:dyDescent="0.3">
      <c r="A234" s="270"/>
      <c r="B234" s="273"/>
      <c r="C234" s="276"/>
      <c r="D234" s="267"/>
      <c r="E234" s="267"/>
      <c r="F234" s="113" t="s">
        <v>238</v>
      </c>
    </row>
    <row r="235" spans="1:6" ht="39" x14ac:dyDescent="0.3">
      <c r="A235" s="239" t="s">
        <v>248</v>
      </c>
      <c r="B235" s="21" t="s">
        <v>1852</v>
      </c>
      <c r="C235" s="129" t="s">
        <v>49</v>
      </c>
      <c r="D235" s="166" t="s">
        <v>37</v>
      </c>
      <c r="E235" s="166" t="s">
        <v>38</v>
      </c>
      <c r="F235" s="100" t="s">
        <v>1854</v>
      </c>
    </row>
    <row r="236" spans="1:6" ht="39" x14ac:dyDescent="0.3">
      <c r="A236" s="83" t="s">
        <v>239</v>
      </c>
      <c r="B236" s="190" t="s">
        <v>249</v>
      </c>
      <c r="C236" s="191" t="s">
        <v>30</v>
      </c>
      <c r="D236" s="192" t="s">
        <v>31</v>
      </c>
      <c r="E236" s="192" t="s">
        <v>32</v>
      </c>
      <c r="F236" s="114" t="s">
        <v>33</v>
      </c>
    </row>
    <row r="237" spans="1:6" x14ac:dyDescent="0.3">
      <c r="A237" s="268" t="s">
        <v>1860</v>
      </c>
      <c r="B237" s="271" t="s">
        <v>46</v>
      </c>
      <c r="C237" s="274" t="s">
        <v>36</v>
      </c>
      <c r="D237" s="265" t="s">
        <v>37</v>
      </c>
      <c r="E237" s="265" t="s">
        <v>38</v>
      </c>
      <c r="F237" s="108" t="s">
        <v>233</v>
      </c>
    </row>
    <row r="238" spans="1:6" x14ac:dyDescent="0.3">
      <c r="A238" s="269"/>
      <c r="B238" s="272"/>
      <c r="C238" s="275"/>
      <c r="D238" s="266"/>
      <c r="E238" s="266"/>
      <c r="F238" s="109" t="s">
        <v>234</v>
      </c>
    </row>
    <row r="239" spans="1:6" x14ac:dyDescent="0.3">
      <c r="A239" s="270"/>
      <c r="B239" s="273"/>
      <c r="C239" s="276"/>
      <c r="D239" s="267"/>
      <c r="E239" s="267"/>
      <c r="F239" s="110" t="s">
        <v>235</v>
      </c>
    </row>
    <row r="240" spans="1:6" x14ac:dyDescent="0.3">
      <c r="A240" s="268" t="s">
        <v>1860</v>
      </c>
      <c r="B240" s="271" t="s">
        <v>48</v>
      </c>
      <c r="C240" s="274" t="s">
        <v>49</v>
      </c>
      <c r="D240" s="265" t="s">
        <v>37</v>
      </c>
      <c r="E240" s="265" t="s">
        <v>38</v>
      </c>
      <c r="F240" s="111" t="s">
        <v>236</v>
      </c>
    </row>
    <row r="241" spans="1:252" x14ac:dyDescent="0.3">
      <c r="A241" s="269"/>
      <c r="B241" s="272"/>
      <c r="C241" s="275"/>
      <c r="D241" s="266"/>
      <c r="E241" s="266"/>
      <c r="F241" s="112" t="s">
        <v>237</v>
      </c>
    </row>
    <row r="242" spans="1:252" x14ac:dyDescent="0.3">
      <c r="A242" s="270"/>
      <c r="B242" s="273"/>
      <c r="C242" s="276"/>
      <c r="D242" s="267"/>
      <c r="E242" s="267"/>
      <c r="F242" s="113" t="s">
        <v>238</v>
      </c>
    </row>
    <row r="243" spans="1:252" ht="39" x14ac:dyDescent="0.3">
      <c r="A243" s="239" t="s">
        <v>1860</v>
      </c>
      <c r="B243" s="21" t="s">
        <v>1852</v>
      </c>
      <c r="C243" s="129" t="s">
        <v>49</v>
      </c>
      <c r="D243" s="166" t="s">
        <v>37</v>
      </c>
      <c r="E243" s="166" t="s">
        <v>38</v>
      </c>
      <c r="F243" s="100" t="s">
        <v>1854</v>
      </c>
    </row>
    <row r="244" spans="1:252" ht="39" x14ac:dyDescent="0.3">
      <c r="A244" s="83" t="s">
        <v>239</v>
      </c>
      <c r="B244" s="190" t="s">
        <v>250</v>
      </c>
      <c r="C244" s="191" t="s">
        <v>30</v>
      </c>
      <c r="D244" s="192" t="s">
        <v>31</v>
      </c>
      <c r="E244" s="192" t="s">
        <v>32</v>
      </c>
      <c r="F244" s="114" t="s">
        <v>33</v>
      </c>
    </row>
    <row r="245" spans="1:252" x14ac:dyDescent="0.3">
      <c r="A245" s="268" t="s">
        <v>251</v>
      </c>
      <c r="B245" s="271" t="s">
        <v>46</v>
      </c>
      <c r="C245" s="274" t="s">
        <v>36</v>
      </c>
      <c r="D245" s="265" t="s">
        <v>37</v>
      </c>
      <c r="E245" s="265" t="s">
        <v>38</v>
      </c>
      <c r="F245" s="108" t="s">
        <v>233</v>
      </c>
    </row>
    <row r="246" spans="1:252" x14ac:dyDescent="0.3">
      <c r="A246" s="269"/>
      <c r="B246" s="272"/>
      <c r="C246" s="275"/>
      <c r="D246" s="266"/>
      <c r="E246" s="266"/>
      <c r="F246" s="109" t="s">
        <v>234</v>
      </c>
    </row>
    <row r="247" spans="1:252" x14ac:dyDescent="0.3">
      <c r="A247" s="270"/>
      <c r="B247" s="273"/>
      <c r="C247" s="276"/>
      <c r="D247" s="267"/>
      <c r="E247" s="267"/>
      <c r="F247" s="110" t="s">
        <v>235</v>
      </c>
    </row>
    <row r="248" spans="1:252" x14ac:dyDescent="0.3">
      <c r="A248" s="268" t="s">
        <v>251</v>
      </c>
      <c r="B248" s="271" t="s">
        <v>48</v>
      </c>
      <c r="C248" s="274" t="s">
        <v>49</v>
      </c>
      <c r="D248" s="265" t="s">
        <v>37</v>
      </c>
      <c r="E248" s="265" t="s">
        <v>38</v>
      </c>
      <c r="F248" s="111" t="s">
        <v>236</v>
      </c>
    </row>
    <row r="249" spans="1:252" x14ac:dyDescent="0.3">
      <c r="A249" s="269"/>
      <c r="B249" s="272"/>
      <c r="C249" s="275"/>
      <c r="D249" s="266"/>
      <c r="E249" s="266"/>
      <c r="F249" s="112" t="s">
        <v>237</v>
      </c>
    </row>
    <row r="250" spans="1:252" x14ac:dyDescent="0.3">
      <c r="A250" s="270"/>
      <c r="B250" s="273"/>
      <c r="C250" s="276"/>
      <c r="D250" s="267"/>
      <c r="E250" s="267"/>
      <c r="F250" s="113" t="s">
        <v>238</v>
      </c>
    </row>
    <row r="251" spans="1:252" ht="39" x14ac:dyDescent="0.3">
      <c r="A251" s="239" t="s">
        <v>251</v>
      </c>
      <c r="B251" s="21" t="s">
        <v>1852</v>
      </c>
      <c r="C251" s="129" t="s">
        <v>49</v>
      </c>
      <c r="D251" s="166" t="s">
        <v>37</v>
      </c>
      <c r="E251" s="166" t="s">
        <v>38</v>
      </c>
      <c r="F251" s="100" t="s">
        <v>1854</v>
      </c>
    </row>
    <row r="252" spans="1:252" ht="39" x14ac:dyDescent="0.3">
      <c r="A252" s="83" t="s">
        <v>239</v>
      </c>
      <c r="B252" s="190" t="s">
        <v>252</v>
      </c>
      <c r="C252" s="191" t="s">
        <v>30</v>
      </c>
      <c r="D252" s="192" t="s">
        <v>31</v>
      </c>
      <c r="E252" s="192" t="s">
        <v>32</v>
      </c>
      <c r="F252" s="114" t="s">
        <v>33</v>
      </c>
    </row>
    <row r="253" spans="1:252" ht="39" x14ac:dyDescent="0.3">
      <c r="A253" s="127" t="s">
        <v>253</v>
      </c>
      <c r="B253" s="193" t="s">
        <v>46</v>
      </c>
      <c r="C253" s="194" t="s">
        <v>36</v>
      </c>
      <c r="D253" s="194" t="s">
        <v>37</v>
      </c>
      <c r="E253" s="194" t="s">
        <v>38</v>
      </c>
      <c r="F253" s="109" t="s">
        <v>62</v>
      </c>
    </row>
    <row r="254" spans="1:252" s="100" customFormat="1" ht="39" x14ac:dyDescent="0.3">
      <c r="A254" s="127" t="s">
        <v>253</v>
      </c>
      <c r="B254" s="195" t="s">
        <v>48</v>
      </c>
      <c r="C254" s="194" t="s">
        <v>36</v>
      </c>
      <c r="D254" s="194" t="s">
        <v>37</v>
      </c>
      <c r="E254" s="194" t="s">
        <v>38</v>
      </c>
      <c r="F254" s="115" t="s">
        <v>254</v>
      </c>
      <c r="G254" s="9"/>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c r="AH254" s="25"/>
      <c r="AI254" s="25"/>
      <c r="AJ254" s="25"/>
      <c r="AK254" s="25"/>
      <c r="AL254" s="25"/>
      <c r="AM254" s="25"/>
      <c r="AN254" s="25"/>
      <c r="AO254" s="25"/>
      <c r="AP254" s="25"/>
      <c r="AQ254" s="25"/>
      <c r="AR254" s="25"/>
      <c r="AS254" s="25"/>
      <c r="AT254" s="25"/>
      <c r="AU254" s="25"/>
      <c r="AV254" s="25"/>
      <c r="AW254" s="25"/>
      <c r="AX254" s="25"/>
      <c r="AY254" s="25"/>
      <c r="AZ254" s="25"/>
      <c r="BA254" s="25"/>
      <c r="BB254" s="25"/>
      <c r="BC254" s="25"/>
      <c r="BD254" s="25"/>
      <c r="BE254" s="25"/>
      <c r="BF254" s="25"/>
      <c r="BG254" s="25"/>
      <c r="BH254" s="25"/>
      <c r="BI254" s="25"/>
      <c r="BJ254" s="25"/>
      <c r="BK254" s="25"/>
      <c r="BL254" s="25"/>
      <c r="BM254" s="25"/>
      <c r="BN254" s="25"/>
      <c r="BO254" s="25"/>
      <c r="BP254" s="25"/>
      <c r="BQ254" s="25"/>
      <c r="BR254" s="25"/>
      <c r="BS254" s="25"/>
      <c r="BT254" s="25"/>
      <c r="BU254" s="25"/>
      <c r="BV254" s="25"/>
      <c r="BW254" s="25"/>
      <c r="BX254" s="25"/>
      <c r="BY254" s="25"/>
      <c r="BZ254" s="25"/>
      <c r="CA254" s="25"/>
      <c r="CB254" s="25"/>
      <c r="CC254" s="25"/>
      <c r="CD254" s="25"/>
      <c r="CE254" s="25"/>
      <c r="CF254" s="25"/>
      <c r="CG254" s="25"/>
      <c r="CH254" s="25"/>
      <c r="CI254" s="25"/>
      <c r="CJ254" s="25"/>
      <c r="CK254" s="25"/>
      <c r="CL254" s="25"/>
      <c r="CM254" s="25"/>
      <c r="CN254" s="25"/>
      <c r="CO254" s="25"/>
      <c r="CP254" s="25"/>
      <c r="CQ254" s="25"/>
      <c r="CR254" s="25"/>
      <c r="CS254" s="25"/>
      <c r="CT254" s="25"/>
      <c r="CU254" s="25"/>
      <c r="CV254" s="25"/>
      <c r="CW254" s="25"/>
      <c r="CX254" s="25"/>
      <c r="CY254" s="25"/>
      <c r="CZ254" s="25"/>
      <c r="DA254" s="25"/>
      <c r="DB254" s="25"/>
      <c r="DC254" s="25"/>
      <c r="DD254" s="25"/>
      <c r="DE254" s="25"/>
      <c r="DF254" s="25"/>
      <c r="DG254" s="25"/>
      <c r="DH254" s="25"/>
      <c r="DI254" s="25"/>
      <c r="DJ254" s="25"/>
      <c r="DK254" s="25"/>
      <c r="DL254" s="25"/>
      <c r="DM254" s="25"/>
      <c r="DN254" s="25"/>
      <c r="DO254" s="25"/>
      <c r="DP254" s="25"/>
      <c r="DQ254" s="25"/>
      <c r="DR254" s="25"/>
      <c r="DS254" s="25"/>
      <c r="DT254" s="25"/>
      <c r="DU254" s="25"/>
      <c r="DV254" s="25"/>
      <c r="DW254" s="25"/>
      <c r="DX254" s="25"/>
      <c r="DY254" s="25"/>
      <c r="DZ254" s="25"/>
      <c r="EA254" s="25"/>
      <c r="EB254" s="25"/>
      <c r="EC254" s="25"/>
      <c r="ED254" s="25"/>
      <c r="EE254" s="25"/>
      <c r="EF254" s="25"/>
      <c r="EG254" s="25"/>
      <c r="EH254" s="25"/>
      <c r="EI254" s="25"/>
      <c r="EJ254" s="25"/>
      <c r="EK254" s="25"/>
      <c r="EL254" s="25"/>
      <c r="EM254" s="25"/>
      <c r="EN254" s="25"/>
      <c r="EO254" s="25"/>
      <c r="EP254" s="25"/>
      <c r="EQ254" s="25"/>
      <c r="ER254" s="25"/>
      <c r="ES254" s="25"/>
      <c r="ET254" s="25"/>
      <c r="EU254" s="25"/>
      <c r="EV254" s="25"/>
      <c r="EW254" s="25"/>
      <c r="EX254" s="25"/>
      <c r="EY254" s="25"/>
      <c r="EZ254" s="25"/>
      <c r="FA254" s="25"/>
      <c r="FB254" s="25"/>
      <c r="FC254" s="25"/>
      <c r="FD254" s="25"/>
      <c r="FE254" s="25"/>
      <c r="FF254" s="25"/>
      <c r="FG254" s="25"/>
      <c r="FH254" s="25"/>
      <c r="FI254" s="25"/>
      <c r="FJ254" s="25"/>
      <c r="FK254" s="25"/>
      <c r="FL254" s="25"/>
      <c r="FM254" s="25"/>
      <c r="FN254" s="25"/>
      <c r="FO254" s="25"/>
      <c r="FP254" s="25"/>
      <c r="FQ254" s="25"/>
      <c r="FR254" s="25"/>
      <c r="FS254" s="25"/>
      <c r="FT254" s="25"/>
      <c r="FU254" s="25"/>
      <c r="FV254" s="25"/>
      <c r="FW254" s="25"/>
      <c r="FX254" s="25"/>
      <c r="FY254" s="25"/>
      <c r="FZ254" s="25"/>
      <c r="GA254" s="25"/>
      <c r="GB254" s="25"/>
      <c r="GC254" s="25"/>
      <c r="GD254" s="25"/>
      <c r="GE254" s="25"/>
      <c r="GF254" s="25"/>
      <c r="GG254" s="25"/>
      <c r="GH254" s="25"/>
      <c r="GI254" s="25"/>
      <c r="GJ254" s="25"/>
      <c r="GK254" s="25"/>
      <c r="GL254" s="25"/>
      <c r="GM254" s="25"/>
      <c r="GN254" s="25"/>
      <c r="GO254" s="25"/>
      <c r="GP254" s="25"/>
      <c r="GQ254" s="25"/>
      <c r="GR254" s="25"/>
      <c r="GS254" s="25"/>
      <c r="GT254" s="25"/>
      <c r="GU254" s="25"/>
      <c r="GV254" s="25"/>
      <c r="GW254" s="25"/>
      <c r="GX254" s="25"/>
      <c r="GY254" s="25"/>
      <c r="GZ254" s="25"/>
      <c r="HA254" s="25"/>
      <c r="HB254" s="25"/>
      <c r="HC254" s="25"/>
      <c r="HD254" s="25"/>
      <c r="HE254" s="25"/>
      <c r="HF254" s="25"/>
      <c r="HG254" s="25"/>
      <c r="HH254" s="25"/>
      <c r="HI254" s="25"/>
      <c r="HJ254" s="25"/>
      <c r="HK254" s="25"/>
      <c r="HL254" s="25"/>
      <c r="HM254" s="25"/>
      <c r="HN254" s="25"/>
      <c r="HO254" s="25"/>
      <c r="HP254" s="25"/>
      <c r="HQ254" s="25"/>
      <c r="HR254" s="25"/>
      <c r="HS254" s="25"/>
      <c r="HT254" s="25"/>
      <c r="HU254" s="25"/>
      <c r="HV254" s="25"/>
      <c r="HW254" s="25"/>
      <c r="HX254" s="25"/>
      <c r="HY254" s="25"/>
      <c r="HZ254" s="25"/>
      <c r="IA254" s="25"/>
      <c r="IB254" s="25"/>
      <c r="IC254" s="25"/>
      <c r="ID254" s="25"/>
      <c r="IE254" s="25"/>
      <c r="IF254" s="25"/>
      <c r="IG254" s="25"/>
      <c r="IH254" s="25"/>
      <c r="II254" s="25"/>
      <c r="IJ254" s="25"/>
      <c r="IK254" s="25"/>
      <c r="IL254" s="25"/>
      <c r="IM254" s="25"/>
      <c r="IN254" s="25"/>
      <c r="IO254" s="25"/>
      <c r="IP254" s="25"/>
      <c r="IQ254" s="25"/>
      <c r="IR254" s="25"/>
    </row>
    <row r="255" spans="1:252" ht="39" x14ac:dyDescent="0.3">
      <c r="A255" s="127" t="s">
        <v>253</v>
      </c>
      <c r="B255" s="21" t="s">
        <v>1852</v>
      </c>
      <c r="C255" s="129" t="s">
        <v>49</v>
      </c>
      <c r="D255" s="166" t="s">
        <v>37</v>
      </c>
      <c r="E255" s="166" t="s">
        <v>38</v>
      </c>
      <c r="F255" s="100" t="s">
        <v>1854</v>
      </c>
    </row>
    <row r="256" spans="1:252" ht="39" x14ac:dyDescent="0.3">
      <c r="A256" s="83" t="s">
        <v>239</v>
      </c>
      <c r="B256" s="196" t="s">
        <v>255</v>
      </c>
      <c r="C256" s="191" t="s">
        <v>30</v>
      </c>
      <c r="D256" s="192" t="s">
        <v>31</v>
      </c>
      <c r="E256" s="192" t="s">
        <v>32</v>
      </c>
      <c r="F256" s="114" t="s">
        <v>33</v>
      </c>
    </row>
    <row r="257" spans="1:6" x14ac:dyDescent="0.3">
      <c r="A257" s="268" t="s">
        <v>1861</v>
      </c>
      <c r="B257" s="271" t="s">
        <v>46</v>
      </c>
      <c r="C257" s="274" t="s">
        <v>36</v>
      </c>
      <c r="D257" s="265" t="s">
        <v>37</v>
      </c>
      <c r="E257" s="265" t="s">
        <v>38</v>
      </c>
      <c r="F257" s="108" t="s">
        <v>233</v>
      </c>
    </row>
    <row r="258" spans="1:6" x14ac:dyDescent="0.3">
      <c r="A258" s="269"/>
      <c r="B258" s="272"/>
      <c r="C258" s="275"/>
      <c r="D258" s="266"/>
      <c r="E258" s="266"/>
      <c r="F258" s="109" t="s">
        <v>234</v>
      </c>
    </row>
    <row r="259" spans="1:6" x14ac:dyDescent="0.3">
      <c r="A259" s="270"/>
      <c r="B259" s="273"/>
      <c r="C259" s="276"/>
      <c r="D259" s="267"/>
      <c r="E259" s="267"/>
      <c r="F259" s="110" t="s">
        <v>235</v>
      </c>
    </row>
    <row r="260" spans="1:6" x14ac:dyDescent="0.3">
      <c r="A260" s="268" t="s">
        <v>1861</v>
      </c>
      <c r="B260" s="271" t="s">
        <v>48</v>
      </c>
      <c r="C260" s="274" t="s">
        <v>49</v>
      </c>
      <c r="D260" s="265" t="s">
        <v>37</v>
      </c>
      <c r="E260" s="265" t="s">
        <v>38</v>
      </c>
      <c r="F260" s="111" t="s">
        <v>236</v>
      </c>
    </row>
    <row r="261" spans="1:6" x14ac:dyDescent="0.3">
      <c r="A261" s="269"/>
      <c r="B261" s="272"/>
      <c r="C261" s="275"/>
      <c r="D261" s="266"/>
      <c r="E261" s="266"/>
      <c r="F261" s="112" t="s">
        <v>237</v>
      </c>
    </row>
    <row r="262" spans="1:6" x14ac:dyDescent="0.3">
      <c r="A262" s="270"/>
      <c r="B262" s="273"/>
      <c r="C262" s="276"/>
      <c r="D262" s="267"/>
      <c r="E262" s="267"/>
      <c r="F262" s="113" t="s">
        <v>238</v>
      </c>
    </row>
    <row r="263" spans="1:6" ht="39" x14ac:dyDescent="0.3">
      <c r="A263" s="239" t="s">
        <v>1861</v>
      </c>
      <c r="B263" s="21" t="s">
        <v>1852</v>
      </c>
      <c r="C263" s="129" t="s">
        <v>49</v>
      </c>
      <c r="D263" s="166" t="s">
        <v>37</v>
      </c>
      <c r="E263" s="166" t="s">
        <v>38</v>
      </c>
      <c r="F263" s="100" t="s">
        <v>1854</v>
      </c>
    </row>
    <row r="264" spans="1:6" ht="39" x14ac:dyDescent="0.3">
      <c r="A264" s="83" t="s">
        <v>239</v>
      </c>
      <c r="B264" s="190" t="s">
        <v>256</v>
      </c>
      <c r="C264" s="191" t="s">
        <v>30</v>
      </c>
      <c r="D264" s="192" t="s">
        <v>31</v>
      </c>
      <c r="E264" s="192" t="s">
        <v>32</v>
      </c>
      <c r="F264" s="114" t="s">
        <v>33</v>
      </c>
    </row>
    <row r="265" spans="1:6" x14ac:dyDescent="0.3">
      <c r="A265" s="268" t="s">
        <v>1862</v>
      </c>
      <c r="B265" s="271" t="s">
        <v>46</v>
      </c>
      <c r="C265" s="274" t="s">
        <v>36</v>
      </c>
      <c r="D265" s="265" t="s">
        <v>37</v>
      </c>
      <c r="E265" s="265" t="s">
        <v>38</v>
      </c>
      <c r="F265" s="108" t="s">
        <v>233</v>
      </c>
    </row>
    <row r="266" spans="1:6" x14ac:dyDescent="0.3">
      <c r="A266" s="269"/>
      <c r="B266" s="272"/>
      <c r="C266" s="275"/>
      <c r="D266" s="266"/>
      <c r="E266" s="266"/>
      <c r="F266" s="109" t="s">
        <v>234</v>
      </c>
    </row>
    <row r="267" spans="1:6" x14ac:dyDescent="0.3">
      <c r="A267" s="270"/>
      <c r="B267" s="273"/>
      <c r="C267" s="276"/>
      <c r="D267" s="267"/>
      <c r="E267" s="267"/>
      <c r="F267" s="110" t="s">
        <v>235</v>
      </c>
    </row>
    <row r="268" spans="1:6" x14ac:dyDescent="0.3">
      <c r="A268" s="268" t="s">
        <v>1862</v>
      </c>
      <c r="B268" s="271" t="s">
        <v>48</v>
      </c>
      <c r="C268" s="274" t="s">
        <v>49</v>
      </c>
      <c r="D268" s="265" t="s">
        <v>37</v>
      </c>
      <c r="E268" s="265" t="s">
        <v>38</v>
      </c>
      <c r="F268" s="111" t="s">
        <v>236</v>
      </c>
    </row>
    <row r="269" spans="1:6" x14ac:dyDescent="0.3">
      <c r="A269" s="269"/>
      <c r="B269" s="272"/>
      <c r="C269" s="275"/>
      <c r="D269" s="266"/>
      <c r="E269" s="266"/>
      <c r="F269" s="112" t="s">
        <v>237</v>
      </c>
    </row>
    <row r="270" spans="1:6" x14ac:dyDescent="0.3">
      <c r="A270" s="270"/>
      <c r="B270" s="273"/>
      <c r="C270" s="276"/>
      <c r="D270" s="267"/>
      <c r="E270" s="267"/>
      <c r="F270" s="113" t="s">
        <v>238</v>
      </c>
    </row>
    <row r="271" spans="1:6" ht="39" x14ac:dyDescent="0.3">
      <c r="A271" s="239" t="s">
        <v>1862</v>
      </c>
      <c r="B271" s="21" t="s">
        <v>1852</v>
      </c>
      <c r="C271" s="129" t="s">
        <v>49</v>
      </c>
      <c r="D271" s="166" t="s">
        <v>37</v>
      </c>
      <c r="E271" s="166" t="s">
        <v>38</v>
      </c>
      <c r="F271" s="100" t="s">
        <v>1854</v>
      </c>
    </row>
    <row r="272" spans="1:6" ht="39" x14ac:dyDescent="0.3">
      <c r="A272" s="83" t="s">
        <v>1703</v>
      </c>
      <c r="B272" s="196" t="s">
        <v>257</v>
      </c>
      <c r="C272" s="191" t="s">
        <v>30</v>
      </c>
      <c r="D272" s="192" t="s">
        <v>31</v>
      </c>
      <c r="E272" s="192" t="s">
        <v>32</v>
      </c>
      <c r="F272" s="114" t="s">
        <v>33</v>
      </c>
    </row>
    <row r="273" spans="1:251" x14ac:dyDescent="0.3">
      <c r="A273" s="268" t="s">
        <v>1863</v>
      </c>
      <c r="B273" s="271" t="s">
        <v>46</v>
      </c>
      <c r="C273" s="274" t="s">
        <v>36</v>
      </c>
      <c r="D273" s="265" t="s">
        <v>37</v>
      </c>
      <c r="E273" s="265" t="s">
        <v>38</v>
      </c>
      <c r="F273" s="108" t="s">
        <v>233</v>
      </c>
    </row>
    <row r="274" spans="1:251" x14ac:dyDescent="0.3">
      <c r="A274" s="269"/>
      <c r="B274" s="272"/>
      <c r="C274" s="275"/>
      <c r="D274" s="266"/>
      <c r="E274" s="266"/>
      <c r="F274" s="109" t="s">
        <v>234</v>
      </c>
    </row>
    <row r="275" spans="1:251" x14ac:dyDescent="0.3">
      <c r="A275" s="270"/>
      <c r="B275" s="273"/>
      <c r="C275" s="276"/>
      <c r="D275" s="267"/>
      <c r="E275" s="267"/>
      <c r="F275" s="110" t="s">
        <v>235</v>
      </c>
    </row>
    <row r="276" spans="1:251" x14ac:dyDescent="0.3">
      <c r="A276" s="268" t="s">
        <v>1863</v>
      </c>
      <c r="B276" s="271" t="s">
        <v>48</v>
      </c>
      <c r="C276" s="274" t="s">
        <v>49</v>
      </c>
      <c r="D276" s="265" t="s">
        <v>37</v>
      </c>
      <c r="E276" s="265" t="s">
        <v>38</v>
      </c>
      <c r="F276" s="111" t="s">
        <v>236</v>
      </c>
    </row>
    <row r="277" spans="1:251" x14ac:dyDescent="0.3">
      <c r="A277" s="269"/>
      <c r="B277" s="272"/>
      <c r="C277" s="275"/>
      <c r="D277" s="266"/>
      <c r="E277" s="266"/>
      <c r="F277" s="112" t="s">
        <v>237</v>
      </c>
    </row>
    <row r="278" spans="1:251" x14ac:dyDescent="0.3">
      <c r="A278" s="270"/>
      <c r="B278" s="273"/>
      <c r="C278" s="276"/>
      <c r="D278" s="267"/>
      <c r="E278" s="267"/>
      <c r="F278" s="113" t="s">
        <v>238</v>
      </c>
    </row>
    <row r="279" spans="1:251" ht="39" x14ac:dyDescent="0.3">
      <c r="A279" s="239" t="s">
        <v>1863</v>
      </c>
      <c r="B279" s="21" t="s">
        <v>1852</v>
      </c>
      <c r="C279" s="129" t="s">
        <v>49</v>
      </c>
      <c r="D279" s="166" t="s">
        <v>37</v>
      </c>
      <c r="E279" s="166" t="s">
        <v>38</v>
      </c>
      <c r="F279" s="100" t="s">
        <v>1854</v>
      </c>
    </row>
    <row r="280" spans="1:251" ht="39" x14ac:dyDescent="0.3">
      <c r="A280" s="83" t="s">
        <v>1703</v>
      </c>
      <c r="B280" s="190" t="s">
        <v>258</v>
      </c>
      <c r="C280" s="191" t="s">
        <v>30</v>
      </c>
      <c r="D280" s="192" t="s">
        <v>31</v>
      </c>
      <c r="E280" s="192" t="s">
        <v>32</v>
      </c>
      <c r="F280" s="114" t="s">
        <v>33</v>
      </c>
    </row>
    <row r="281" spans="1:251" x14ac:dyDescent="0.3">
      <c r="A281" s="268" t="s">
        <v>259</v>
      </c>
      <c r="B281" s="271" t="s">
        <v>46</v>
      </c>
      <c r="C281" s="274" t="s">
        <v>36</v>
      </c>
      <c r="D281" s="265" t="s">
        <v>37</v>
      </c>
      <c r="E281" s="265" t="s">
        <v>38</v>
      </c>
      <c r="F281" s="108" t="s">
        <v>233</v>
      </c>
    </row>
    <row r="282" spans="1:251" x14ac:dyDescent="0.3">
      <c r="A282" s="269"/>
      <c r="B282" s="272"/>
      <c r="C282" s="275"/>
      <c r="D282" s="266"/>
      <c r="E282" s="266"/>
      <c r="F282" s="109" t="s">
        <v>234</v>
      </c>
    </row>
    <row r="283" spans="1:251" x14ac:dyDescent="0.3">
      <c r="A283" s="270"/>
      <c r="B283" s="273"/>
      <c r="C283" s="276"/>
      <c r="D283" s="267"/>
      <c r="E283" s="267"/>
      <c r="F283" s="110" t="s">
        <v>235</v>
      </c>
    </row>
    <row r="284" spans="1:251" x14ac:dyDescent="0.3">
      <c r="A284" s="268" t="s">
        <v>259</v>
      </c>
      <c r="B284" s="271" t="s">
        <v>48</v>
      </c>
      <c r="C284" s="274" t="s">
        <v>49</v>
      </c>
      <c r="D284" s="265" t="s">
        <v>37</v>
      </c>
      <c r="E284" s="265" t="s">
        <v>38</v>
      </c>
      <c r="F284" s="111" t="s">
        <v>236</v>
      </c>
    </row>
    <row r="285" spans="1:251" x14ac:dyDescent="0.3">
      <c r="A285" s="269"/>
      <c r="B285" s="272"/>
      <c r="C285" s="275"/>
      <c r="D285" s="266"/>
      <c r="E285" s="266"/>
      <c r="F285" s="112" t="s">
        <v>237</v>
      </c>
    </row>
    <row r="286" spans="1:251" x14ac:dyDescent="0.3">
      <c r="A286" s="270"/>
      <c r="B286" s="273"/>
      <c r="C286" s="276"/>
      <c r="D286" s="267"/>
      <c r="E286" s="267"/>
      <c r="F286" s="113" t="s">
        <v>238</v>
      </c>
    </row>
    <row r="287" spans="1:251" ht="39" x14ac:dyDescent="0.3">
      <c r="A287" s="239"/>
      <c r="B287" s="21" t="s">
        <v>1852</v>
      </c>
      <c r="C287" s="129" t="s">
        <v>49</v>
      </c>
      <c r="D287" s="166" t="s">
        <v>37</v>
      </c>
      <c r="E287" s="166" t="s">
        <v>38</v>
      </c>
      <c r="F287" s="100" t="s">
        <v>1854</v>
      </c>
    </row>
    <row r="288" spans="1:251" ht="39" x14ac:dyDescent="0.3">
      <c r="A288" s="83" t="s">
        <v>184</v>
      </c>
      <c r="B288" s="190" t="s">
        <v>260</v>
      </c>
      <c r="C288" s="197" t="s">
        <v>30</v>
      </c>
      <c r="D288" s="198" t="s">
        <v>31</v>
      </c>
      <c r="E288" s="198" t="s">
        <v>32</v>
      </c>
      <c r="F288" s="116" t="s">
        <v>33</v>
      </c>
      <c r="G288" s="197" t="s">
        <v>5</v>
      </c>
      <c r="H288" s="199"/>
      <c r="I288" s="183"/>
      <c r="J288" s="183"/>
      <c r="K288" s="183"/>
      <c r="L288" s="183"/>
      <c r="M288" s="183"/>
      <c r="N288" s="183"/>
      <c r="O288" s="183"/>
      <c r="P288" s="183"/>
      <c r="Q288" s="183"/>
      <c r="R288" s="183"/>
      <c r="S288" s="183"/>
      <c r="T288" s="183"/>
      <c r="U288" s="183"/>
      <c r="V288" s="183"/>
      <c r="W288" s="183"/>
      <c r="X288" s="183"/>
      <c r="Y288" s="183"/>
      <c r="Z288" s="183"/>
      <c r="AA288" s="183"/>
      <c r="AB288" s="183"/>
      <c r="AC288" s="183"/>
      <c r="AD288" s="183"/>
      <c r="AE288" s="183"/>
      <c r="AF288" s="183"/>
      <c r="AG288" s="183"/>
      <c r="AH288" s="183"/>
      <c r="AI288" s="183"/>
      <c r="AJ288" s="183"/>
      <c r="AK288" s="183"/>
      <c r="AL288" s="183"/>
      <c r="AM288" s="183"/>
      <c r="AN288" s="183"/>
      <c r="AO288" s="183"/>
      <c r="AP288" s="183"/>
      <c r="AQ288" s="183"/>
      <c r="AR288" s="183"/>
      <c r="AS288" s="183"/>
      <c r="AT288" s="183"/>
      <c r="AU288" s="183"/>
      <c r="AV288" s="183"/>
      <c r="AW288" s="183"/>
      <c r="AX288" s="183"/>
      <c r="AY288" s="183"/>
      <c r="AZ288" s="183"/>
      <c r="BA288" s="183"/>
      <c r="BB288" s="183"/>
      <c r="BC288" s="183"/>
      <c r="BD288" s="183"/>
      <c r="BE288" s="183"/>
      <c r="BF288" s="183"/>
      <c r="BG288" s="183"/>
      <c r="BH288" s="183"/>
      <c r="BI288" s="183"/>
      <c r="BJ288" s="183"/>
      <c r="BK288" s="183"/>
      <c r="BL288" s="183"/>
      <c r="BM288" s="183"/>
      <c r="BN288" s="183"/>
      <c r="BO288" s="183"/>
      <c r="BP288" s="183"/>
      <c r="BQ288" s="183"/>
      <c r="BR288" s="183"/>
      <c r="BS288" s="183"/>
      <c r="BT288" s="183"/>
      <c r="BU288" s="183"/>
      <c r="BV288" s="183"/>
      <c r="BW288" s="183"/>
      <c r="BX288" s="183"/>
      <c r="BY288" s="183"/>
      <c r="BZ288" s="183"/>
      <c r="CA288" s="183"/>
      <c r="CB288" s="183"/>
      <c r="CC288" s="183"/>
      <c r="CD288" s="183"/>
      <c r="CE288" s="183"/>
      <c r="CF288" s="183"/>
      <c r="CG288" s="183"/>
      <c r="CH288" s="183"/>
      <c r="CI288" s="183"/>
      <c r="CJ288" s="183"/>
      <c r="CK288" s="183"/>
      <c r="CL288" s="183"/>
      <c r="CM288" s="183"/>
      <c r="CN288" s="183"/>
      <c r="CO288" s="183"/>
      <c r="CP288" s="183"/>
      <c r="CQ288" s="183"/>
      <c r="CR288" s="183"/>
      <c r="CS288" s="183"/>
      <c r="CT288" s="183"/>
      <c r="CU288" s="183"/>
      <c r="CV288" s="183"/>
      <c r="CW288" s="183"/>
      <c r="CX288" s="183"/>
      <c r="CY288" s="183"/>
      <c r="CZ288" s="183"/>
      <c r="DA288" s="183"/>
      <c r="DB288" s="183"/>
      <c r="DC288" s="183"/>
      <c r="DD288" s="183"/>
      <c r="DE288" s="183"/>
      <c r="DF288" s="183"/>
      <c r="DG288" s="183"/>
      <c r="DH288" s="183"/>
      <c r="DI288" s="183"/>
      <c r="DJ288" s="183"/>
      <c r="DK288" s="183"/>
      <c r="DL288" s="183"/>
      <c r="DM288" s="183"/>
      <c r="DN288" s="183"/>
      <c r="DO288" s="183"/>
      <c r="DP288" s="183"/>
      <c r="DQ288" s="183"/>
      <c r="DR288" s="183"/>
      <c r="DS288" s="183"/>
      <c r="DT288" s="183"/>
      <c r="DU288" s="183"/>
      <c r="DV288" s="183"/>
      <c r="DW288" s="183"/>
      <c r="DX288" s="183"/>
      <c r="DY288" s="183"/>
      <c r="DZ288" s="183"/>
      <c r="EA288" s="183"/>
      <c r="EB288" s="183"/>
      <c r="EC288" s="183"/>
      <c r="ED288" s="183"/>
      <c r="EE288" s="183"/>
      <c r="EF288" s="183"/>
      <c r="EG288" s="183"/>
      <c r="EH288" s="183"/>
      <c r="EI288" s="183"/>
      <c r="EJ288" s="183"/>
      <c r="EK288" s="183"/>
      <c r="EL288" s="183"/>
      <c r="EM288" s="183"/>
      <c r="EN288" s="183"/>
      <c r="EO288" s="183"/>
      <c r="EP288" s="183"/>
      <c r="EQ288" s="183"/>
      <c r="ER288" s="183"/>
      <c r="ES288" s="183"/>
      <c r="ET288" s="183"/>
      <c r="EU288" s="183"/>
      <c r="EV288" s="183"/>
      <c r="EW288" s="183"/>
      <c r="EX288" s="183"/>
      <c r="EY288" s="183"/>
      <c r="EZ288" s="183"/>
      <c r="FA288" s="183"/>
      <c r="FB288" s="183"/>
      <c r="FC288" s="183"/>
      <c r="FD288" s="183"/>
      <c r="FE288" s="183"/>
      <c r="FF288" s="183"/>
      <c r="FG288" s="183"/>
      <c r="FH288" s="183"/>
      <c r="FI288" s="183"/>
      <c r="FJ288" s="183"/>
      <c r="FK288" s="183"/>
      <c r="FL288" s="183"/>
      <c r="FM288" s="183"/>
      <c r="FN288" s="183"/>
      <c r="FO288" s="183"/>
      <c r="FP288" s="183"/>
      <c r="FQ288" s="183"/>
      <c r="FR288" s="183"/>
      <c r="FS288" s="183"/>
      <c r="FT288" s="183"/>
      <c r="FU288" s="183"/>
      <c r="FV288" s="183"/>
      <c r="FW288" s="183"/>
      <c r="FX288" s="183"/>
      <c r="FY288" s="183"/>
      <c r="FZ288" s="183"/>
      <c r="GA288" s="183"/>
      <c r="GB288" s="183"/>
      <c r="GC288" s="183"/>
      <c r="GD288" s="183"/>
      <c r="GE288" s="183"/>
      <c r="GF288" s="183"/>
      <c r="GG288" s="183"/>
      <c r="GH288" s="183"/>
      <c r="GI288" s="183"/>
      <c r="GJ288" s="183"/>
      <c r="GK288" s="183"/>
      <c r="GL288" s="183"/>
      <c r="GM288" s="183"/>
      <c r="GN288" s="183"/>
      <c r="GO288" s="183"/>
      <c r="GP288" s="183"/>
      <c r="GQ288" s="183"/>
      <c r="GR288" s="183"/>
      <c r="GS288" s="183"/>
      <c r="GT288" s="183"/>
      <c r="GU288" s="183"/>
      <c r="GV288" s="183"/>
      <c r="GW288" s="183"/>
      <c r="GX288" s="183"/>
      <c r="GY288" s="183"/>
      <c r="GZ288" s="183"/>
      <c r="HA288" s="183"/>
      <c r="HB288" s="183"/>
      <c r="HC288" s="183"/>
      <c r="HD288" s="183"/>
      <c r="HE288" s="183"/>
      <c r="HF288" s="183"/>
      <c r="HG288" s="183"/>
      <c r="HH288" s="183"/>
      <c r="HI288" s="183"/>
      <c r="HJ288" s="183"/>
      <c r="HK288" s="183"/>
      <c r="HL288" s="183"/>
      <c r="HM288" s="183"/>
      <c r="HN288" s="183"/>
      <c r="HO288" s="183"/>
      <c r="HP288" s="183"/>
      <c r="HQ288" s="183"/>
      <c r="HR288" s="183"/>
      <c r="HS288" s="183"/>
      <c r="HT288" s="183"/>
      <c r="HU288" s="183"/>
      <c r="HV288" s="183"/>
      <c r="HW288" s="183"/>
      <c r="HX288" s="183"/>
      <c r="HY288" s="183"/>
      <c r="HZ288" s="183"/>
      <c r="IA288" s="183"/>
      <c r="IB288" s="183"/>
      <c r="IC288" s="183"/>
      <c r="ID288" s="183"/>
      <c r="IE288" s="183"/>
      <c r="IF288" s="183"/>
      <c r="IG288" s="183"/>
      <c r="IH288" s="183"/>
      <c r="II288" s="183"/>
      <c r="IJ288" s="183"/>
      <c r="IK288" s="183"/>
      <c r="IL288" s="183"/>
      <c r="IM288" s="183"/>
      <c r="IN288" s="183"/>
      <c r="IO288" s="183"/>
      <c r="IP288" s="183"/>
      <c r="IQ288" s="183"/>
    </row>
    <row r="289" spans="1:251" x14ac:dyDescent="0.3">
      <c r="A289" s="268" t="s">
        <v>261</v>
      </c>
      <c r="B289" s="277" t="s">
        <v>46</v>
      </c>
      <c r="C289" s="280" t="s">
        <v>36</v>
      </c>
      <c r="D289" s="283" t="s">
        <v>37</v>
      </c>
      <c r="E289" s="283" t="s">
        <v>38</v>
      </c>
      <c r="F289" s="117" t="s">
        <v>233</v>
      </c>
      <c r="G289" s="286"/>
      <c r="H289" s="289"/>
      <c r="I289" s="290"/>
      <c r="J289" s="290"/>
      <c r="K289" s="290"/>
      <c r="L289" s="290"/>
      <c r="M289" s="290"/>
      <c r="N289" s="290"/>
      <c r="O289" s="290"/>
      <c r="P289" s="290"/>
      <c r="Q289" s="290"/>
      <c r="R289" s="290"/>
      <c r="S289" s="290"/>
      <c r="T289" s="290"/>
      <c r="U289" s="290"/>
      <c r="V289" s="290"/>
      <c r="W289" s="290"/>
      <c r="X289" s="290"/>
      <c r="Y289" s="290"/>
      <c r="Z289" s="290"/>
      <c r="AA289" s="290"/>
      <c r="AB289" s="290"/>
      <c r="AC289" s="290"/>
      <c r="AD289" s="290"/>
      <c r="AE289" s="290"/>
      <c r="AF289" s="290"/>
      <c r="AG289" s="290"/>
      <c r="AH289" s="290"/>
      <c r="AI289" s="290"/>
      <c r="AJ289" s="290"/>
      <c r="AK289" s="290"/>
      <c r="AL289" s="290"/>
      <c r="AM289" s="290"/>
      <c r="AN289" s="290"/>
      <c r="AO289" s="290"/>
      <c r="AP289" s="290"/>
      <c r="AQ289" s="290"/>
      <c r="AR289" s="290"/>
      <c r="AS289" s="290"/>
      <c r="AT289" s="290"/>
      <c r="AU289" s="290"/>
      <c r="AV289" s="290"/>
      <c r="AW289" s="290"/>
      <c r="AX289" s="290"/>
      <c r="AY289" s="290"/>
      <c r="AZ289" s="290"/>
      <c r="BA289" s="290"/>
      <c r="BB289" s="290"/>
      <c r="BC289" s="290"/>
      <c r="BD289" s="290"/>
      <c r="BE289" s="290"/>
      <c r="BF289" s="290"/>
      <c r="BG289" s="290"/>
      <c r="BH289" s="290"/>
      <c r="BI289" s="290"/>
      <c r="BJ289" s="290"/>
      <c r="BK289" s="290"/>
      <c r="BL289" s="290"/>
      <c r="BM289" s="290"/>
      <c r="BN289" s="290"/>
      <c r="BO289" s="290"/>
      <c r="BP289" s="290"/>
      <c r="BQ289" s="290"/>
      <c r="BR289" s="290"/>
      <c r="BS289" s="290"/>
      <c r="BT289" s="290"/>
      <c r="BU289" s="290"/>
      <c r="BV289" s="290"/>
      <c r="BW289" s="290"/>
      <c r="BX289" s="290"/>
      <c r="BY289" s="290"/>
      <c r="BZ289" s="290"/>
      <c r="CA289" s="290"/>
      <c r="CB289" s="290"/>
      <c r="CC289" s="290"/>
      <c r="CD289" s="290"/>
      <c r="CE289" s="290"/>
      <c r="CF289" s="290"/>
      <c r="CG289" s="290"/>
      <c r="CH289" s="290"/>
      <c r="CI289" s="290"/>
      <c r="CJ289" s="290"/>
      <c r="CK289" s="290"/>
      <c r="CL289" s="290"/>
      <c r="CM289" s="290"/>
      <c r="CN289" s="290"/>
      <c r="CO289" s="290"/>
      <c r="CP289" s="290"/>
      <c r="CQ289" s="290"/>
      <c r="CR289" s="290"/>
      <c r="CS289" s="290"/>
      <c r="CT289" s="290"/>
      <c r="CU289" s="290"/>
      <c r="CV289" s="290"/>
      <c r="CW289" s="290"/>
      <c r="CX289" s="290"/>
      <c r="CY289" s="290"/>
      <c r="CZ289" s="290"/>
      <c r="DA289" s="290"/>
      <c r="DB289" s="290"/>
      <c r="DC289" s="290"/>
      <c r="DD289" s="290"/>
      <c r="DE289" s="290"/>
      <c r="DF289" s="290"/>
      <c r="DG289" s="290"/>
      <c r="DH289" s="290"/>
      <c r="DI289" s="290"/>
      <c r="DJ289" s="290"/>
      <c r="DK289" s="290"/>
      <c r="DL289" s="290"/>
      <c r="DM289" s="290"/>
      <c r="DN289" s="290"/>
      <c r="DO289" s="290"/>
      <c r="DP289" s="290"/>
      <c r="DQ289" s="290"/>
      <c r="DR289" s="290"/>
      <c r="DS289" s="290"/>
      <c r="DT289" s="290"/>
      <c r="DU289" s="290"/>
      <c r="DV289" s="290"/>
      <c r="DW289" s="290"/>
      <c r="DX289" s="290"/>
      <c r="DY289" s="290"/>
      <c r="DZ289" s="290"/>
      <c r="EA289" s="290"/>
      <c r="EB289" s="290"/>
      <c r="EC289" s="290"/>
      <c r="ED289" s="290"/>
      <c r="EE289" s="290"/>
      <c r="EF289" s="290"/>
      <c r="EG289" s="290"/>
      <c r="EH289" s="290"/>
      <c r="EI289" s="290"/>
      <c r="EJ289" s="290"/>
      <c r="EK289" s="290"/>
      <c r="EL289" s="290"/>
      <c r="EM289" s="290"/>
      <c r="EN289" s="290"/>
      <c r="EO289" s="290"/>
      <c r="EP289" s="290"/>
      <c r="EQ289" s="290"/>
      <c r="ER289" s="290"/>
      <c r="ES289" s="290"/>
      <c r="ET289" s="290"/>
      <c r="EU289" s="290"/>
      <c r="EV289" s="290"/>
      <c r="EW289" s="290"/>
      <c r="EX289" s="290"/>
      <c r="EY289" s="290"/>
      <c r="EZ289" s="290"/>
      <c r="FA289" s="290"/>
      <c r="FB289" s="290"/>
      <c r="FC289" s="290"/>
      <c r="FD289" s="290"/>
      <c r="FE289" s="290"/>
      <c r="FF289" s="290"/>
      <c r="FG289" s="290"/>
      <c r="FH289" s="290"/>
      <c r="FI289" s="290"/>
      <c r="FJ289" s="290"/>
      <c r="FK289" s="290"/>
      <c r="FL289" s="290"/>
      <c r="FM289" s="290"/>
      <c r="FN289" s="290"/>
      <c r="FO289" s="290"/>
      <c r="FP289" s="290"/>
      <c r="FQ289" s="290"/>
      <c r="FR289" s="290"/>
      <c r="FS289" s="290"/>
      <c r="FT289" s="290"/>
      <c r="FU289" s="290"/>
      <c r="FV289" s="290"/>
      <c r="FW289" s="290"/>
      <c r="FX289" s="290"/>
      <c r="FY289" s="290"/>
      <c r="FZ289" s="290"/>
      <c r="GA289" s="290"/>
      <c r="GB289" s="290"/>
      <c r="GC289" s="290"/>
      <c r="GD289" s="290"/>
      <c r="GE289" s="290"/>
      <c r="GF289" s="290"/>
      <c r="GG289" s="290"/>
      <c r="GH289" s="290"/>
      <c r="GI289" s="290"/>
      <c r="GJ289" s="290"/>
      <c r="GK289" s="290"/>
      <c r="GL289" s="290"/>
      <c r="GM289" s="290"/>
      <c r="GN289" s="290"/>
      <c r="GO289" s="290"/>
      <c r="GP289" s="290"/>
      <c r="GQ289" s="290"/>
      <c r="GR289" s="290"/>
      <c r="GS289" s="290"/>
      <c r="GT289" s="290"/>
      <c r="GU289" s="290"/>
      <c r="GV289" s="290"/>
      <c r="GW289" s="290"/>
      <c r="GX289" s="290"/>
      <c r="GY289" s="290"/>
      <c r="GZ289" s="290"/>
      <c r="HA289" s="290"/>
      <c r="HB289" s="290"/>
      <c r="HC289" s="290"/>
      <c r="HD289" s="290"/>
      <c r="HE289" s="290"/>
      <c r="HF289" s="290"/>
      <c r="HG289" s="290"/>
      <c r="HH289" s="290"/>
      <c r="HI289" s="290"/>
      <c r="HJ289" s="290"/>
      <c r="HK289" s="290"/>
      <c r="HL289" s="290"/>
      <c r="HM289" s="290"/>
      <c r="HN289" s="290"/>
      <c r="HO289" s="290"/>
      <c r="HP289" s="290"/>
      <c r="HQ289" s="290"/>
      <c r="HR289" s="290"/>
      <c r="HS289" s="290"/>
      <c r="HT289" s="290"/>
      <c r="HU289" s="290"/>
      <c r="HV289" s="290"/>
      <c r="HW289" s="290"/>
      <c r="HX289" s="290"/>
      <c r="HY289" s="290"/>
      <c r="HZ289" s="290"/>
      <c r="IA289" s="290"/>
      <c r="IB289" s="290"/>
      <c r="IC289" s="290"/>
      <c r="ID289" s="290"/>
      <c r="IE289" s="290"/>
      <c r="IF289" s="290"/>
      <c r="IG289" s="290"/>
      <c r="IH289" s="290"/>
      <c r="II289" s="290"/>
      <c r="IJ289" s="290"/>
      <c r="IK289" s="290"/>
      <c r="IL289" s="290"/>
      <c r="IM289" s="290"/>
      <c r="IN289" s="290"/>
      <c r="IO289" s="290"/>
      <c r="IP289" s="290"/>
      <c r="IQ289" s="290"/>
    </row>
    <row r="290" spans="1:251" x14ac:dyDescent="0.3">
      <c r="A290" s="269"/>
      <c r="B290" s="278"/>
      <c r="C290" s="281"/>
      <c r="D290" s="284"/>
      <c r="E290" s="284"/>
      <c r="F290" s="118" t="s">
        <v>234</v>
      </c>
      <c r="G290" s="287"/>
      <c r="H290" s="289"/>
      <c r="I290" s="290"/>
      <c r="J290" s="290"/>
      <c r="K290" s="290"/>
      <c r="L290" s="290"/>
      <c r="M290" s="290"/>
      <c r="N290" s="290"/>
      <c r="O290" s="290"/>
      <c r="P290" s="290"/>
      <c r="Q290" s="290"/>
      <c r="R290" s="290"/>
      <c r="S290" s="290"/>
      <c r="T290" s="290"/>
      <c r="U290" s="290"/>
      <c r="V290" s="290"/>
      <c r="W290" s="290"/>
      <c r="X290" s="290"/>
      <c r="Y290" s="290"/>
      <c r="Z290" s="290"/>
      <c r="AA290" s="290"/>
      <c r="AB290" s="290"/>
      <c r="AC290" s="290"/>
      <c r="AD290" s="290"/>
      <c r="AE290" s="290"/>
      <c r="AF290" s="290"/>
      <c r="AG290" s="290"/>
      <c r="AH290" s="290"/>
      <c r="AI290" s="290"/>
      <c r="AJ290" s="290"/>
      <c r="AK290" s="290"/>
      <c r="AL290" s="290"/>
      <c r="AM290" s="290"/>
      <c r="AN290" s="290"/>
      <c r="AO290" s="290"/>
      <c r="AP290" s="290"/>
      <c r="AQ290" s="290"/>
      <c r="AR290" s="290"/>
      <c r="AS290" s="290"/>
      <c r="AT290" s="290"/>
      <c r="AU290" s="290"/>
      <c r="AV290" s="290"/>
      <c r="AW290" s="290"/>
      <c r="AX290" s="290"/>
      <c r="AY290" s="290"/>
      <c r="AZ290" s="290"/>
      <c r="BA290" s="290"/>
      <c r="BB290" s="290"/>
      <c r="BC290" s="290"/>
      <c r="BD290" s="290"/>
      <c r="BE290" s="290"/>
      <c r="BF290" s="290"/>
      <c r="BG290" s="290"/>
      <c r="BH290" s="290"/>
      <c r="BI290" s="290"/>
      <c r="BJ290" s="290"/>
      <c r="BK290" s="290"/>
      <c r="BL290" s="290"/>
      <c r="BM290" s="290"/>
      <c r="BN290" s="290"/>
      <c r="BO290" s="290"/>
      <c r="BP290" s="290"/>
      <c r="BQ290" s="290"/>
      <c r="BR290" s="290"/>
      <c r="BS290" s="290"/>
      <c r="BT290" s="290"/>
      <c r="BU290" s="290"/>
      <c r="BV290" s="290"/>
      <c r="BW290" s="290"/>
      <c r="BX290" s="290"/>
      <c r="BY290" s="290"/>
      <c r="BZ290" s="290"/>
      <c r="CA290" s="290"/>
      <c r="CB290" s="290"/>
      <c r="CC290" s="290"/>
      <c r="CD290" s="290"/>
      <c r="CE290" s="290"/>
      <c r="CF290" s="290"/>
      <c r="CG290" s="290"/>
      <c r="CH290" s="290"/>
      <c r="CI290" s="290"/>
      <c r="CJ290" s="290"/>
      <c r="CK290" s="290"/>
      <c r="CL290" s="290"/>
      <c r="CM290" s="290"/>
      <c r="CN290" s="290"/>
      <c r="CO290" s="290"/>
      <c r="CP290" s="290"/>
      <c r="CQ290" s="290"/>
      <c r="CR290" s="290"/>
      <c r="CS290" s="290"/>
      <c r="CT290" s="290"/>
      <c r="CU290" s="290"/>
      <c r="CV290" s="290"/>
      <c r="CW290" s="290"/>
      <c r="CX290" s="290"/>
      <c r="CY290" s="290"/>
      <c r="CZ290" s="290"/>
      <c r="DA290" s="290"/>
      <c r="DB290" s="290"/>
      <c r="DC290" s="290"/>
      <c r="DD290" s="290"/>
      <c r="DE290" s="290"/>
      <c r="DF290" s="290"/>
      <c r="DG290" s="290"/>
      <c r="DH290" s="290"/>
      <c r="DI290" s="290"/>
      <c r="DJ290" s="290"/>
      <c r="DK290" s="290"/>
      <c r="DL290" s="290"/>
      <c r="DM290" s="290"/>
      <c r="DN290" s="290"/>
      <c r="DO290" s="290"/>
      <c r="DP290" s="290"/>
      <c r="DQ290" s="290"/>
      <c r="DR290" s="290"/>
      <c r="DS290" s="290"/>
      <c r="DT290" s="290"/>
      <c r="DU290" s="290"/>
      <c r="DV290" s="290"/>
      <c r="DW290" s="290"/>
      <c r="DX290" s="290"/>
      <c r="DY290" s="290"/>
      <c r="DZ290" s="290"/>
      <c r="EA290" s="290"/>
      <c r="EB290" s="290"/>
      <c r="EC290" s="290"/>
      <c r="ED290" s="290"/>
      <c r="EE290" s="290"/>
      <c r="EF290" s="290"/>
      <c r="EG290" s="290"/>
      <c r="EH290" s="290"/>
      <c r="EI290" s="290"/>
      <c r="EJ290" s="290"/>
      <c r="EK290" s="290"/>
      <c r="EL290" s="290"/>
      <c r="EM290" s="290"/>
      <c r="EN290" s="290"/>
      <c r="EO290" s="290"/>
      <c r="EP290" s="290"/>
      <c r="EQ290" s="290"/>
      <c r="ER290" s="290"/>
      <c r="ES290" s="290"/>
      <c r="ET290" s="290"/>
      <c r="EU290" s="290"/>
      <c r="EV290" s="290"/>
      <c r="EW290" s="290"/>
      <c r="EX290" s="290"/>
      <c r="EY290" s="290"/>
      <c r="EZ290" s="290"/>
      <c r="FA290" s="290"/>
      <c r="FB290" s="290"/>
      <c r="FC290" s="290"/>
      <c r="FD290" s="290"/>
      <c r="FE290" s="290"/>
      <c r="FF290" s="290"/>
      <c r="FG290" s="290"/>
      <c r="FH290" s="290"/>
      <c r="FI290" s="290"/>
      <c r="FJ290" s="290"/>
      <c r="FK290" s="290"/>
      <c r="FL290" s="290"/>
      <c r="FM290" s="290"/>
      <c r="FN290" s="290"/>
      <c r="FO290" s="290"/>
      <c r="FP290" s="290"/>
      <c r="FQ290" s="290"/>
      <c r="FR290" s="290"/>
      <c r="FS290" s="290"/>
      <c r="FT290" s="290"/>
      <c r="FU290" s="290"/>
      <c r="FV290" s="290"/>
      <c r="FW290" s="290"/>
      <c r="FX290" s="290"/>
      <c r="FY290" s="290"/>
      <c r="FZ290" s="290"/>
      <c r="GA290" s="290"/>
      <c r="GB290" s="290"/>
      <c r="GC290" s="290"/>
      <c r="GD290" s="290"/>
      <c r="GE290" s="290"/>
      <c r="GF290" s="290"/>
      <c r="GG290" s="290"/>
      <c r="GH290" s="290"/>
      <c r="GI290" s="290"/>
      <c r="GJ290" s="290"/>
      <c r="GK290" s="290"/>
      <c r="GL290" s="290"/>
      <c r="GM290" s="290"/>
      <c r="GN290" s="290"/>
      <c r="GO290" s="290"/>
      <c r="GP290" s="290"/>
      <c r="GQ290" s="290"/>
      <c r="GR290" s="290"/>
      <c r="GS290" s="290"/>
      <c r="GT290" s="290"/>
      <c r="GU290" s="290"/>
      <c r="GV290" s="290"/>
      <c r="GW290" s="290"/>
      <c r="GX290" s="290"/>
      <c r="GY290" s="290"/>
      <c r="GZ290" s="290"/>
      <c r="HA290" s="290"/>
      <c r="HB290" s="290"/>
      <c r="HC290" s="290"/>
      <c r="HD290" s="290"/>
      <c r="HE290" s="290"/>
      <c r="HF290" s="290"/>
      <c r="HG290" s="290"/>
      <c r="HH290" s="290"/>
      <c r="HI290" s="290"/>
      <c r="HJ290" s="290"/>
      <c r="HK290" s="290"/>
      <c r="HL290" s="290"/>
      <c r="HM290" s="290"/>
      <c r="HN290" s="290"/>
      <c r="HO290" s="290"/>
      <c r="HP290" s="290"/>
      <c r="HQ290" s="290"/>
      <c r="HR290" s="290"/>
      <c r="HS290" s="290"/>
      <c r="HT290" s="290"/>
      <c r="HU290" s="290"/>
      <c r="HV290" s="290"/>
      <c r="HW290" s="290"/>
      <c r="HX290" s="290"/>
      <c r="HY290" s="290"/>
      <c r="HZ290" s="290"/>
      <c r="IA290" s="290"/>
      <c r="IB290" s="290"/>
      <c r="IC290" s="290"/>
      <c r="ID290" s="290"/>
      <c r="IE290" s="290"/>
      <c r="IF290" s="290"/>
      <c r="IG290" s="290"/>
      <c r="IH290" s="290"/>
      <c r="II290" s="290"/>
      <c r="IJ290" s="290"/>
      <c r="IK290" s="290"/>
      <c r="IL290" s="290"/>
      <c r="IM290" s="290"/>
      <c r="IN290" s="290"/>
      <c r="IO290" s="290"/>
      <c r="IP290" s="290"/>
      <c r="IQ290" s="290"/>
    </row>
    <row r="291" spans="1:251" x14ac:dyDescent="0.3">
      <c r="A291" s="270"/>
      <c r="B291" s="279"/>
      <c r="C291" s="282"/>
      <c r="D291" s="285"/>
      <c r="E291" s="285"/>
      <c r="F291" s="119" t="s">
        <v>235</v>
      </c>
      <c r="G291" s="288"/>
      <c r="H291" s="289"/>
      <c r="I291" s="290"/>
      <c r="J291" s="290"/>
      <c r="K291" s="290"/>
      <c r="L291" s="290"/>
      <c r="M291" s="290"/>
      <c r="N291" s="290"/>
      <c r="O291" s="290"/>
      <c r="P291" s="290"/>
      <c r="Q291" s="290"/>
      <c r="R291" s="290"/>
      <c r="S291" s="290"/>
      <c r="T291" s="290"/>
      <c r="U291" s="290"/>
      <c r="V291" s="290"/>
      <c r="W291" s="290"/>
      <c r="X291" s="290"/>
      <c r="Y291" s="290"/>
      <c r="Z291" s="290"/>
      <c r="AA291" s="290"/>
      <c r="AB291" s="290"/>
      <c r="AC291" s="290"/>
      <c r="AD291" s="290"/>
      <c r="AE291" s="290"/>
      <c r="AF291" s="290"/>
      <c r="AG291" s="290"/>
      <c r="AH291" s="290"/>
      <c r="AI291" s="290"/>
      <c r="AJ291" s="290"/>
      <c r="AK291" s="290"/>
      <c r="AL291" s="290"/>
      <c r="AM291" s="290"/>
      <c r="AN291" s="290"/>
      <c r="AO291" s="290"/>
      <c r="AP291" s="290"/>
      <c r="AQ291" s="290"/>
      <c r="AR291" s="290"/>
      <c r="AS291" s="290"/>
      <c r="AT291" s="290"/>
      <c r="AU291" s="290"/>
      <c r="AV291" s="290"/>
      <c r="AW291" s="290"/>
      <c r="AX291" s="290"/>
      <c r="AY291" s="290"/>
      <c r="AZ291" s="290"/>
      <c r="BA291" s="290"/>
      <c r="BB291" s="290"/>
      <c r="BC291" s="290"/>
      <c r="BD291" s="290"/>
      <c r="BE291" s="290"/>
      <c r="BF291" s="290"/>
      <c r="BG291" s="290"/>
      <c r="BH291" s="290"/>
      <c r="BI291" s="290"/>
      <c r="BJ291" s="290"/>
      <c r="BK291" s="290"/>
      <c r="BL291" s="290"/>
      <c r="BM291" s="290"/>
      <c r="BN291" s="290"/>
      <c r="BO291" s="290"/>
      <c r="BP291" s="290"/>
      <c r="BQ291" s="290"/>
      <c r="BR291" s="290"/>
      <c r="BS291" s="290"/>
      <c r="BT291" s="290"/>
      <c r="BU291" s="290"/>
      <c r="BV291" s="290"/>
      <c r="BW291" s="290"/>
      <c r="BX291" s="290"/>
      <c r="BY291" s="290"/>
      <c r="BZ291" s="290"/>
      <c r="CA291" s="290"/>
      <c r="CB291" s="290"/>
      <c r="CC291" s="290"/>
      <c r="CD291" s="290"/>
      <c r="CE291" s="290"/>
      <c r="CF291" s="290"/>
      <c r="CG291" s="290"/>
      <c r="CH291" s="290"/>
      <c r="CI291" s="290"/>
      <c r="CJ291" s="290"/>
      <c r="CK291" s="290"/>
      <c r="CL291" s="290"/>
      <c r="CM291" s="290"/>
      <c r="CN291" s="290"/>
      <c r="CO291" s="290"/>
      <c r="CP291" s="290"/>
      <c r="CQ291" s="290"/>
      <c r="CR291" s="290"/>
      <c r="CS291" s="290"/>
      <c r="CT291" s="290"/>
      <c r="CU291" s="290"/>
      <c r="CV291" s="290"/>
      <c r="CW291" s="290"/>
      <c r="CX291" s="290"/>
      <c r="CY291" s="290"/>
      <c r="CZ291" s="290"/>
      <c r="DA291" s="290"/>
      <c r="DB291" s="290"/>
      <c r="DC291" s="290"/>
      <c r="DD291" s="290"/>
      <c r="DE291" s="290"/>
      <c r="DF291" s="290"/>
      <c r="DG291" s="290"/>
      <c r="DH291" s="290"/>
      <c r="DI291" s="290"/>
      <c r="DJ291" s="290"/>
      <c r="DK291" s="290"/>
      <c r="DL291" s="290"/>
      <c r="DM291" s="290"/>
      <c r="DN291" s="290"/>
      <c r="DO291" s="290"/>
      <c r="DP291" s="290"/>
      <c r="DQ291" s="290"/>
      <c r="DR291" s="290"/>
      <c r="DS291" s="290"/>
      <c r="DT291" s="290"/>
      <c r="DU291" s="290"/>
      <c r="DV291" s="290"/>
      <c r="DW291" s="290"/>
      <c r="DX291" s="290"/>
      <c r="DY291" s="290"/>
      <c r="DZ291" s="290"/>
      <c r="EA291" s="290"/>
      <c r="EB291" s="290"/>
      <c r="EC291" s="290"/>
      <c r="ED291" s="290"/>
      <c r="EE291" s="290"/>
      <c r="EF291" s="290"/>
      <c r="EG291" s="290"/>
      <c r="EH291" s="290"/>
      <c r="EI291" s="290"/>
      <c r="EJ291" s="290"/>
      <c r="EK291" s="290"/>
      <c r="EL291" s="290"/>
      <c r="EM291" s="290"/>
      <c r="EN291" s="290"/>
      <c r="EO291" s="290"/>
      <c r="EP291" s="290"/>
      <c r="EQ291" s="290"/>
      <c r="ER291" s="290"/>
      <c r="ES291" s="290"/>
      <c r="ET291" s="290"/>
      <c r="EU291" s="290"/>
      <c r="EV291" s="290"/>
      <c r="EW291" s="290"/>
      <c r="EX291" s="290"/>
      <c r="EY291" s="290"/>
      <c r="EZ291" s="290"/>
      <c r="FA291" s="290"/>
      <c r="FB291" s="290"/>
      <c r="FC291" s="290"/>
      <c r="FD291" s="290"/>
      <c r="FE291" s="290"/>
      <c r="FF291" s="290"/>
      <c r="FG291" s="290"/>
      <c r="FH291" s="290"/>
      <c r="FI291" s="290"/>
      <c r="FJ291" s="290"/>
      <c r="FK291" s="290"/>
      <c r="FL291" s="290"/>
      <c r="FM291" s="290"/>
      <c r="FN291" s="290"/>
      <c r="FO291" s="290"/>
      <c r="FP291" s="290"/>
      <c r="FQ291" s="290"/>
      <c r="FR291" s="290"/>
      <c r="FS291" s="290"/>
      <c r="FT291" s="290"/>
      <c r="FU291" s="290"/>
      <c r="FV291" s="290"/>
      <c r="FW291" s="290"/>
      <c r="FX291" s="290"/>
      <c r="FY291" s="290"/>
      <c r="FZ291" s="290"/>
      <c r="GA291" s="290"/>
      <c r="GB291" s="290"/>
      <c r="GC291" s="290"/>
      <c r="GD291" s="290"/>
      <c r="GE291" s="290"/>
      <c r="GF291" s="290"/>
      <c r="GG291" s="290"/>
      <c r="GH291" s="290"/>
      <c r="GI291" s="290"/>
      <c r="GJ291" s="290"/>
      <c r="GK291" s="290"/>
      <c r="GL291" s="290"/>
      <c r="GM291" s="290"/>
      <c r="GN291" s="290"/>
      <c r="GO291" s="290"/>
      <c r="GP291" s="290"/>
      <c r="GQ291" s="290"/>
      <c r="GR291" s="290"/>
      <c r="GS291" s="290"/>
      <c r="GT291" s="290"/>
      <c r="GU291" s="290"/>
      <c r="GV291" s="290"/>
      <c r="GW291" s="290"/>
      <c r="GX291" s="290"/>
      <c r="GY291" s="290"/>
      <c r="GZ291" s="290"/>
      <c r="HA291" s="290"/>
      <c r="HB291" s="290"/>
      <c r="HC291" s="290"/>
      <c r="HD291" s="290"/>
      <c r="HE291" s="290"/>
      <c r="HF291" s="290"/>
      <c r="HG291" s="290"/>
      <c r="HH291" s="290"/>
      <c r="HI291" s="290"/>
      <c r="HJ291" s="290"/>
      <c r="HK291" s="290"/>
      <c r="HL291" s="290"/>
      <c r="HM291" s="290"/>
      <c r="HN291" s="290"/>
      <c r="HO291" s="290"/>
      <c r="HP291" s="290"/>
      <c r="HQ291" s="290"/>
      <c r="HR291" s="290"/>
      <c r="HS291" s="290"/>
      <c r="HT291" s="290"/>
      <c r="HU291" s="290"/>
      <c r="HV291" s="290"/>
      <c r="HW291" s="290"/>
      <c r="HX291" s="290"/>
      <c r="HY291" s="290"/>
      <c r="HZ291" s="290"/>
      <c r="IA291" s="290"/>
      <c r="IB291" s="290"/>
      <c r="IC291" s="290"/>
      <c r="ID291" s="290"/>
      <c r="IE291" s="290"/>
      <c r="IF291" s="290"/>
      <c r="IG291" s="290"/>
      <c r="IH291" s="290"/>
      <c r="II291" s="290"/>
      <c r="IJ291" s="290"/>
      <c r="IK291" s="290"/>
      <c r="IL291" s="290"/>
      <c r="IM291" s="290"/>
      <c r="IN291" s="290"/>
      <c r="IO291" s="290"/>
      <c r="IP291" s="290"/>
      <c r="IQ291" s="290"/>
    </row>
    <row r="292" spans="1:251" x14ac:dyDescent="0.3">
      <c r="A292" s="268" t="s">
        <v>261</v>
      </c>
      <c r="B292" s="277" t="s">
        <v>48</v>
      </c>
      <c r="C292" s="280" t="s">
        <v>49</v>
      </c>
      <c r="D292" s="283" t="s">
        <v>37</v>
      </c>
      <c r="E292" s="283" t="s">
        <v>38</v>
      </c>
      <c r="F292" s="111" t="s">
        <v>236</v>
      </c>
      <c r="G292" s="286"/>
      <c r="H292" s="289"/>
      <c r="I292" s="290"/>
      <c r="J292" s="290"/>
      <c r="K292" s="290"/>
      <c r="L292" s="290"/>
      <c r="M292" s="290"/>
      <c r="N292" s="290"/>
      <c r="O292" s="290"/>
      <c r="P292" s="290"/>
      <c r="Q292" s="290"/>
      <c r="R292" s="290"/>
      <c r="S292" s="290"/>
      <c r="T292" s="290"/>
      <c r="U292" s="290"/>
      <c r="V292" s="290"/>
      <c r="W292" s="290"/>
      <c r="X292" s="290"/>
      <c r="Y292" s="290"/>
      <c r="Z292" s="290"/>
      <c r="AA292" s="290"/>
      <c r="AB292" s="290"/>
      <c r="AC292" s="290"/>
      <c r="AD292" s="290"/>
      <c r="AE292" s="290"/>
      <c r="AF292" s="290"/>
      <c r="AG292" s="290"/>
      <c r="AH292" s="290"/>
      <c r="AI292" s="290"/>
      <c r="AJ292" s="290"/>
      <c r="AK292" s="290"/>
      <c r="AL292" s="290"/>
      <c r="AM292" s="290"/>
      <c r="AN292" s="290"/>
      <c r="AO292" s="290"/>
      <c r="AP292" s="290"/>
      <c r="AQ292" s="290"/>
      <c r="AR292" s="290"/>
      <c r="AS292" s="290"/>
      <c r="AT292" s="290"/>
      <c r="AU292" s="290"/>
      <c r="AV292" s="290"/>
      <c r="AW292" s="290"/>
      <c r="AX292" s="290"/>
      <c r="AY292" s="290"/>
      <c r="AZ292" s="290"/>
      <c r="BA292" s="290"/>
      <c r="BB292" s="290"/>
      <c r="BC292" s="290"/>
      <c r="BD292" s="290"/>
      <c r="BE292" s="290"/>
      <c r="BF292" s="290"/>
      <c r="BG292" s="290"/>
      <c r="BH292" s="290"/>
      <c r="BI292" s="290"/>
      <c r="BJ292" s="290"/>
      <c r="BK292" s="290"/>
      <c r="BL292" s="290"/>
      <c r="BM292" s="290"/>
      <c r="BN292" s="290"/>
      <c r="BO292" s="290"/>
      <c r="BP292" s="290"/>
      <c r="BQ292" s="290"/>
      <c r="BR292" s="290"/>
      <c r="BS292" s="290"/>
      <c r="BT292" s="290"/>
      <c r="BU292" s="290"/>
      <c r="BV292" s="290"/>
      <c r="BW292" s="290"/>
      <c r="BX292" s="290"/>
      <c r="BY292" s="290"/>
      <c r="BZ292" s="290"/>
      <c r="CA292" s="290"/>
      <c r="CB292" s="290"/>
      <c r="CC292" s="290"/>
      <c r="CD292" s="290"/>
      <c r="CE292" s="290"/>
      <c r="CF292" s="290"/>
      <c r="CG292" s="290"/>
      <c r="CH292" s="290"/>
      <c r="CI292" s="290"/>
      <c r="CJ292" s="290"/>
      <c r="CK292" s="290"/>
      <c r="CL292" s="290"/>
      <c r="CM292" s="290"/>
      <c r="CN292" s="290"/>
      <c r="CO292" s="290"/>
      <c r="CP292" s="290"/>
      <c r="CQ292" s="290"/>
      <c r="CR292" s="290"/>
      <c r="CS292" s="290"/>
      <c r="CT292" s="290"/>
      <c r="CU292" s="290"/>
      <c r="CV292" s="290"/>
      <c r="CW292" s="290"/>
      <c r="CX292" s="290"/>
      <c r="CY292" s="290"/>
      <c r="CZ292" s="290"/>
      <c r="DA292" s="290"/>
      <c r="DB292" s="290"/>
      <c r="DC292" s="290"/>
      <c r="DD292" s="290"/>
      <c r="DE292" s="290"/>
      <c r="DF292" s="290"/>
      <c r="DG292" s="290"/>
      <c r="DH292" s="290"/>
      <c r="DI292" s="290"/>
      <c r="DJ292" s="290"/>
      <c r="DK292" s="290"/>
      <c r="DL292" s="290"/>
      <c r="DM292" s="290"/>
      <c r="DN292" s="290"/>
      <c r="DO292" s="290"/>
      <c r="DP292" s="290"/>
      <c r="DQ292" s="290"/>
      <c r="DR292" s="290"/>
      <c r="DS292" s="290"/>
      <c r="DT292" s="290"/>
      <c r="DU292" s="290"/>
      <c r="DV292" s="290"/>
      <c r="DW292" s="290"/>
      <c r="DX292" s="290"/>
      <c r="DY292" s="290"/>
      <c r="DZ292" s="290"/>
      <c r="EA292" s="290"/>
      <c r="EB292" s="290"/>
      <c r="EC292" s="290"/>
      <c r="ED292" s="290"/>
      <c r="EE292" s="290"/>
      <c r="EF292" s="290"/>
      <c r="EG292" s="290"/>
      <c r="EH292" s="290"/>
      <c r="EI292" s="290"/>
      <c r="EJ292" s="290"/>
      <c r="EK292" s="290"/>
      <c r="EL292" s="290"/>
      <c r="EM292" s="290"/>
      <c r="EN292" s="290"/>
      <c r="EO292" s="290"/>
      <c r="EP292" s="290"/>
      <c r="EQ292" s="290"/>
      <c r="ER292" s="290"/>
      <c r="ES292" s="290"/>
      <c r="ET292" s="290"/>
      <c r="EU292" s="290"/>
      <c r="EV292" s="290"/>
      <c r="EW292" s="290"/>
      <c r="EX292" s="290"/>
      <c r="EY292" s="290"/>
      <c r="EZ292" s="290"/>
      <c r="FA292" s="290"/>
      <c r="FB292" s="290"/>
      <c r="FC292" s="290"/>
      <c r="FD292" s="290"/>
      <c r="FE292" s="290"/>
      <c r="FF292" s="290"/>
      <c r="FG292" s="290"/>
      <c r="FH292" s="290"/>
      <c r="FI292" s="290"/>
      <c r="FJ292" s="290"/>
      <c r="FK292" s="290"/>
      <c r="FL292" s="290"/>
      <c r="FM292" s="290"/>
      <c r="FN292" s="290"/>
      <c r="FO292" s="290"/>
      <c r="FP292" s="290"/>
      <c r="FQ292" s="290"/>
      <c r="FR292" s="290"/>
      <c r="FS292" s="290"/>
      <c r="FT292" s="290"/>
      <c r="FU292" s="290"/>
      <c r="FV292" s="290"/>
      <c r="FW292" s="290"/>
      <c r="FX292" s="290"/>
      <c r="FY292" s="290"/>
      <c r="FZ292" s="290"/>
      <c r="GA292" s="290"/>
      <c r="GB292" s="290"/>
      <c r="GC292" s="290"/>
      <c r="GD292" s="290"/>
      <c r="GE292" s="290"/>
      <c r="GF292" s="290"/>
      <c r="GG292" s="290"/>
      <c r="GH292" s="290"/>
      <c r="GI292" s="290"/>
      <c r="GJ292" s="290"/>
      <c r="GK292" s="290"/>
      <c r="GL292" s="290"/>
      <c r="GM292" s="290"/>
      <c r="GN292" s="290"/>
      <c r="GO292" s="290"/>
      <c r="GP292" s="290"/>
      <c r="GQ292" s="290"/>
      <c r="GR292" s="290"/>
      <c r="GS292" s="290"/>
      <c r="GT292" s="290"/>
      <c r="GU292" s="290"/>
      <c r="GV292" s="290"/>
      <c r="GW292" s="290"/>
      <c r="GX292" s="290"/>
      <c r="GY292" s="290"/>
      <c r="GZ292" s="290"/>
      <c r="HA292" s="290"/>
      <c r="HB292" s="290"/>
      <c r="HC292" s="290"/>
      <c r="HD292" s="290"/>
      <c r="HE292" s="290"/>
      <c r="HF292" s="290"/>
      <c r="HG292" s="290"/>
      <c r="HH292" s="290"/>
      <c r="HI292" s="290"/>
      <c r="HJ292" s="290"/>
      <c r="HK292" s="290"/>
      <c r="HL292" s="290"/>
      <c r="HM292" s="290"/>
      <c r="HN292" s="290"/>
      <c r="HO292" s="290"/>
      <c r="HP292" s="290"/>
      <c r="HQ292" s="290"/>
      <c r="HR292" s="290"/>
      <c r="HS292" s="290"/>
      <c r="HT292" s="290"/>
      <c r="HU292" s="290"/>
      <c r="HV292" s="290"/>
      <c r="HW292" s="290"/>
      <c r="HX292" s="290"/>
      <c r="HY292" s="290"/>
      <c r="HZ292" s="290"/>
      <c r="IA292" s="290"/>
      <c r="IB292" s="290"/>
      <c r="IC292" s="290"/>
      <c r="ID292" s="290"/>
      <c r="IE292" s="290"/>
      <c r="IF292" s="290"/>
      <c r="IG292" s="290"/>
      <c r="IH292" s="290"/>
      <c r="II292" s="290"/>
      <c r="IJ292" s="290"/>
      <c r="IK292" s="290"/>
      <c r="IL292" s="290"/>
      <c r="IM292" s="290"/>
      <c r="IN292" s="290"/>
      <c r="IO292" s="290"/>
      <c r="IP292" s="290"/>
      <c r="IQ292" s="290"/>
    </row>
    <row r="293" spans="1:251" x14ac:dyDescent="0.3">
      <c r="A293" s="269"/>
      <c r="B293" s="278"/>
      <c r="C293" s="281"/>
      <c r="D293" s="284"/>
      <c r="E293" s="284"/>
      <c r="F293" s="112" t="s">
        <v>237</v>
      </c>
      <c r="G293" s="287"/>
      <c r="H293" s="289"/>
      <c r="I293" s="290"/>
      <c r="J293" s="290"/>
      <c r="K293" s="290"/>
      <c r="L293" s="290"/>
      <c r="M293" s="290"/>
      <c r="N293" s="290"/>
      <c r="O293" s="290"/>
      <c r="P293" s="290"/>
      <c r="Q293" s="290"/>
      <c r="R293" s="290"/>
      <c r="S293" s="290"/>
      <c r="T293" s="290"/>
      <c r="U293" s="290"/>
      <c r="V293" s="290"/>
      <c r="W293" s="290"/>
      <c r="X293" s="290"/>
      <c r="Y293" s="290"/>
      <c r="Z293" s="290"/>
      <c r="AA293" s="290"/>
      <c r="AB293" s="290"/>
      <c r="AC293" s="290"/>
      <c r="AD293" s="290"/>
      <c r="AE293" s="290"/>
      <c r="AF293" s="290"/>
      <c r="AG293" s="290"/>
      <c r="AH293" s="290"/>
      <c r="AI293" s="290"/>
      <c r="AJ293" s="290"/>
      <c r="AK293" s="290"/>
      <c r="AL293" s="290"/>
      <c r="AM293" s="290"/>
      <c r="AN293" s="290"/>
      <c r="AO293" s="290"/>
      <c r="AP293" s="290"/>
      <c r="AQ293" s="290"/>
      <c r="AR293" s="290"/>
      <c r="AS293" s="290"/>
      <c r="AT293" s="290"/>
      <c r="AU293" s="290"/>
      <c r="AV293" s="290"/>
      <c r="AW293" s="290"/>
      <c r="AX293" s="290"/>
      <c r="AY293" s="290"/>
      <c r="AZ293" s="290"/>
      <c r="BA293" s="290"/>
      <c r="BB293" s="290"/>
      <c r="BC293" s="290"/>
      <c r="BD293" s="290"/>
      <c r="BE293" s="290"/>
      <c r="BF293" s="290"/>
      <c r="BG293" s="290"/>
      <c r="BH293" s="290"/>
      <c r="BI293" s="290"/>
      <c r="BJ293" s="290"/>
      <c r="BK293" s="290"/>
      <c r="BL293" s="290"/>
      <c r="BM293" s="290"/>
      <c r="BN293" s="290"/>
      <c r="BO293" s="290"/>
      <c r="BP293" s="290"/>
      <c r="BQ293" s="290"/>
      <c r="BR293" s="290"/>
      <c r="BS293" s="290"/>
      <c r="BT293" s="290"/>
      <c r="BU293" s="290"/>
      <c r="BV293" s="290"/>
      <c r="BW293" s="290"/>
      <c r="BX293" s="290"/>
      <c r="BY293" s="290"/>
      <c r="BZ293" s="290"/>
      <c r="CA293" s="290"/>
      <c r="CB293" s="290"/>
      <c r="CC293" s="290"/>
      <c r="CD293" s="290"/>
      <c r="CE293" s="290"/>
      <c r="CF293" s="290"/>
      <c r="CG293" s="290"/>
      <c r="CH293" s="290"/>
      <c r="CI293" s="290"/>
      <c r="CJ293" s="290"/>
      <c r="CK293" s="290"/>
      <c r="CL293" s="290"/>
      <c r="CM293" s="290"/>
      <c r="CN293" s="290"/>
      <c r="CO293" s="290"/>
      <c r="CP293" s="290"/>
      <c r="CQ293" s="290"/>
      <c r="CR293" s="290"/>
      <c r="CS293" s="290"/>
      <c r="CT293" s="290"/>
      <c r="CU293" s="290"/>
      <c r="CV293" s="290"/>
      <c r="CW293" s="290"/>
      <c r="CX293" s="290"/>
      <c r="CY293" s="290"/>
      <c r="CZ293" s="290"/>
      <c r="DA293" s="290"/>
      <c r="DB293" s="290"/>
      <c r="DC293" s="290"/>
      <c r="DD293" s="290"/>
      <c r="DE293" s="290"/>
      <c r="DF293" s="290"/>
      <c r="DG293" s="290"/>
      <c r="DH293" s="290"/>
      <c r="DI293" s="290"/>
      <c r="DJ293" s="290"/>
      <c r="DK293" s="290"/>
      <c r="DL293" s="290"/>
      <c r="DM293" s="290"/>
      <c r="DN293" s="290"/>
      <c r="DO293" s="290"/>
      <c r="DP293" s="290"/>
      <c r="DQ293" s="290"/>
      <c r="DR293" s="290"/>
      <c r="DS293" s="290"/>
      <c r="DT293" s="290"/>
      <c r="DU293" s="290"/>
      <c r="DV293" s="290"/>
      <c r="DW293" s="290"/>
      <c r="DX293" s="290"/>
      <c r="DY293" s="290"/>
      <c r="DZ293" s="290"/>
      <c r="EA293" s="290"/>
      <c r="EB293" s="290"/>
      <c r="EC293" s="290"/>
      <c r="ED293" s="290"/>
      <c r="EE293" s="290"/>
      <c r="EF293" s="290"/>
      <c r="EG293" s="290"/>
      <c r="EH293" s="290"/>
      <c r="EI293" s="290"/>
      <c r="EJ293" s="290"/>
      <c r="EK293" s="290"/>
      <c r="EL293" s="290"/>
      <c r="EM293" s="290"/>
      <c r="EN293" s="290"/>
      <c r="EO293" s="290"/>
      <c r="EP293" s="290"/>
      <c r="EQ293" s="290"/>
      <c r="ER293" s="290"/>
      <c r="ES293" s="290"/>
      <c r="ET293" s="290"/>
      <c r="EU293" s="290"/>
      <c r="EV293" s="290"/>
      <c r="EW293" s="290"/>
      <c r="EX293" s="290"/>
      <c r="EY293" s="290"/>
      <c r="EZ293" s="290"/>
      <c r="FA293" s="290"/>
      <c r="FB293" s="290"/>
      <c r="FC293" s="290"/>
      <c r="FD293" s="290"/>
      <c r="FE293" s="290"/>
      <c r="FF293" s="290"/>
      <c r="FG293" s="290"/>
      <c r="FH293" s="290"/>
      <c r="FI293" s="290"/>
      <c r="FJ293" s="290"/>
      <c r="FK293" s="290"/>
      <c r="FL293" s="290"/>
      <c r="FM293" s="290"/>
      <c r="FN293" s="290"/>
      <c r="FO293" s="290"/>
      <c r="FP293" s="290"/>
      <c r="FQ293" s="290"/>
      <c r="FR293" s="290"/>
      <c r="FS293" s="290"/>
      <c r="FT293" s="290"/>
      <c r="FU293" s="290"/>
      <c r="FV293" s="290"/>
      <c r="FW293" s="290"/>
      <c r="FX293" s="290"/>
      <c r="FY293" s="290"/>
      <c r="FZ293" s="290"/>
      <c r="GA293" s="290"/>
      <c r="GB293" s="290"/>
      <c r="GC293" s="290"/>
      <c r="GD293" s="290"/>
      <c r="GE293" s="290"/>
      <c r="GF293" s="290"/>
      <c r="GG293" s="290"/>
      <c r="GH293" s="290"/>
      <c r="GI293" s="290"/>
      <c r="GJ293" s="290"/>
      <c r="GK293" s="290"/>
      <c r="GL293" s="290"/>
      <c r="GM293" s="290"/>
      <c r="GN293" s="290"/>
      <c r="GO293" s="290"/>
      <c r="GP293" s="290"/>
      <c r="GQ293" s="290"/>
      <c r="GR293" s="290"/>
      <c r="GS293" s="290"/>
      <c r="GT293" s="290"/>
      <c r="GU293" s="290"/>
      <c r="GV293" s="290"/>
      <c r="GW293" s="290"/>
      <c r="GX293" s="290"/>
      <c r="GY293" s="290"/>
      <c r="GZ293" s="290"/>
      <c r="HA293" s="290"/>
      <c r="HB293" s="290"/>
      <c r="HC293" s="290"/>
      <c r="HD293" s="290"/>
      <c r="HE293" s="290"/>
      <c r="HF293" s="290"/>
      <c r="HG293" s="290"/>
      <c r="HH293" s="290"/>
      <c r="HI293" s="290"/>
      <c r="HJ293" s="290"/>
      <c r="HK293" s="290"/>
      <c r="HL293" s="290"/>
      <c r="HM293" s="290"/>
      <c r="HN293" s="290"/>
      <c r="HO293" s="290"/>
      <c r="HP293" s="290"/>
      <c r="HQ293" s="290"/>
      <c r="HR293" s="290"/>
      <c r="HS293" s="290"/>
      <c r="HT293" s="290"/>
      <c r="HU293" s="290"/>
      <c r="HV293" s="290"/>
      <c r="HW293" s="290"/>
      <c r="HX293" s="290"/>
      <c r="HY293" s="290"/>
      <c r="HZ293" s="290"/>
      <c r="IA293" s="290"/>
      <c r="IB293" s="290"/>
      <c r="IC293" s="290"/>
      <c r="ID293" s="290"/>
      <c r="IE293" s="290"/>
      <c r="IF293" s="290"/>
      <c r="IG293" s="290"/>
      <c r="IH293" s="290"/>
      <c r="II293" s="290"/>
      <c r="IJ293" s="290"/>
      <c r="IK293" s="290"/>
      <c r="IL293" s="290"/>
      <c r="IM293" s="290"/>
      <c r="IN293" s="290"/>
      <c r="IO293" s="290"/>
      <c r="IP293" s="290"/>
      <c r="IQ293" s="290"/>
    </row>
    <row r="294" spans="1:251" x14ac:dyDescent="0.3">
      <c r="A294" s="270"/>
      <c r="B294" s="279"/>
      <c r="C294" s="282"/>
      <c r="D294" s="285"/>
      <c r="E294" s="285"/>
      <c r="F294" s="113" t="s">
        <v>238</v>
      </c>
      <c r="G294" s="288"/>
      <c r="H294" s="289"/>
      <c r="I294" s="290"/>
      <c r="J294" s="290"/>
      <c r="K294" s="290"/>
      <c r="L294" s="290"/>
      <c r="M294" s="290"/>
      <c r="N294" s="290"/>
      <c r="O294" s="290"/>
      <c r="P294" s="290"/>
      <c r="Q294" s="290"/>
      <c r="R294" s="290"/>
      <c r="S294" s="290"/>
      <c r="T294" s="290"/>
      <c r="U294" s="290"/>
      <c r="V294" s="290"/>
      <c r="W294" s="290"/>
      <c r="X294" s="290"/>
      <c r="Y294" s="290"/>
      <c r="Z294" s="290"/>
      <c r="AA294" s="290"/>
      <c r="AB294" s="290"/>
      <c r="AC294" s="290"/>
      <c r="AD294" s="290"/>
      <c r="AE294" s="290"/>
      <c r="AF294" s="290"/>
      <c r="AG294" s="290"/>
      <c r="AH294" s="290"/>
      <c r="AI294" s="290"/>
      <c r="AJ294" s="290"/>
      <c r="AK294" s="290"/>
      <c r="AL294" s="290"/>
      <c r="AM294" s="290"/>
      <c r="AN294" s="290"/>
      <c r="AO294" s="290"/>
      <c r="AP294" s="290"/>
      <c r="AQ294" s="290"/>
      <c r="AR294" s="290"/>
      <c r="AS294" s="290"/>
      <c r="AT294" s="290"/>
      <c r="AU294" s="290"/>
      <c r="AV294" s="290"/>
      <c r="AW294" s="290"/>
      <c r="AX294" s="290"/>
      <c r="AY294" s="290"/>
      <c r="AZ294" s="290"/>
      <c r="BA294" s="290"/>
      <c r="BB294" s="290"/>
      <c r="BC294" s="290"/>
      <c r="BD294" s="290"/>
      <c r="BE294" s="290"/>
      <c r="BF294" s="290"/>
      <c r="BG294" s="290"/>
      <c r="BH294" s="290"/>
      <c r="BI294" s="290"/>
      <c r="BJ294" s="290"/>
      <c r="BK294" s="290"/>
      <c r="BL294" s="290"/>
      <c r="BM294" s="290"/>
      <c r="BN294" s="290"/>
      <c r="BO294" s="290"/>
      <c r="BP294" s="290"/>
      <c r="BQ294" s="290"/>
      <c r="BR294" s="290"/>
      <c r="BS294" s="290"/>
      <c r="BT294" s="290"/>
      <c r="BU294" s="290"/>
      <c r="BV294" s="290"/>
      <c r="BW294" s="290"/>
      <c r="BX294" s="290"/>
      <c r="BY294" s="290"/>
      <c r="BZ294" s="290"/>
      <c r="CA294" s="290"/>
      <c r="CB294" s="290"/>
      <c r="CC294" s="290"/>
      <c r="CD294" s="290"/>
      <c r="CE294" s="290"/>
      <c r="CF294" s="290"/>
      <c r="CG294" s="290"/>
      <c r="CH294" s="290"/>
      <c r="CI294" s="290"/>
      <c r="CJ294" s="290"/>
      <c r="CK294" s="290"/>
      <c r="CL294" s="290"/>
      <c r="CM294" s="290"/>
      <c r="CN294" s="290"/>
      <c r="CO294" s="290"/>
      <c r="CP294" s="290"/>
      <c r="CQ294" s="290"/>
      <c r="CR294" s="290"/>
      <c r="CS294" s="290"/>
      <c r="CT294" s="290"/>
      <c r="CU294" s="290"/>
      <c r="CV294" s="290"/>
      <c r="CW294" s="290"/>
      <c r="CX294" s="290"/>
      <c r="CY294" s="290"/>
      <c r="CZ294" s="290"/>
      <c r="DA294" s="290"/>
      <c r="DB294" s="290"/>
      <c r="DC294" s="290"/>
      <c r="DD294" s="290"/>
      <c r="DE294" s="290"/>
      <c r="DF294" s="290"/>
      <c r="DG294" s="290"/>
      <c r="DH294" s="290"/>
      <c r="DI294" s="290"/>
      <c r="DJ294" s="290"/>
      <c r="DK294" s="290"/>
      <c r="DL294" s="290"/>
      <c r="DM294" s="290"/>
      <c r="DN294" s="290"/>
      <c r="DO294" s="290"/>
      <c r="DP294" s="290"/>
      <c r="DQ294" s="290"/>
      <c r="DR294" s="290"/>
      <c r="DS294" s="290"/>
      <c r="DT294" s="290"/>
      <c r="DU294" s="290"/>
      <c r="DV294" s="290"/>
      <c r="DW294" s="290"/>
      <c r="DX294" s="290"/>
      <c r="DY294" s="290"/>
      <c r="DZ294" s="290"/>
      <c r="EA294" s="290"/>
      <c r="EB294" s="290"/>
      <c r="EC294" s="290"/>
      <c r="ED294" s="290"/>
      <c r="EE294" s="290"/>
      <c r="EF294" s="290"/>
      <c r="EG294" s="290"/>
      <c r="EH294" s="290"/>
      <c r="EI294" s="290"/>
      <c r="EJ294" s="290"/>
      <c r="EK294" s="290"/>
      <c r="EL294" s="290"/>
      <c r="EM294" s="290"/>
      <c r="EN294" s="290"/>
      <c r="EO294" s="290"/>
      <c r="EP294" s="290"/>
      <c r="EQ294" s="290"/>
      <c r="ER294" s="290"/>
      <c r="ES294" s="290"/>
      <c r="ET294" s="290"/>
      <c r="EU294" s="290"/>
      <c r="EV294" s="290"/>
      <c r="EW294" s="290"/>
      <c r="EX294" s="290"/>
      <c r="EY294" s="290"/>
      <c r="EZ294" s="290"/>
      <c r="FA294" s="290"/>
      <c r="FB294" s="290"/>
      <c r="FC294" s="290"/>
      <c r="FD294" s="290"/>
      <c r="FE294" s="290"/>
      <c r="FF294" s="290"/>
      <c r="FG294" s="290"/>
      <c r="FH294" s="290"/>
      <c r="FI294" s="290"/>
      <c r="FJ294" s="290"/>
      <c r="FK294" s="290"/>
      <c r="FL294" s="290"/>
      <c r="FM294" s="290"/>
      <c r="FN294" s="290"/>
      <c r="FO294" s="290"/>
      <c r="FP294" s="290"/>
      <c r="FQ294" s="290"/>
      <c r="FR294" s="290"/>
      <c r="FS294" s="290"/>
      <c r="FT294" s="290"/>
      <c r="FU294" s="290"/>
      <c r="FV294" s="290"/>
      <c r="FW294" s="290"/>
      <c r="FX294" s="290"/>
      <c r="FY294" s="290"/>
      <c r="FZ294" s="290"/>
      <c r="GA294" s="290"/>
      <c r="GB294" s="290"/>
      <c r="GC294" s="290"/>
      <c r="GD294" s="290"/>
      <c r="GE294" s="290"/>
      <c r="GF294" s="290"/>
      <c r="GG294" s="290"/>
      <c r="GH294" s="290"/>
      <c r="GI294" s="290"/>
      <c r="GJ294" s="290"/>
      <c r="GK294" s="290"/>
      <c r="GL294" s="290"/>
      <c r="GM294" s="290"/>
      <c r="GN294" s="290"/>
      <c r="GO294" s="290"/>
      <c r="GP294" s="290"/>
      <c r="GQ294" s="290"/>
      <c r="GR294" s="290"/>
      <c r="GS294" s="290"/>
      <c r="GT294" s="290"/>
      <c r="GU294" s="290"/>
      <c r="GV294" s="290"/>
      <c r="GW294" s="290"/>
      <c r="GX294" s="290"/>
      <c r="GY294" s="290"/>
      <c r="GZ294" s="290"/>
      <c r="HA294" s="290"/>
      <c r="HB294" s="290"/>
      <c r="HC294" s="290"/>
      <c r="HD294" s="290"/>
      <c r="HE294" s="290"/>
      <c r="HF294" s="290"/>
      <c r="HG294" s="290"/>
      <c r="HH294" s="290"/>
      <c r="HI294" s="290"/>
      <c r="HJ294" s="290"/>
      <c r="HK294" s="290"/>
      <c r="HL294" s="290"/>
      <c r="HM294" s="290"/>
      <c r="HN294" s="290"/>
      <c r="HO294" s="290"/>
      <c r="HP294" s="290"/>
      <c r="HQ294" s="290"/>
      <c r="HR294" s="290"/>
      <c r="HS294" s="290"/>
      <c r="HT294" s="290"/>
      <c r="HU294" s="290"/>
      <c r="HV294" s="290"/>
      <c r="HW294" s="290"/>
      <c r="HX294" s="290"/>
      <c r="HY294" s="290"/>
      <c r="HZ294" s="290"/>
      <c r="IA294" s="290"/>
      <c r="IB294" s="290"/>
      <c r="IC294" s="290"/>
      <c r="ID294" s="290"/>
      <c r="IE294" s="290"/>
      <c r="IF294" s="290"/>
      <c r="IG294" s="290"/>
      <c r="IH294" s="290"/>
      <c r="II294" s="290"/>
      <c r="IJ294" s="290"/>
      <c r="IK294" s="290"/>
      <c r="IL294" s="290"/>
      <c r="IM294" s="290"/>
      <c r="IN294" s="290"/>
      <c r="IO294" s="290"/>
      <c r="IP294" s="290"/>
      <c r="IQ294" s="290"/>
    </row>
    <row r="295" spans="1:251" ht="39" x14ac:dyDescent="0.3">
      <c r="A295" s="239"/>
      <c r="B295" s="21" t="s">
        <v>1852</v>
      </c>
      <c r="C295" s="129" t="s">
        <v>49</v>
      </c>
      <c r="D295" s="166" t="s">
        <v>37</v>
      </c>
      <c r="E295" s="166" t="s">
        <v>38</v>
      </c>
      <c r="F295" s="100" t="s">
        <v>1854</v>
      </c>
      <c r="G295" s="183"/>
      <c r="H295" s="183"/>
      <c r="I295" s="183"/>
      <c r="J295" s="183"/>
      <c r="K295" s="183"/>
      <c r="L295" s="183"/>
      <c r="M295" s="183"/>
      <c r="N295" s="183"/>
      <c r="O295" s="183"/>
      <c r="P295" s="183"/>
      <c r="Q295" s="183"/>
      <c r="R295" s="183"/>
      <c r="S295" s="183"/>
      <c r="T295" s="183"/>
      <c r="U295" s="183"/>
      <c r="V295" s="183"/>
      <c r="W295" s="183"/>
      <c r="X295" s="183"/>
      <c r="Y295" s="183"/>
      <c r="Z295" s="183"/>
      <c r="AA295" s="183"/>
      <c r="AB295" s="183"/>
      <c r="AC295" s="183"/>
      <c r="AD295" s="183"/>
      <c r="AE295" s="183"/>
      <c r="AF295" s="183"/>
      <c r="AG295" s="183"/>
      <c r="AH295" s="183"/>
      <c r="AI295" s="183"/>
      <c r="AJ295" s="183"/>
      <c r="AK295" s="183"/>
      <c r="AL295" s="183"/>
      <c r="AM295" s="183"/>
      <c r="AN295" s="183"/>
      <c r="AO295" s="183"/>
      <c r="AP295" s="183"/>
      <c r="AQ295" s="183"/>
      <c r="AR295" s="183"/>
      <c r="AS295" s="183"/>
      <c r="AT295" s="183"/>
      <c r="AU295" s="183"/>
      <c r="AV295" s="183"/>
      <c r="AW295" s="183"/>
      <c r="AX295" s="183"/>
      <c r="AY295" s="183"/>
      <c r="AZ295" s="183"/>
      <c r="BA295" s="183"/>
      <c r="BB295" s="183"/>
      <c r="BC295" s="183"/>
      <c r="BD295" s="183"/>
      <c r="BE295" s="183"/>
      <c r="BF295" s="183"/>
      <c r="BG295" s="183"/>
      <c r="BH295" s="183"/>
      <c r="BI295" s="183"/>
      <c r="BJ295" s="183"/>
      <c r="BK295" s="183"/>
      <c r="BL295" s="183"/>
      <c r="BM295" s="183"/>
      <c r="BN295" s="183"/>
      <c r="BO295" s="183"/>
      <c r="BP295" s="183"/>
      <c r="BQ295" s="183"/>
      <c r="BR295" s="183"/>
      <c r="BS295" s="183"/>
      <c r="BT295" s="183"/>
      <c r="BU295" s="183"/>
      <c r="BV295" s="183"/>
      <c r="BW295" s="183"/>
      <c r="BX295" s="183"/>
      <c r="BY295" s="183"/>
      <c r="BZ295" s="183"/>
      <c r="CA295" s="183"/>
      <c r="CB295" s="183"/>
      <c r="CC295" s="183"/>
      <c r="CD295" s="183"/>
      <c r="CE295" s="183"/>
      <c r="CF295" s="183"/>
      <c r="CG295" s="183"/>
      <c r="CH295" s="183"/>
      <c r="CI295" s="183"/>
      <c r="CJ295" s="183"/>
      <c r="CK295" s="183"/>
      <c r="CL295" s="183"/>
      <c r="CM295" s="183"/>
      <c r="CN295" s="183"/>
      <c r="CO295" s="183"/>
      <c r="CP295" s="183"/>
      <c r="CQ295" s="183"/>
      <c r="CR295" s="183"/>
      <c r="CS295" s="183"/>
      <c r="CT295" s="183"/>
      <c r="CU295" s="183"/>
      <c r="CV295" s="183"/>
      <c r="CW295" s="183"/>
      <c r="CX295" s="183"/>
      <c r="CY295" s="183"/>
      <c r="CZ295" s="183"/>
      <c r="DA295" s="183"/>
      <c r="DB295" s="183"/>
      <c r="DC295" s="183"/>
      <c r="DD295" s="183"/>
      <c r="DE295" s="183"/>
      <c r="DF295" s="183"/>
      <c r="DG295" s="183"/>
      <c r="DH295" s="183"/>
      <c r="DI295" s="183"/>
      <c r="DJ295" s="183"/>
      <c r="DK295" s="183"/>
      <c r="DL295" s="183"/>
      <c r="DM295" s="183"/>
      <c r="DN295" s="183"/>
      <c r="DO295" s="183"/>
      <c r="DP295" s="183"/>
      <c r="DQ295" s="183"/>
      <c r="DR295" s="183"/>
      <c r="DS295" s="183"/>
      <c r="DT295" s="183"/>
      <c r="DU295" s="183"/>
      <c r="DV295" s="183"/>
      <c r="DW295" s="183"/>
      <c r="DX295" s="183"/>
      <c r="DY295" s="183"/>
      <c r="DZ295" s="183"/>
      <c r="EA295" s="183"/>
      <c r="EB295" s="183"/>
      <c r="EC295" s="183"/>
      <c r="ED295" s="183"/>
      <c r="EE295" s="183"/>
      <c r="EF295" s="183"/>
      <c r="EG295" s="183"/>
      <c r="EH295" s="183"/>
      <c r="EI295" s="183"/>
      <c r="EJ295" s="183"/>
      <c r="EK295" s="183"/>
      <c r="EL295" s="183"/>
      <c r="EM295" s="183"/>
      <c r="EN295" s="183"/>
      <c r="EO295" s="183"/>
      <c r="EP295" s="183"/>
      <c r="EQ295" s="183"/>
      <c r="ER295" s="183"/>
      <c r="ES295" s="183"/>
      <c r="ET295" s="183"/>
      <c r="EU295" s="183"/>
      <c r="EV295" s="183"/>
      <c r="EW295" s="183"/>
      <c r="EX295" s="183"/>
      <c r="EY295" s="183"/>
      <c r="EZ295" s="183"/>
      <c r="FA295" s="183"/>
      <c r="FB295" s="183"/>
      <c r="FC295" s="183"/>
      <c r="FD295" s="183"/>
      <c r="FE295" s="183"/>
      <c r="FF295" s="183"/>
      <c r="FG295" s="183"/>
      <c r="FH295" s="183"/>
      <c r="FI295" s="183"/>
      <c r="FJ295" s="183"/>
      <c r="FK295" s="183"/>
      <c r="FL295" s="183"/>
      <c r="FM295" s="183"/>
      <c r="FN295" s="183"/>
      <c r="FO295" s="183"/>
      <c r="FP295" s="183"/>
      <c r="FQ295" s="183"/>
      <c r="FR295" s="183"/>
      <c r="FS295" s="183"/>
      <c r="FT295" s="183"/>
      <c r="FU295" s="183"/>
      <c r="FV295" s="183"/>
      <c r="FW295" s="183"/>
      <c r="FX295" s="183"/>
      <c r="FY295" s="183"/>
      <c r="FZ295" s="183"/>
      <c r="GA295" s="183"/>
      <c r="GB295" s="183"/>
      <c r="GC295" s="183"/>
      <c r="GD295" s="183"/>
      <c r="GE295" s="183"/>
      <c r="GF295" s="183"/>
      <c r="GG295" s="183"/>
      <c r="GH295" s="183"/>
      <c r="GI295" s="183"/>
      <c r="GJ295" s="183"/>
      <c r="GK295" s="183"/>
      <c r="GL295" s="183"/>
      <c r="GM295" s="183"/>
      <c r="GN295" s="183"/>
      <c r="GO295" s="183"/>
      <c r="GP295" s="183"/>
      <c r="GQ295" s="183"/>
      <c r="GR295" s="183"/>
      <c r="GS295" s="183"/>
      <c r="GT295" s="183"/>
      <c r="GU295" s="183"/>
      <c r="GV295" s="183"/>
      <c r="GW295" s="183"/>
      <c r="GX295" s="183"/>
      <c r="GY295" s="183"/>
      <c r="GZ295" s="183"/>
      <c r="HA295" s="183"/>
      <c r="HB295" s="183"/>
      <c r="HC295" s="183"/>
      <c r="HD295" s="183"/>
      <c r="HE295" s="183"/>
      <c r="HF295" s="183"/>
      <c r="HG295" s="183"/>
      <c r="HH295" s="183"/>
      <c r="HI295" s="183"/>
      <c r="HJ295" s="183"/>
      <c r="HK295" s="183"/>
      <c r="HL295" s="183"/>
      <c r="HM295" s="183"/>
      <c r="HN295" s="183"/>
      <c r="HO295" s="183"/>
      <c r="HP295" s="183"/>
      <c r="HQ295" s="183"/>
      <c r="HR295" s="183"/>
      <c r="HS295" s="183"/>
      <c r="HT295" s="183"/>
      <c r="HU295" s="183"/>
      <c r="HV295" s="183"/>
      <c r="HW295" s="183"/>
      <c r="HX295" s="183"/>
      <c r="HY295" s="183"/>
      <c r="HZ295" s="183"/>
      <c r="IA295" s="183"/>
      <c r="IB295" s="183"/>
      <c r="IC295" s="183"/>
      <c r="ID295" s="183"/>
      <c r="IE295" s="183"/>
      <c r="IF295" s="183"/>
      <c r="IG295" s="183"/>
      <c r="IH295" s="183"/>
      <c r="II295" s="183"/>
      <c r="IJ295" s="183"/>
      <c r="IK295" s="183"/>
      <c r="IL295" s="183"/>
      <c r="IM295" s="183"/>
      <c r="IN295" s="183"/>
      <c r="IO295" s="183"/>
      <c r="IP295" s="183"/>
      <c r="IQ295" s="183"/>
    </row>
    <row r="296" spans="1:251" ht="39" x14ac:dyDescent="0.3">
      <c r="A296" s="83" t="s">
        <v>184</v>
      </c>
      <c r="B296" s="196" t="s">
        <v>262</v>
      </c>
      <c r="C296" s="191" t="s">
        <v>30</v>
      </c>
      <c r="D296" s="192" t="s">
        <v>31</v>
      </c>
      <c r="E296" s="192" t="s">
        <v>32</v>
      </c>
      <c r="F296" s="114" t="s">
        <v>33</v>
      </c>
    </row>
    <row r="297" spans="1:251" x14ac:dyDescent="0.3">
      <c r="A297" s="268" t="s">
        <v>263</v>
      </c>
      <c r="B297" s="271" t="s">
        <v>46</v>
      </c>
      <c r="C297" s="274" t="s">
        <v>36</v>
      </c>
      <c r="D297" s="265" t="s">
        <v>37</v>
      </c>
      <c r="E297" s="265" t="s">
        <v>38</v>
      </c>
      <c r="F297" s="108" t="s">
        <v>233</v>
      </c>
    </row>
    <row r="298" spans="1:251" x14ac:dyDescent="0.3">
      <c r="A298" s="269"/>
      <c r="B298" s="272"/>
      <c r="C298" s="275"/>
      <c r="D298" s="266"/>
      <c r="E298" s="266"/>
      <c r="F298" s="109" t="s">
        <v>234</v>
      </c>
    </row>
    <row r="299" spans="1:251" x14ac:dyDescent="0.3">
      <c r="A299" s="270"/>
      <c r="B299" s="273"/>
      <c r="C299" s="276"/>
      <c r="D299" s="267"/>
      <c r="E299" s="267"/>
      <c r="F299" s="110" t="s">
        <v>235</v>
      </c>
    </row>
    <row r="300" spans="1:251" x14ac:dyDescent="0.3">
      <c r="A300" s="268" t="s">
        <v>263</v>
      </c>
      <c r="B300" s="271" t="s">
        <v>48</v>
      </c>
      <c r="C300" s="274" t="s">
        <v>49</v>
      </c>
      <c r="D300" s="265" t="s">
        <v>37</v>
      </c>
      <c r="E300" s="265" t="s">
        <v>38</v>
      </c>
      <c r="F300" s="111" t="s">
        <v>236</v>
      </c>
    </row>
    <row r="301" spans="1:251" x14ac:dyDescent="0.3">
      <c r="A301" s="269"/>
      <c r="B301" s="272"/>
      <c r="C301" s="275"/>
      <c r="D301" s="266"/>
      <c r="E301" s="266"/>
      <c r="F301" s="112" t="s">
        <v>237</v>
      </c>
    </row>
    <row r="302" spans="1:251" x14ac:dyDescent="0.3">
      <c r="A302" s="270"/>
      <c r="B302" s="273"/>
      <c r="C302" s="276"/>
      <c r="D302" s="267"/>
      <c r="E302" s="267"/>
      <c r="F302" s="113" t="s">
        <v>238</v>
      </c>
    </row>
    <row r="303" spans="1:251" ht="39" x14ac:dyDescent="0.3">
      <c r="A303" s="239" t="s">
        <v>263</v>
      </c>
      <c r="B303" s="21" t="s">
        <v>1852</v>
      </c>
      <c r="C303" s="129" t="s">
        <v>49</v>
      </c>
      <c r="D303" s="166" t="s">
        <v>37</v>
      </c>
      <c r="E303" s="166" t="s">
        <v>38</v>
      </c>
      <c r="F303" s="100" t="s">
        <v>1854</v>
      </c>
    </row>
    <row r="304" spans="1:251" ht="39" x14ac:dyDescent="0.3">
      <c r="A304" s="83" t="s">
        <v>184</v>
      </c>
      <c r="B304" s="196" t="s">
        <v>264</v>
      </c>
      <c r="C304" s="191" t="s">
        <v>30</v>
      </c>
      <c r="D304" s="192" t="s">
        <v>31</v>
      </c>
      <c r="E304" s="192" t="s">
        <v>32</v>
      </c>
      <c r="F304" s="114" t="s">
        <v>33</v>
      </c>
    </row>
    <row r="305" spans="1:251" x14ac:dyDescent="0.3">
      <c r="A305" s="268" t="s">
        <v>265</v>
      </c>
      <c r="B305" s="271" t="s">
        <v>46</v>
      </c>
      <c r="C305" s="274" t="s">
        <v>36</v>
      </c>
      <c r="D305" s="265" t="s">
        <v>37</v>
      </c>
      <c r="E305" s="265" t="s">
        <v>38</v>
      </c>
      <c r="F305" s="108" t="s">
        <v>233</v>
      </c>
    </row>
    <row r="306" spans="1:251" x14ac:dyDescent="0.3">
      <c r="A306" s="269"/>
      <c r="B306" s="272"/>
      <c r="C306" s="275"/>
      <c r="D306" s="266"/>
      <c r="E306" s="266"/>
      <c r="F306" s="109" t="s">
        <v>234</v>
      </c>
    </row>
    <row r="307" spans="1:251" x14ac:dyDescent="0.3">
      <c r="A307" s="270"/>
      <c r="B307" s="273"/>
      <c r="C307" s="276"/>
      <c r="D307" s="267"/>
      <c r="E307" s="267"/>
      <c r="F307" s="110" t="s">
        <v>235</v>
      </c>
    </row>
    <row r="308" spans="1:251" x14ac:dyDescent="0.3">
      <c r="A308" s="268" t="s">
        <v>265</v>
      </c>
      <c r="B308" s="271" t="s">
        <v>48</v>
      </c>
      <c r="C308" s="274" t="s">
        <v>49</v>
      </c>
      <c r="D308" s="265" t="s">
        <v>37</v>
      </c>
      <c r="E308" s="265" t="s">
        <v>38</v>
      </c>
      <c r="F308" s="111" t="s">
        <v>236</v>
      </c>
    </row>
    <row r="309" spans="1:251" x14ac:dyDescent="0.3">
      <c r="A309" s="269"/>
      <c r="B309" s="272"/>
      <c r="C309" s="275"/>
      <c r="D309" s="266"/>
      <c r="E309" s="266"/>
      <c r="F309" s="112" t="s">
        <v>237</v>
      </c>
    </row>
    <row r="310" spans="1:251" x14ac:dyDescent="0.3">
      <c r="A310" s="270"/>
      <c r="B310" s="273"/>
      <c r="C310" s="276"/>
      <c r="D310" s="267"/>
      <c r="E310" s="267"/>
      <c r="F310" s="113" t="s">
        <v>238</v>
      </c>
    </row>
    <row r="311" spans="1:251" ht="39" x14ac:dyDescent="0.3">
      <c r="A311" s="239" t="s">
        <v>265</v>
      </c>
      <c r="B311" s="21" t="s">
        <v>1852</v>
      </c>
      <c r="C311" s="129" t="s">
        <v>49</v>
      </c>
      <c r="D311" s="166" t="s">
        <v>37</v>
      </c>
      <c r="E311" s="166" t="s">
        <v>38</v>
      </c>
      <c r="F311" s="100" t="s">
        <v>1854</v>
      </c>
    </row>
    <row r="312" spans="1:251" ht="39" x14ac:dyDescent="0.3">
      <c r="A312" s="83" t="s">
        <v>184</v>
      </c>
      <c r="B312" s="196" t="s">
        <v>266</v>
      </c>
      <c r="C312" s="191" t="s">
        <v>30</v>
      </c>
      <c r="D312" s="192" t="s">
        <v>31</v>
      </c>
      <c r="E312" s="192" t="s">
        <v>32</v>
      </c>
      <c r="F312" s="114" t="s">
        <v>33</v>
      </c>
      <c r="G312" s="191" t="s">
        <v>5</v>
      </c>
      <c r="H312" s="200"/>
      <c r="I312" s="201"/>
      <c r="J312" s="201"/>
      <c r="K312" s="201"/>
      <c r="L312" s="201"/>
      <c r="M312" s="201"/>
      <c r="N312" s="201"/>
      <c r="O312" s="201"/>
      <c r="P312" s="201"/>
      <c r="Q312" s="201"/>
      <c r="R312" s="201"/>
      <c r="S312" s="201"/>
      <c r="T312" s="201"/>
      <c r="U312" s="201"/>
      <c r="V312" s="201"/>
      <c r="W312" s="201"/>
      <c r="X312" s="201"/>
      <c r="Y312" s="201"/>
      <c r="Z312" s="201"/>
      <c r="AA312" s="201"/>
      <c r="AB312" s="201"/>
      <c r="AC312" s="201"/>
      <c r="AD312" s="201"/>
      <c r="AE312" s="201"/>
      <c r="AF312" s="201"/>
      <c r="AG312" s="201"/>
      <c r="AH312" s="201"/>
      <c r="AI312" s="201"/>
      <c r="AJ312" s="201"/>
      <c r="AK312" s="201"/>
      <c r="AL312" s="201"/>
      <c r="AM312" s="201"/>
      <c r="AN312" s="201"/>
      <c r="AO312" s="201"/>
      <c r="AP312" s="201"/>
      <c r="AQ312" s="201"/>
      <c r="AR312" s="201"/>
      <c r="AS312" s="201"/>
      <c r="AT312" s="201"/>
      <c r="AU312" s="201"/>
      <c r="AV312" s="201"/>
      <c r="AW312" s="201"/>
      <c r="AX312" s="201"/>
      <c r="AY312" s="201"/>
      <c r="AZ312" s="201"/>
      <c r="BA312" s="201"/>
      <c r="BB312" s="201"/>
      <c r="BC312" s="201"/>
      <c r="BD312" s="201"/>
      <c r="BE312" s="201"/>
      <c r="BF312" s="201"/>
      <c r="BG312" s="201"/>
      <c r="BH312" s="201"/>
      <c r="BI312" s="201"/>
      <c r="BJ312" s="201"/>
      <c r="BK312" s="201"/>
      <c r="BL312" s="201"/>
      <c r="BM312" s="201"/>
      <c r="BN312" s="201"/>
      <c r="BO312" s="201"/>
      <c r="BP312" s="201"/>
      <c r="BQ312" s="201"/>
      <c r="BR312" s="201"/>
      <c r="BS312" s="201"/>
      <c r="BT312" s="201"/>
      <c r="BU312" s="201"/>
      <c r="BV312" s="201"/>
      <c r="BW312" s="201"/>
      <c r="BX312" s="201"/>
      <c r="BY312" s="201"/>
      <c r="BZ312" s="201"/>
      <c r="CA312" s="201"/>
      <c r="CB312" s="201"/>
      <c r="CC312" s="201"/>
      <c r="CD312" s="201"/>
      <c r="CE312" s="201"/>
      <c r="CF312" s="201"/>
      <c r="CG312" s="201"/>
      <c r="CH312" s="201"/>
      <c r="CI312" s="201"/>
      <c r="CJ312" s="201"/>
      <c r="CK312" s="201"/>
      <c r="CL312" s="201"/>
      <c r="CM312" s="201"/>
      <c r="CN312" s="201"/>
      <c r="CO312" s="201"/>
      <c r="CP312" s="201"/>
      <c r="CQ312" s="201"/>
      <c r="CR312" s="201"/>
      <c r="CS312" s="201"/>
      <c r="CT312" s="201"/>
      <c r="CU312" s="201"/>
      <c r="CV312" s="201"/>
      <c r="CW312" s="201"/>
      <c r="CX312" s="201"/>
      <c r="CY312" s="201"/>
      <c r="CZ312" s="201"/>
      <c r="DA312" s="201"/>
      <c r="DB312" s="201"/>
      <c r="DC312" s="201"/>
      <c r="DD312" s="201"/>
      <c r="DE312" s="201"/>
      <c r="DF312" s="201"/>
      <c r="DG312" s="201"/>
      <c r="DH312" s="201"/>
      <c r="DI312" s="201"/>
      <c r="DJ312" s="201"/>
      <c r="DK312" s="201"/>
      <c r="DL312" s="201"/>
      <c r="DM312" s="201"/>
      <c r="DN312" s="201"/>
      <c r="DO312" s="201"/>
      <c r="DP312" s="201"/>
      <c r="DQ312" s="201"/>
      <c r="DR312" s="201"/>
      <c r="DS312" s="201"/>
      <c r="DT312" s="201"/>
      <c r="DU312" s="201"/>
      <c r="DV312" s="201"/>
      <c r="DW312" s="201"/>
      <c r="DX312" s="201"/>
      <c r="DY312" s="201"/>
      <c r="DZ312" s="201"/>
      <c r="EA312" s="201"/>
      <c r="EB312" s="201"/>
      <c r="EC312" s="201"/>
      <c r="ED312" s="201"/>
      <c r="EE312" s="201"/>
      <c r="EF312" s="201"/>
      <c r="EG312" s="201"/>
      <c r="EH312" s="201"/>
      <c r="EI312" s="201"/>
      <c r="EJ312" s="201"/>
      <c r="EK312" s="201"/>
      <c r="EL312" s="201"/>
      <c r="EM312" s="201"/>
      <c r="EN312" s="201"/>
      <c r="EO312" s="201"/>
      <c r="EP312" s="201"/>
      <c r="EQ312" s="201"/>
      <c r="ER312" s="201"/>
      <c r="ES312" s="201"/>
      <c r="ET312" s="201"/>
      <c r="EU312" s="201"/>
      <c r="EV312" s="201"/>
      <c r="EW312" s="201"/>
      <c r="EX312" s="201"/>
      <c r="EY312" s="201"/>
      <c r="EZ312" s="201"/>
      <c r="FA312" s="201"/>
      <c r="FB312" s="201"/>
      <c r="FC312" s="201"/>
      <c r="FD312" s="201"/>
      <c r="FE312" s="201"/>
      <c r="FF312" s="201"/>
      <c r="FG312" s="201"/>
      <c r="FH312" s="201"/>
      <c r="FI312" s="201"/>
      <c r="FJ312" s="201"/>
      <c r="FK312" s="201"/>
      <c r="FL312" s="201"/>
      <c r="FM312" s="201"/>
      <c r="FN312" s="201"/>
      <c r="FO312" s="201"/>
      <c r="FP312" s="201"/>
      <c r="FQ312" s="201"/>
      <c r="FR312" s="201"/>
      <c r="FS312" s="201"/>
      <c r="FT312" s="201"/>
      <c r="FU312" s="201"/>
      <c r="FV312" s="201"/>
      <c r="FW312" s="201"/>
      <c r="FX312" s="201"/>
      <c r="FY312" s="201"/>
      <c r="FZ312" s="201"/>
      <c r="GA312" s="201"/>
      <c r="GB312" s="201"/>
      <c r="GC312" s="201"/>
      <c r="GD312" s="201"/>
      <c r="GE312" s="201"/>
      <c r="GF312" s="201"/>
      <c r="GG312" s="201"/>
      <c r="GH312" s="201"/>
      <c r="GI312" s="201"/>
      <c r="GJ312" s="201"/>
      <c r="GK312" s="201"/>
      <c r="GL312" s="201"/>
      <c r="GM312" s="201"/>
      <c r="GN312" s="201"/>
      <c r="GO312" s="201"/>
      <c r="GP312" s="201"/>
      <c r="GQ312" s="201"/>
      <c r="GR312" s="201"/>
      <c r="GS312" s="201"/>
      <c r="GT312" s="201"/>
      <c r="GU312" s="201"/>
      <c r="GV312" s="201"/>
      <c r="GW312" s="201"/>
      <c r="GX312" s="201"/>
      <c r="GY312" s="201"/>
      <c r="GZ312" s="201"/>
      <c r="HA312" s="201"/>
      <c r="HB312" s="201"/>
      <c r="HC312" s="201"/>
      <c r="HD312" s="201"/>
      <c r="HE312" s="201"/>
      <c r="HF312" s="201"/>
      <c r="HG312" s="201"/>
      <c r="HH312" s="201"/>
      <c r="HI312" s="201"/>
      <c r="HJ312" s="201"/>
      <c r="HK312" s="201"/>
      <c r="HL312" s="201"/>
      <c r="HM312" s="201"/>
      <c r="HN312" s="201"/>
      <c r="HO312" s="201"/>
      <c r="HP312" s="201"/>
      <c r="HQ312" s="201"/>
      <c r="HR312" s="201"/>
      <c r="HS312" s="201"/>
      <c r="HT312" s="201"/>
      <c r="HU312" s="201"/>
      <c r="HV312" s="201"/>
      <c r="HW312" s="201"/>
      <c r="HX312" s="201"/>
      <c r="HY312" s="201"/>
      <c r="HZ312" s="201"/>
      <c r="IA312" s="201"/>
      <c r="IB312" s="201"/>
      <c r="IC312" s="201"/>
      <c r="ID312" s="201"/>
      <c r="IE312" s="201"/>
      <c r="IF312" s="201"/>
      <c r="IG312" s="201"/>
      <c r="IH312" s="201"/>
      <c r="II312" s="201"/>
      <c r="IJ312" s="201"/>
      <c r="IK312" s="201"/>
      <c r="IL312" s="201"/>
      <c r="IM312" s="201"/>
      <c r="IN312" s="201"/>
      <c r="IO312" s="201"/>
      <c r="IP312" s="201"/>
      <c r="IQ312" s="201"/>
    </row>
    <row r="313" spans="1:251" x14ac:dyDescent="0.3">
      <c r="A313" s="268" t="s">
        <v>267</v>
      </c>
      <c r="B313" s="271" t="s">
        <v>46</v>
      </c>
      <c r="C313" s="274" t="s">
        <v>36</v>
      </c>
      <c r="D313" s="265" t="s">
        <v>37</v>
      </c>
      <c r="E313" s="265" t="s">
        <v>38</v>
      </c>
      <c r="F313" s="108" t="s">
        <v>233</v>
      </c>
      <c r="G313" s="286"/>
      <c r="H313" s="289"/>
      <c r="I313" s="290"/>
      <c r="J313" s="290"/>
      <c r="K313" s="290"/>
      <c r="L313" s="290"/>
      <c r="M313" s="290"/>
      <c r="N313" s="290"/>
      <c r="O313" s="290"/>
      <c r="P313" s="290"/>
      <c r="Q313" s="290"/>
      <c r="R313" s="290"/>
      <c r="S313" s="290"/>
      <c r="T313" s="290"/>
      <c r="U313" s="290"/>
      <c r="V313" s="290"/>
      <c r="W313" s="290"/>
      <c r="X313" s="290"/>
      <c r="Y313" s="290"/>
      <c r="Z313" s="290"/>
      <c r="AA313" s="290"/>
      <c r="AB313" s="290"/>
      <c r="AC313" s="290"/>
      <c r="AD313" s="290"/>
      <c r="AE313" s="290"/>
      <c r="AF313" s="290"/>
      <c r="AG313" s="290"/>
      <c r="AH313" s="290"/>
      <c r="AI313" s="290"/>
      <c r="AJ313" s="290"/>
      <c r="AK313" s="290"/>
      <c r="AL313" s="290"/>
      <c r="AM313" s="290"/>
      <c r="AN313" s="290"/>
      <c r="AO313" s="290"/>
      <c r="AP313" s="290"/>
      <c r="AQ313" s="290"/>
      <c r="AR313" s="290"/>
      <c r="AS313" s="290"/>
      <c r="AT313" s="290"/>
      <c r="AU313" s="290"/>
      <c r="AV313" s="290"/>
      <c r="AW313" s="290"/>
      <c r="AX313" s="290"/>
      <c r="AY313" s="290"/>
      <c r="AZ313" s="290"/>
      <c r="BA313" s="290"/>
      <c r="BB313" s="290"/>
      <c r="BC313" s="290"/>
      <c r="BD313" s="290"/>
      <c r="BE313" s="290"/>
      <c r="BF313" s="290"/>
      <c r="BG313" s="290"/>
      <c r="BH313" s="290"/>
      <c r="BI313" s="290"/>
      <c r="BJ313" s="290"/>
      <c r="BK313" s="290"/>
      <c r="BL313" s="290"/>
      <c r="BM313" s="290"/>
      <c r="BN313" s="290"/>
      <c r="BO313" s="290"/>
      <c r="BP313" s="290"/>
      <c r="BQ313" s="290"/>
      <c r="BR313" s="290"/>
      <c r="BS313" s="290"/>
      <c r="BT313" s="290"/>
      <c r="BU313" s="290"/>
      <c r="BV313" s="290"/>
      <c r="BW313" s="290"/>
      <c r="BX313" s="290"/>
      <c r="BY313" s="290"/>
      <c r="BZ313" s="290"/>
      <c r="CA313" s="290"/>
      <c r="CB313" s="290"/>
      <c r="CC313" s="290"/>
      <c r="CD313" s="290"/>
      <c r="CE313" s="290"/>
      <c r="CF313" s="290"/>
      <c r="CG313" s="290"/>
      <c r="CH313" s="290"/>
      <c r="CI313" s="290"/>
      <c r="CJ313" s="290"/>
      <c r="CK313" s="290"/>
      <c r="CL313" s="290"/>
      <c r="CM313" s="290"/>
      <c r="CN313" s="290"/>
      <c r="CO313" s="290"/>
      <c r="CP313" s="290"/>
      <c r="CQ313" s="290"/>
      <c r="CR313" s="290"/>
      <c r="CS313" s="290"/>
      <c r="CT313" s="290"/>
      <c r="CU313" s="290"/>
      <c r="CV313" s="290"/>
      <c r="CW313" s="290"/>
      <c r="CX313" s="290"/>
      <c r="CY313" s="290"/>
      <c r="CZ313" s="290"/>
      <c r="DA313" s="290"/>
      <c r="DB313" s="290"/>
      <c r="DC313" s="290"/>
      <c r="DD313" s="290"/>
      <c r="DE313" s="290"/>
      <c r="DF313" s="290"/>
      <c r="DG313" s="290"/>
      <c r="DH313" s="290"/>
      <c r="DI313" s="290"/>
      <c r="DJ313" s="290"/>
      <c r="DK313" s="290"/>
      <c r="DL313" s="290"/>
      <c r="DM313" s="290"/>
      <c r="DN313" s="290"/>
      <c r="DO313" s="290"/>
      <c r="DP313" s="290"/>
      <c r="DQ313" s="290"/>
      <c r="DR313" s="290"/>
      <c r="DS313" s="290"/>
      <c r="DT313" s="290"/>
      <c r="DU313" s="290"/>
      <c r="DV313" s="290"/>
      <c r="DW313" s="290"/>
      <c r="DX313" s="290"/>
      <c r="DY313" s="290"/>
      <c r="DZ313" s="290"/>
      <c r="EA313" s="290"/>
      <c r="EB313" s="290"/>
      <c r="EC313" s="290"/>
      <c r="ED313" s="290"/>
      <c r="EE313" s="290"/>
      <c r="EF313" s="290"/>
      <c r="EG313" s="290"/>
      <c r="EH313" s="290"/>
      <c r="EI313" s="290"/>
      <c r="EJ313" s="290"/>
      <c r="EK313" s="290"/>
      <c r="EL313" s="290"/>
      <c r="EM313" s="290"/>
      <c r="EN313" s="290"/>
      <c r="EO313" s="290"/>
      <c r="EP313" s="290"/>
      <c r="EQ313" s="290"/>
      <c r="ER313" s="290"/>
      <c r="ES313" s="290"/>
      <c r="ET313" s="290"/>
      <c r="EU313" s="290"/>
      <c r="EV313" s="290"/>
      <c r="EW313" s="290"/>
      <c r="EX313" s="290"/>
      <c r="EY313" s="290"/>
      <c r="EZ313" s="290"/>
      <c r="FA313" s="290"/>
      <c r="FB313" s="290"/>
      <c r="FC313" s="290"/>
      <c r="FD313" s="290"/>
      <c r="FE313" s="290"/>
      <c r="FF313" s="290"/>
      <c r="FG313" s="290"/>
      <c r="FH313" s="290"/>
      <c r="FI313" s="290"/>
      <c r="FJ313" s="290"/>
      <c r="FK313" s="290"/>
      <c r="FL313" s="290"/>
      <c r="FM313" s="290"/>
      <c r="FN313" s="290"/>
      <c r="FO313" s="290"/>
      <c r="FP313" s="290"/>
      <c r="FQ313" s="290"/>
      <c r="FR313" s="290"/>
      <c r="FS313" s="290"/>
      <c r="FT313" s="290"/>
      <c r="FU313" s="290"/>
      <c r="FV313" s="290"/>
      <c r="FW313" s="290"/>
      <c r="FX313" s="290"/>
      <c r="FY313" s="290"/>
      <c r="FZ313" s="290"/>
      <c r="GA313" s="290"/>
      <c r="GB313" s="290"/>
      <c r="GC313" s="290"/>
      <c r="GD313" s="290"/>
      <c r="GE313" s="290"/>
      <c r="GF313" s="290"/>
      <c r="GG313" s="290"/>
      <c r="GH313" s="290"/>
      <c r="GI313" s="290"/>
      <c r="GJ313" s="290"/>
      <c r="GK313" s="290"/>
      <c r="GL313" s="290"/>
      <c r="GM313" s="290"/>
      <c r="GN313" s="290"/>
      <c r="GO313" s="290"/>
      <c r="GP313" s="290"/>
      <c r="GQ313" s="290"/>
      <c r="GR313" s="290"/>
      <c r="GS313" s="290"/>
      <c r="GT313" s="290"/>
      <c r="GU313" s="290"/>
      <c r="GV313" s="290"/>
      <c r="GW313" s="290"/>
      <c r="GX313" s="290"/>
      <c r="GY313" s="290"/>
      <c r="GZ313" s="290"/>
      <c r="HA313" s="290"/>
      <c r="HB313" s="290"/>
      <c r="HC313" s="290"/>
      <c r="HD313" s="290"/>
      <c r="HE313" s="290"/>
      <c r="HF313" s="290"/>
      <c r="HG313" s="290"/>
      <c r="HH313" s="290"/>
      <c r="HI313" s="290"/>
      <c r="HJ313" s="290"/>
      <c r="HK313" s="290"/>
      <c r="HL313" s="290"/>
      <c r="HM313" s="290"/>
      <c r="HN313" s="290"/>
      <c r="HO313" s="290"/>
      <c r="HP313" s="290"/>
      <c r="HQ313" s="290"/>
      <c r="HR313" s="290"/>
      <c r="HS313" s="290"/>
      <c r="HT313" s="290"/>
      <c r="HU313" s="290"/>
      <c r="HV313" s="290"/>
      <c r="HW313" s="290"/>
      <c r="HX313" s="290"/>
      <c r="HY313" s="290"/>
      <c r="HZ313" s="290"/>
      <c r="IA313" s="290"/>
      <c r="IB313" s="290"/>
      <c r="IC313" s="290"/>
      <c r="ID313" s="290"/>
      <c r="IE313" s="290"/>
      <c r="IF313" s="290"/>
      <c r="IG313" s="290"/>
      <c r="IH313" s="290"/>
      <c r="II313" s="290"/>
      <c r="IJ313" s="290"/>
      <c r="IK313" s="290"/>
      <c r="IL313" s="290"/>
      <c r="IM313" s="290"/>
      <c r="IN313" s="290"/>
      <c r="IO313" s="290"/>
      <c r="IP313" s="290"/>
      <c r="IQ313" s="290"/>
    </row>
    <row r="314" spans="1:251" x14ac:dyDescent="0.3">
      <c r="A314" s="269"/>
      <c r="B314" s="272"/>
      <c r="C314" s="275"/>
      <c r="D314" s="266"/>
      <c r="E314" s="266"/>
      <c r="F314" s="109" t="s">
        <v>234</v>
      </c>
      <c r="G314" s="287"/>
      <c r="H314" s="289"/>
      <c r="I314" s="290"/>
      <c r="J314" s="290"/>
      <c r="K314" s="290"/>
      <c r="L314" s="290"/>
      <c r="M314" s="290"/>
      <c r="N314" s="290"/>
      <c r="O314" s="290"/>
      <c r="P314" s="290"/>
      <c r="Q314" s="290"/>
      <c r="R314" s="290"/>
      <c r="S314" s="290"/>
      <c r="T314" s="290"/>
      <c r="U314" s="290"/>
      <c r="V314" s="290"/>
      <c r="W314" s="290"/>
      <c r="X314" s="290"/>
      <c r="Y314" s="290"/>
      <c r="Z314" s="290"/>
      <c r="AA314" s="290"/>
      <c r="AB314" s="290"/>
      <c r="AC314" s="290"/>
      <c r="AD314" s="290"/>
      <c r="AE314" s="290"/>
      <c r="AF314" s="290"/>
      <c r="AG314" s="290"/>
      <c r="AH314" s="290"/>
      <c r="AI314" s="290"/>
      <c r="AJ314" s="290"/>
      <c r="AK314" s="290"/>
      <c r="AL314" s="290"/>
      <c r="AM314" s="290"/>
      <c r="AN314" s="290"/>
      <c r="AO314" s="290"/>
      <c r="AP314" s="290"/>
      <c r="AQ314" s="290"/>
      <c r="AR314" s="290"/>
      <c r="AS314" s="290"/>
      <c r="AT314" s="290"/>
      <c r="AU314" s="290"/>
      <c r="AV314" s="290"/>
      <c r="AW314" s="290"/>
      <c r="AX314" s="290"/>
      <c r="AY314" s="290"/>
      <c r="AZ314" s="290"/>
      <c r="BA314" s="290"/>
      <c r="BB314" s="290"/>
      <c r="BC314" s="290"/>
      <c r="BD314" s="290"/>
      <c r="BE314" s="290"/>
      <c r="BF314" s="290"/>
      <c r="BG314" s="290"/>
      <c r="BH314" s="290"/>
      <c r="BI314" s="290"/>
      <c r="BJ314" s="290"/>
      <c r="BK314" s="290"/>
      <c r="BL314" s="290"/>
      <c r="BM314" s="290"/>
      <c r="BN314" s="290"/>
      <c r="BO314" s="290"/>
      <c r="BP314" s="290"/>
      <c r="BQ314" s="290"/>
      <c r="BR314" s="290"/>
      <c r="BS314" s="290"/>
      <c r="BT314" s="290"/>
      <c r="BU314" s="290"/>
      <c r="BV314" s="290"/>
      <c r="BW314" s="290"/>
      <c r="BX314" s="290"/>
      <c r="BY314" s="290"/>
      <c r="BZ314" s="290"/>
      <c r="CA314" s="290"/>
      <c r="CB314" s="290"/>
      <c r="CC314" s="290"/>
      <c r="CD314" s="290"/>
      <c r="CE314" s="290"/>
      <c r="CF314" s="290"/>
      <c r="CG314" s="290"/>
      <c r="CH314" s="290"/>
      <c r="CI314" s="290"/>
      <c r="CJ314" s="290"/>
      <c r="CK314" s="290"/>
      <c r="CL314" s="290"/>
      <c r="CM314" s="290"/>
      <c r="CN314" s="290"/>
      <c r="CO314" s="290"/>
      <c r="CP314" s="290"/>
      <c r="CQ314" s="290"/>
      <c r="CR314" s="290"/>
      <c r="CS314" s="290"/>
      <c r="CT314" s="290"/>
      <c r="CU314" s="290"/>
      <c r="CV314" s="290"/>
      <c r="CW314" s="290"/>
      <c r="CX314" s="290"/>
      <c r="CY314" s="290"/>
      <c r="CZ314" s="290"/>
      <c r="DA314" s="290"/>
      <c r="DB314" s="290"/>
      <c r="DC314" s="290"/>
      <c r="DD314" s="290"/>
      <c r="DE314" s="290"/>
      <c r="DF314" s="290"/>
      <c r="DG314" s="290"/>
      <c r="DH314" s="290"/>
      <c r="DI314" s="290"/>
      <c r="DJ314" s="290"/>
      <c r="DK314" s="290"/>
      <c r="DL314" s="290"/>
      <c r="DM314" s="290"/>
      <c r="DN314" s="290"/>
      <c r="DO314" s="290"/>
      <c r="DP314" s="290"/>
      <c r="DQ314" s="290"/>
      <c r="DR314" s="290"/>
      <c r="DS314" s="290"/>
      <c r="DT314" s="290"/>
      <c r="DU314" s="290"/>
      <c r="DV314" s="290"/>
      <c r="DW314" s="290"/>
      <c r="DX314" s="290"/>
      <c r="DY314" s="290"/>
      <c r="DZ314" s="290"/>
      <c r="EA314" s="290"/>
      <c r="EB314" s="290"/>
      <c r="EC314" s="290"/>
      <c r="ED314" s="290"/>
      <c r="EE314" s="290"/>
      <c r="EF314" s="290"/>
      <c r="EG314" s="290"/>
      <c r="EH314" s="290"/>
      <c r="EI314" s="290"/>
      <c r="EJ314" s="290"/>
      <c r="EK314" s="290"/>
      <c r="EL314" s="290"/>
      <c r="EM314" s="290"/>
      <c r="EN314" s="290"/>
      <c r="EO314" s="290"/>
      <c r="EP314" s="290"/>
      <c r="EQ314" s="290"/>
      <c r="ER314" s="290"/>
      <c r="ES314" s="290"/>
      <c r="ET314" s="290"/>
      <c r="EU314" s="290"/>
      <c r="EV314" s="290"/>
      <c r="EW314" s="290"/>
      <c r="EX314" s="290"/>
      <c r="EY314" s="290"/>
      <c r="EZ314" s="290"/>
      <c r="FA314" s="290"/>
      <c r="FB314" s="290"/>
      <c r="FC314" s="290"/>
      <c r="FD314" s="290"/>
      <c r="FE314" s="290"/>
      <c r="FF314" s="290"/>
      <c r="FG314" s="290"/>
      <c r="FH314" s="290"/>
      <c r="FI314" s="290"/>
      <c r="FJ314" s="290"/>
      <c r="FK314" s="290"/>
      <c r="FL314" s="290"/>
      <c r="FM314" s="290"/>
      <c r="FN314" s="290"/>
      <c r="FO314" s="290"/>
      <c r="FP314" s="290"/>
      <c r="FQ314" s="290"/>
      <c r="FR314" s="290"/>
      <c r="FS314" s="290"/>
      <c r="FT314" s="290"/>
      <c r="FU314" s="290"/>
      <c r="FV314" s="290"/>
      <c r="FW314" s="290"/>
      <c r="FX314" s="290"/>
      <c r="FY314" s="290"/>
      <c r="FZ314" s="290"/>
      <c r="GA314" s="290"/>
      <c r="GB314" s="290"/>
      <c r="GC314" s="290"/>
      <c r="GD314" s="290"/>
      <c r="GE314" s="290"/>
      <c r="GF314" s="290"/>
      <c r="GG314" s="290"/>
      <c r="GH314" s="290"/>
      <c r="GI314" s="290"/>
      <c r="GJ314" s="290"/>
      <c r="GK314" s="290"/>
      <c r="GL314" s="290"/>
      <c r="GM314" s="290"/>
      <c r="GN314" s="290"/>
      <c r="GO314" s="290"/>
      <c r="GP314" s="290"/>
      <c r="GQ314" s="290"/>
      <c r="GR314" s="290"/>
      <c r="GS314" s="290"/>
      <c r="GT314" s="290"/>
      <c r="GU314" s="290"/>
      <c r="GV314" s="290"/>
      <c r="GW314" s="290"/>
      <c r="GX314" s="290"/>
      <c r="GY314" s="290"/>
      <c r="GZ314" s="290"/>
      <c r="HA314" s="290"/>
      <c r="HB314" s="290"/>
      <c r="HC314" s="290"/>
      <c r="HD314" s="290"/>
      <c r="HE314" s="290"/>
      <c r="HF314" s="290"/>
      <c r="HG314" s="290"/>
      <c r="HH314" s="290"/>
      <c r="HI314" s="290"/>
      <c r="HJ314" s="290"/>
      <c r="HK314" s="290"/>
      <c r="HL314" s="290"/>
      <c r="HM314" s="290"/>
      <c r="HN314" s="290"/>
      <c r="HO314" s="290"/>
      <c r="HP314" s="290"/>
      <c r="HQ314" s="290"/>
      <c r="HR314" s="290"/>
      <c r="HS314" s="290"/>
      <c r="HT314" s="290"/>
      <c r="HU314" s="290"/>
      <c r="HV314" s="290"/>
      <c r="HW314" s="290"/>
      <c r="HX314" s="290"/>
      <c r="HY314" s="290"/>
      <c r="HZ314" s="290"/>
      <c r="IA314" s="290"/>
      <c r="IB314" s="290"/>
      <c r="IC314" s="290"/>
      <c r="ID314" s="290"/>
      <c r="IE314" s="290"/>
      <c r="IF314" s="290"/>
      <c r="IG314" s="290"/>
      <c r="IH314" s="290"/>
      <c r="II314" s="290"/>
      <c r="IJ314" s="290"/>
      <c r="IK314" s="290"/>
      <c r="IL314" s="290"/>
      <c r="IM314" s="290"/>
      <c r="IN314" s="290"/>
      <c r="IO314" s="290"/>
      <c r="IP314" s="290"/>
      <c r="IQ314" s="290"/>
    </row>
    <row r="315" spans="1:251" x14ac:dyDescent="0.3">
      <c r="A315" s="270"/>
      <c r="B315" s="273"/>
      <c r="C315" s="276"/>
      <c r="D315" s="267"/>
      <c r="E315" s="267"/>
      <c r="F315" s="110" t="s">
        <v>235</v>
      </c>
      <c r="G315" s="288"/>
      <c r="H315" s="289"/>
      <c r="I315" s="290"/>
      <c r="J315" s="290"/>
      <c r="K315" s="290"/>
      <c r="L315" s="290"/>
      <c r="M315" s="290"/>
      <c r="N315" s="290"/>
      <c r="O315" s="290"/>
      <c r="P315" s="290"/>
      <c r="Q315" s="290"/>
      <c r="R315" s="290"/>
      <c r="S315" s="290"/>
      <c r="T315" s="290"/>
      <c r="U315" s="290"/>
      <c r="V315" s="290"/>
      <c r="W315" s="290"/>
      <c r="X315" s="290"/>
      <c r="Y315" s="290"/>
      <c r="Z315" s="290"/>
      <c r="AA315" s="290"/>
      <c r="AB315" s="290"/>
      <c r="AC315" s="290"/>
      <c r="AD315" s="290"/>
      <c r="AE315" s="290"/>
      <c r="AF315" s="290"/>
      <c r="AG315" s="290"/>
      <c r="AH315" s="290"/>
      <c r="AI315" s="290"/>
      <c r="AJ315" s="290"/>
      <c r="AK315" s="290"/>
      <c r="AL315" s="290"/>
      <c r="AM315" s="290"/>
      <c r="AN315" s="290"/>
      <c r="AO315" s="290"/>
      <c r="AP315" s="290"/>
      <c r="AQ315" s="290"/>
      <c r="AR315" s="290"/>
      <c r="AS315" s="290"/>
      <c r="AT315" s="290"/>
      <c r="AU315" s="290"/>
      <c r="AV315" s="290"/>
      <c r="AW315" s="290"/>
      <c r="AX315" s="290"/>
      <c r="AY315" s="290"/>
      <c r="AZ315" s="290"/>
      <c r="BA315" s="290"/>
      <c r="BB315" s="290"/>
      <c r="BC315" s="290"/>
      <c r="BD315" s="290"/>
      <c r="BE315" s="290"/>
      <c r="BF315" s="290"/>
      <c r="BG315" s="290"/>
      <c r="BH315" s="290"/>
      <c r="BI315" s="290"/>
      <c r="BJ315" s="290"/>
      <c r="BK315" s="290"/>
      <c r="BL315" s="290"/>
      <c r="BM315" s="290"/>
      <c r="BN315" s="290"/>
      <c r="BO315" s="290"/>
      <c r="BP315" s="290"/>
      <c r="BQ315" s="290"/>
      <c r="BR315" s="290"/>
      <c r="BS315" s="290"/>
      <c r="BT315" s="290"/>
      <c r="BU315" s="290"/>
      <c r="BV315" s="290"/>
      <c r="BW315" s="290"/>
      <c r="BX315" s="290"/>
      <c r="BY315" s="290"/>
      <c r="BZ315" s="290"/>
      <c r="CA315" s="290"/>
      <c r="CB315" s="290"/>
      <c r="CC315" s="290"/>
      <c r="CD315" s="290"/>
      <c r="CE315" s="290"/>
      <c r="CF315" s="290"/>
      <c r="CG315" s="290"/>
      <c r="CH315" s="290"/>
      <c r="CI315" s="290"/>
      <c r="CJ315" s="290"/>
      <c r="CK315" s="290"/>
      <c r="CL315" s="290"/>
      <c r="CM315" s="290"/>
      <c r="CN315" s="290"/>
      <c r="CO315" s="290"/>
      <c r="CP315" s="290"/>
      <c r="CQ315" s="290"/>
      <c r="CR315" s="290"/>
      <c r="CS315" s="290"/>
      <c r="CT315" s="290"/>
      <c r="CU315" s="290"/>
      <c r="CV315" s="290"/>
      <c r="CW315" s="290"/>
      <c r="CX315" s="290"/>
      <c r="CY315" s="290"/>
      <c r="CZ315" s="290"/>
      <c r="DA315" s="290"/>
      <c r="DB315" s="290"/>
      <c r="DC315" s="290"/>
      <c r="DD315" s="290"/>
      <c r="DE315" s="290"/>
      <c r="DF315" s="290"/>
      <c r="DG315" s="290"/>
      <c r="DH315" s="290"/>
      <c r="DI315" s="290"/>
      <c r="DJ315" s="290"/>
      <c r="DK315" s="290"/>
      <c r="DL315" s="290"/>
      <c r="DM315" s="290"/>
      <c r="DN315" s="290"/>
      <c r="DO315" s="290"/>
      <c r="DP315" s="290"/>
      <c r="DQ315" s="290"/>
      <c r="DR315" s="290"/>
      <c r="DS315" s="290"/>
      <c r="DT315" s="290"/>
      <c r="DU315" s="290"/>
      <c r="DV315" s="290"/>
      <c r="DW315" s="290"/>
      <c r="DX315" s="290"/>
      <c r="DY315" s="290"/>
      <c r="DZ315" s="290"/>
      <c r="EA315" s="290"/>
      <c r="EB315" s="290"/>
      <c r="EC315" s="290"/>
      <c r="ED315" s="290"/>
      <c r="EE315" s="290"/>
      <c r="EF315" s="290"/>
      <c r="EG315" s="290"/>
      <c r="EH315" s="290"/>
      <c r="EI315" s="290"/>
      <c r="EJ315" s="290"/>
      <c r="EK315" s="290"/>
      <c r="EL315" s="290"/>
      <c r="EM315" s="290"/>
      <c r="EN315" s="290"/>
      <c r="EO315" s="290"/>
      <c r="EP315" s="290"/>
      <c r="EQ315" s="290"/>
      <c r="ER315" s="290"/>
      <c r="ES315" s="290"/>
      <c r="ET315" s="290"/>
      <c r="EU315" s="290"/>
      <c r="EV315" s="290"/>
      <c r="EW315" s="290"/>
      <c r="EX315" s="290"/>
      <c r="EY315" s="290"/>
      <c r="EZ315" s="290"/>
      <c r="FA315" s="290"/>
      <c r="FB315" s="290"/>
      <c r="FC315" s="290"/>
      <c r="FD315" s="290"/>
      <c r="FE315" s="290"/>
      <c r="FF315" s="290"/>
      <c r="FG315" s="290"/>
      <c r="FH315" s="290"/>
      <c r="FI315" s="290"/>
      <c r="FJ315" s="290"/>
      <c r="FK315" s="290"/>
      <c r="FL315" s="290"/>
      <c r="FM315" s="290"/>
      <c r="FN315" s="290"/>
      <c r="FO315" s="290"/>
      <c r="FP315" s="290"/>
      <c r="FQ315" s="290"/>
      <c r="FR315" s="290"/>
      <c r="FS315" s="290"/>
      <c r="FT315" s="290"/>
      <c r="FU315" s="290"/>
      <c r="FV315" s="290"/>
      <c r="FW315" s="290"/>
      <c r="FX315" s="290"/>
      <c r="FY315" s="290"/>
      <c r="FZ315" s="290"/>
      <c r="GA315" s="290"/>
      <c r="GB315" s="290"/>
      <c r="GC315" s="290"/>
      <c r="GD315" s="290"/>
      <c r="GE315" s="290"/>
      <c r="GF315" s="290"/>
      <c r="GG315" s="290"/>
      <c r="GH315" s="290"/>
      <c r="GI315" s="290"/>
      <c r="GJ315" s="290"/>
      <c r="GK315" s="290"/>
      <c r="GL315" s="290"/>
      <c r="GM315" s="290"/>
      <c r="GN315" s="290"/>
      <c r="GO315" s="290"/>
      <c r="GP315" s="290"/>
      <c r="GQ315" s="290"/>
      <c r="GR315" s="290"/>
      <c r="GS315" s="290"/>
      <c r="GT315" s="290"/>
      <c r="GU315" s="290"/>
      <c r="GV315" s="290"/>
      <c r="GW315" s="290"/>
      <c r="GX315" s="290"/>
      <c r="GY315" s="290"/>
      <c r="GZ315" s="290"/>
      <c r="HA315" s="290"/>
      <c r="HB315" s="290"/>
      <c r="HC315" s="290"/>
      <c r="HD315" s="290"/>
      <c r="HE315" s="290"/>
      <c r="HF315" s="290"/>
      <c r="HG315" s="290"/>
      <c r="HH315" s="290"/>
      <c r="HI315" s="290"/>
      <c r="HJ315" s="290"/>
      <c r="HK315" s="290"/>
      <c r="HL315" s="290"/>
      <c r="HM315" s="290"/>
      <c r="HN315" s="290"/>
      <c r="HO315" s="290"/>
      <c r="HP315" s="290"/>
      <c r="HQ315" s="290"/>
      <c r="HR315" s="290"/>
      <c r="HS315" s="290"/>
      <c r="HT315" s="290"/>
      <c r="HU315" s="290"/>
      <c r="HV315" s="290"/>
      <c r="HW315" s="290"/>
      <c r="HX315" s="290"/>
      <c r="HY315" s="290"/>
      <c r="HZ315" s="290"/>
      <c r="IA315" s="290"/>
      <c r="IB315" s="290"/>
      <c r="IC315" s="290"/>
      <c r="ID315" s="290"/>
      <c r="IE315" s="290"/>
      <c r="IF315" s="290"/>
      <c r="IG315" s="290"/>
      <c r="IH315" s="290"/>
      <c r="II315" s="290"/>
      <c r="IJ315" s="290"/>
      <c r="IK315" s="290"/>
      <c r="IL315" s="290"/>
      <c r="IM315" s="290"/>
      <c r="IN315" s="290"/>
      <c r="IO315" s="290"/>
      <c r="IP315" s="290"/>
      <c r="IQ315" s="290"/>
    </row>
    <row r="316" spans="1:251" x14ac:dyDescent="0.3">
      <c r="A316" s="268" t="s">
        <v>267</v>
      </c>
      <c r="B316" s="271" t="s">
        <v>48</v>
      </c>
      <c r="C316" s="274" t="s">
        <v>49</v>
      </c>
      <c r="D316" s="265" t="s">
        <v>37</v>
      </c>
      <c r="E316" s="265" t="s">
        <v>38</v>
      </c>
      <c r="F316" s="111" t="s">
        <v>236</v>
      </c>
      <c r="G316" s="286"/>
      <c r="H316" s="289"/>
      <c r="I316" s="290"/>
      <c r="J316" s="290"/>
      <c r="K316" s="290"/>
      <c r="L316" s="290"/>
      <c r="M316" s="290"/>
      <c r="N316" s="290"/>
      <c r="O316" s="290"/>
      <c r="P316" s="290"/>
      <c r="Q316" s="290"/>
      <c r="R316" s="290"/>
      <c r="S316" s="290"/>
      <c r="T316" s="290"/>
      <c r="U316" s="290"/>
      <c r="V316" s="290"/>
      <c r="W316" s="290"/>
      <c r="X316" s="290"/>
      <c r="Y316" s="290"/>
      <c r="Z316" s="290"/>
      <c r="AA316" s="290"/>
      <c r="AB316" s="290"/>
      <c r="AC316" s="290"/>
      <c r="AD316" s="290"/>
      <c r="AE316" s="290"/>
      <c r="AF316" s="290"/>
      <c r="AG316" s="290"/>
      <c r="AH316" s="290"/>
      <c r="AI316" s="290"/>
      <c r="AJ316" s="290"/>
      <c r="AK316" s="290"/>
      <c r="AL316" s="290"/>
      <c r="AM316" s="290"/>
      <c r="AN316" s="290"/>
      <c r="AO316" s="290"/>
      <c r="AP316" s="290"/>
      <c r="AQ316" s="290"/>
      <c r="AR316" s="290"/>
      <c r="AS316" s="290"/>
      <c r="AT316" s="290"/>
      <c r="AU316" s="290"/>
      <c r="AV316" s="290"/>
      <c r="AW316" s="290"/>
      <c r="AX316" s="290"/>
      <c r="AY316" s="290"/>
      <c r="AZ316" s="290"/>
      <c r="BA316" s="290"/>
      <c r="BB316" s="290"/>
      <c r="BC316" s="290"/>
      <c r="BD316" s="290"/>
      <c r="BE316" s="290"/>
      <c r="BF316" s="290"/>
      <c r="BG316" s="290"/>
      <c r="BH316" s="290"/>
      <c r="BI316" s="290"/>
      <c r="BJ316" s="290"/>
      <c r="BK316" s="290"/>
      <c r="BL316" s="290"/>
      <c r="BM316" s="290"/>
      <c r="BN316" s="290"/>
      <c r="BO316" s="290"/>
      <c r="BP316" s="290"/>
      <c r="BQ316" s="290"/>
      <c r="BR316" s="290"/>
      <c r="BS316" s="290"/>
      <c r="BT316" s="290"/>
      <c r="BU316" s="290"/>
      <c r="BV316" s="290"/>
      <c r="BW316" s="290"/>
      <c r="BX316" s="290"/>
      <c r="BY316" s="290"/>
      <c r="BZ316" s="290"/>
      <c r="CA316" s="290"/>
      <c r="CB316" s="290"/>
      <c r="CC316" s="290"/>
      <c r="CD316" s="290"/>
      <c r="CE316" s="290"/>
      <c r="CF316" s="290"/>
      <c r="CG316" s="290"/>
      <c r="CH316" s="290"/>
      <c r="CI316" s="290"/>
      <c r="CJ316" s="290"/>
      <c r="CK316" s="290"/>
      <c r="CL316" s="290"/>
      <c r="CM316" s="290"/>
      <c r="CN316" s="290"/>
      <c r="CO316" s="290"/>
      <c r="CP316" s="290"/>
      <c r="CQ316" s="290"/>
      <c r="CR316" s="290"/>
      <c r="CS316" s="290"/>
      <c r="CT316" s="290"/>
      <c r="CU316" s="290"/>
      <c r="CV316" s="290"/>
      <c r="CW316" s="290"/>
      <c r="CX316" s="290"/>
      <c r="CY316" s="290"/>
      <c r="CZ316" s="290"/>
      <c r="DA316" s="290"/>
      <c r="DB316" s="290"/>
      <c r="DC316" s="290"/>
      <c r="DD316" s="290"/>
      <c r="DE316" s="290"/>
      <c r="DF316" s="290"/>
      <c r="DG316" s="290"/>
      <c r="DH316" s="290"/>
      <c r="DI316" s="290"/>
      <c r="DJ316" s="290"/>
      <c r="DK316" s="290"/>
      <c r="DL316" s="290"/>
      <c r="DM316" s="290"/>
      <c r="DN316" s="290"/>
      <c r="DO316" s="290"/>
      <c r="DP316" s="290"/>
      <c r="DQ316" s="290"/>
      <c r="DR316" s="290"/>
      <c r="DS316" s="290"/>
      <c r="DT316" s="290"/>
      <c r="DU316" s="290"/>
      <c r="DV316" s="290"/>
      <c r="DW316" s="290"/>
      <c r="DX316" s="290"/>
      <c r="DY316" s="290"/>
      <c r="DZ316" s="290"/>
      <c r="EA316" s="290"/>
      <c r="EB316" s="290"/>
      <c r="EC316" s="290"/>
      <c r="ED316" s="290"/>
      <c r="EE316" s="290"/>
      <c r="EF316" s="290"/>
      <c r="EG316" s="290"/>
      <c r="EH316" s="290"/>
      <c r="EI316" s="290"/>
      <c r="EJ316" s="290"/>
      <c r="EK316" s="290"/>
      <c r="EL316" s="290"/>
      <c r="EM316" s="290"/>
      <c r="EN316" s="290"/>
      <c r="EO316" s="290"/>
      <c r="EP316" s="290"/>
      <c r="EQ316" s="290"/>
      <c r="ER316" s="290"/>
      <c r="ES316" s="290"/>
      <c r="ET316" s="290"/>
      <c r="EU316" s="290"/>
      <c r="EV316" s="290"/>
      <c r="EW316" s="290"/>
      <c r="EX316" s="290"/>
      <c r="EY316" s="290"/>
      <c r="EZ316" s="290"/>
      <c r="FA316" s="290"/>
      <c r="FB316" s="290"/>
      <c r="FC316" s="290"/>
      <c r="FD316" s="290"/>
      <c r="FE316" s="290"/>
      <c r="FF316" s="290"/>
      <c r="FG316" s="290"/>
      <c r="FH316" s="290"/>
      <c r="FI316" s="290"/>
      <c r="FJ316" s="290"/>
      <c r="FK316" s="290"/>
      <c r="FL316" s="290"/>
      <c r="FM316" s="290"/>
      <c r="FN316" s="290"/>
      <c r="FO316" s="290"/>
      <c r="FP316" s="290"/>
      <c r="FQ316" s="290"/>
      <c r="FR316" s="290"/>
      <c r="FS316" s="290"/>
      <c r="FT316" s="290"/>
      <c r="FU316" s="290"/>
      <c r="FV316" s="290"/>
      <c r="FW316" s="290"/>
      <c r="FX316" s="290"/>
      <c r="FY316" s="290"/>
      <c r="FZ316" s="290"/>
      <c r="GA316" s="290"/>
      <c r="GB316" s="290"/>
      <c r="GC316" s="290"/>
      <c r="GD316" s="290"/>
      <c r="GE316" s="290"/>
      <c r="GF316" s="290"/>
      <c r="GG316" s="290"/>
      <c r="GH316" s="290"/>
      <c r="GI316" s="290"/>
      <c r="GJ316" s="290"/>
      <c r="GK316" s="290"/>
      <c r="GL316" s="290"/>
      <c r="GM316" s="290"/>
      <c r="GN316" s="290"/>
      <c r="GO316" s="290"/>
      <c r="GP316" s="290"/>
      <c r="GQ316" s="290"/>
      <c r="GR316" s="290"/>
      <c r="GS316" s="290"/>
      <c r="GT316" s="290"/>
      <c r="GU316" s="290"/>
      <c r="GV316" s="290"/>
      <c r="GW316" s="290"/>
      <c r="GX316" s="290"/>
      <c r="GY316" s="290"/>
      <c r="GZ316" s="290"/>
      <c r="HA316" s="290"/>
      <c r="HB316" s="290"/>
      <c r="HC316" s="290"/>
      <c r="HD316" s="290"/>
      <c r="HE316" s="290"/>
      <c r="HF316" s="290"/>
      <c r="HG316" s="290"/>
      <c r="HH316" s="290"/>
      <c r="HI316" s="290"/>
      <c r="HJ316" s="290"/>
      <c r="HK316" s="290"/>
      <c r="HL316" s="290"/>
      <c r="HM316" s="290"/>
      <c r="HN316" s="290"/>
      <c r="HO316" s="290"/>
      <c r="HP316" s="290"/>
      <c r="HQ316" s="290"/>
      <c r="HR316" s="290"/>
      <c r="HS316" s="290"/>
      <c r="HT316" s="290"/>
      <c r="HU316" s="290"/>
      <c r="HV316" s="290"/>
      <c r="HW316" s="290"/>
      <c r="HX316" s="290"/>
      <c r="HY316" s="290"/>
      <c r="HZ316" s="290"/>
      <c r="IA316" s="290"/>
      <c r="IB316" s="290"/>
      <c r="IC316" s="290"/>
      <c r="ID316" s="290"/>
      <c r="IE316" s="290"/>
      <c r="IF316" s="290"/>
      <c r="IG316" s="290"/>
      <c r="IH316" s="290"/>
      <c r="II316" s="290"/>
      <c r="IJ316" s="290"/>
      <c r="IK316" s="290"/>
      <c r="IL316" s="290"/>
      <c r="IM316" s="290"/>
      <c r="IN316" s="290"/>
      <c r="IO316" s="290"/>
      <c r="IP316" s="290"/>
      <c r="IQ316" s="290"/>
    </row>
    <row r="317" spans="1:251" x14ac:dyDescent="0.3">
      <c r="A317" s="269"/>
      <c r="B317" s="272"/>
      <c r="C317" s="275"/>
      <c r="D317" s="266"/>
      <c r="E317" s="266"/>
      <c r="F317" s="112" t="s">
        <v>237</v>
      </c>
      <c r="G317" s="287"/>
      <c r="H317" s="289"/>
      <c r="I317" s="290"/>
      <c r="J317" s="290"/>
      <c r="K317" s="290"/>
      <c r="L317" s="290"/>
      <c r="M317" s="290"/>
      <c r="N317" s="290"/>
      <c r="O317" s="290"/>
      <c r="P317" s="290"/>
      <c r="Q317" s="290"/>
      <c r="R317" s="290"/>
      <c r="S317" s="290"/>
      <c r="T317" s="290"/>
      <c r="U317" s="290"/>
      <c r="V317" s="290"/>
      <c r="W317" s="290"/>
      <c r="X317" s="290"/>
      <c r="Y317" s="290"/>
      <c r="Z317" s="290"/>
      <c r="AA317" s="290"/>
      <c r="AB317" s="290"/>
      <c r="AC317" s="290"/>
      <c r="AD317" s="290"/>
      <c r="AE317" s="290"/>
      <c r="AF317" s="290"/>
      <c r="AG317" s="290"/>
      <c r="AH317" s="290"/>
      <c r="AI317" s="290"/>
      <c r="AJ317" s="290"/>
      <c r="AK317" s="290"/>
      <c r="AL317" s="290"/>
      <c r="AM317" s="290"/>
      <c r="AN317" s="290"/>
      <c r="AO317" s="290"/>
      <c r="AP317" s="290"/>
      <c r="AQ317" s="290"/>
      <c r="AR317" s="290"/>
      <c r="AS317" s="290"/>
      <c r="AT317" s="290"/>
      <c r="AU317" s="290"/>
      <c r="AV317" s="290"/>
      <c r="AW317" s="290"/>
      <c r="AX317" s="290"/>
      <c r="AY317" s="290"/>
      <c r="AZ317" s="290"/>
      <c r="BA317" s="290"/>
      <c r="BB317" s="290"/>
      <c r="BC317" s="290"/>
      <c r="BD317" s="290"/>
      <c r="BE317" s="290"/>
      <c r="BF317" s="290"/>
      <c r="BG317" s="290"/>
      <c r="BH317" s="290"/>
      <c r="BI317" s="290"/>
      <c r="BJ317" s="290"/>
      <c r="BK317" s="290"/>
      <c r="BL317" s="290"/>
      <c r="BM317" s="290"/>
      <c r="BN317" s="290"/>
      <c r="BO317" s="290"/>
      <c r="BP317" s="290"/>
      <c r="BQ317" s="290"/>
      <c r="BR317" s="290"/>
      <c r="BS317" s="290"/>
      <c r="BT317" s="290"/>
      <c r="BU317" s="290"/>
      <c r="BV317" s="290"/>
      <c r="BW317" s="290"/>
      <c r="BX317" s="290"/>
      <c r="BY317" s="290"/>
      <c r="BZ317" s="290"/>
      <c r="CA317" s="290"/>
      <c r="CB317" s="290"/>
      <c r="CC317" s="290"/>
      <c r="CD317" s="290"/>
      <c r="CE317" s="290"/>
      <c r="CF317" s="290"/>
      <c r="CG317" s="290"/>
      <c r="CH317" s="290"/>
      <c r="CI317" s="290"/>
      <c r="CJ317" s="290"/>
      <c r="CK317" s="290"/>
      <c r="CL317" s="290"/>
      <c r="CM317" s="290"/>
      <c r="CN317" s="290"/>
      <c r="CO317" s="290"/>
      <c r="CP317" s="290"/>
      <c r="CQ317" s="290"/>
      <c r="CR317" s="290"/>
      <c r="CS317" s="290"/>
      <c r="CT317" s="290"/>
      <c r="CU317" s="290"/>
      <c r="CV317" s="290"/>
      <c r="CW317" s="290"/>
      <c r="CX317" s="290"/>
      <c r="CY317" s="290"/>
      <c r="CZ317" s="290"/>
      <c r="DA317" s="290"/>
      <c r="DB317" s="290"/>
      <c r="DC317" s="290"/>
      <c r="DD317" s="290"/>
      <c r="DE317" s="290"/>
      <c r="DF317" s="290"/>
      <c r="DG317" s="290"/>
      <c r="DH317" s="290"/>
      <c r="DI317" s="290"/>
      <c r="DJ317" s="290"/>
      <c r="DK317" s="290"/>
      <c r="DL317" s="290"/>
      <c r="DM317" s="290"/>
      <c r="DN317" s="290"/>
      <c r="DO317" s="290"/>
      <c r="DP317" s="290"/>
      <c r="DQ317" s="290"/>
      <c r="DR317" s="290"/>
      <c r="DS317" s="290"/>
      <c r="DT317" s="290"/>
      <c r="DU317" s="290"/>
      <c r="DV317" s="290"/>
      <c r="DW317" s="290"/>
      <c r="DX317" s="290"/>
      <c r="DY317" s="290"/>
      <c r="DZ317" s="290"/>
      <c r="EA317" s="290"/>
      <c r="EB317" s="290"/>
      <c r="EC317" s="290"/>
      <c r="ED317" s="290"/>
      <c r="EE317" s="290"/>
      <c r="EF317" s="290"/>
      <c r="EG317" s="290"/>
      <c r="EH317" s="290"/>
      <c r="EI317" s="290"/>
      <c r="EJ317" s="290"/>
      <c r="EK317" s="290"/>
      <c r="EL317" s="290"/>
      <c r="EM317" s="290"/>
      <c r="EN317" s="290"/>
      <c r="EO317" s="290"/>
      <c r="EP317" s="290"/>
      <c r="EQ317" s="290"/>
      <c r="ER317" s="290"/>
      <c r="ES317" s="290"/>
      <c r="ET317" s="290"/>
      <c r="EU317" s="290"/>
      <c r="EV317" s="290"/>
      <c r="EW317" s="290"/>
      <c r="EX317" s="290"/>
      <c r="EY317" s="290"/>
      <c r="EZ317" s="290"/>
      <c r="FA317" s="290"/>
      <c r="FB317" s="290"/>
      <c r="FC317" s="290"/>
      <c r="FD317" s="290"/>
      <c r="FE317" s="290"/>
      <c r="FF317" s="290"/>
      <c r="FG317" s="290"/>
      <c r="FH317" s="290"/>
      <c r="FI317" s="290"/>
      <c r="FJ317" s="290"/>
      <c r="FK317" s="290"/>
      <c r="FL317" s="290"/>
      <c r="FM317" s="290"/>
      <c r="FN317" s="290"/>
      <c r="FO317" s="290"/>
      <c r="FP317" s="290"/>
      <c r="FQ317" s="290"/>
      <c r="FR317" s="290"/>
      <c r="FS317" s="290"/>
      <c r="FT317" s="290"/>
      <c r="FU317" s="290"/>
      <c r="FV317" s="290"/>
      <c r="FW317" s="290"/>
      <c r="FX317" s="290"/>
      <c r="FY317" s="290"/>
      <c r="FZ317" s="290"/>
      <c r="GA317" s="290"/>
      <c r="GB317" s="290"/>
      <c r="GC317" s="290"/>
      <c r="GD317" s="290"/>
      <c r="GE317" s="290"/>
      <c r="GF317" s="290"/>
      <c r="GG317" s="290"/>
      <c r="GH317" s="290"/>
      <c r="GI317" s="290"/>
      <c r="GJ317" s="290"/>
      <c r="GK317" s="290"/>
      <c r="GL317" s="290"/>
      <c r="GM317" s="290"/>
      <c r="GN317" s="290"/>
      <c r="GO317" s="290"/>
      <c r="GP317" s="290"/>
      <c r="GQ317" s="290"/>
      <c r="GR317" s="290"/>
      <c r="GS317" s="290"/>
      <c r="GT317" s="290"/>
      <c r="GU317" s="290"/>
      <c r="GV317" s="290"/>
      <c r="GW317" s="290"/>
      <c r="GX317" s="290"/>
      <c r="GY317" s="290"/>
      <c r="GZ317" s="290"/>
      <c r="HA317" s="290"/>
      <c r="HB317" s="290"/>
      <c r="HC317" s="290"/>
      <c r="HD317" s="290"/>
      <c r="HE317" s="290"/>
      <c r="HF317" s="290"/>
      <c r="HG317" s="290"/>
      <c r="HH317" s="290"/>
      <c r="HI317" s="290"/>
      <c r="HJ317" s="290"/>
      <c r="HK317" s="290"/>
      <c r="HL317" s="290"/>
      <c r="HM317" s="290"/>
      <c r="HN317" s="290"/>
      <c r="HO317" s="290"/>
      <c r="HP317" s="290"/>
      <c r="HQ317" s="290"/>
      <c r="HR317" s="290"/>
      <c r="HS317" s="290"/>
      <c r="HT317" s="290"/>
      <c r="HU317" s="290"/>
      <c r="HV317" s="290"/>
      <c r="HW317" s="290"/>
      <c r="HX317" s="290"/>
      <c r="HY317" s="290"/>
      <c r="HZ317" s="290"/>
      <c r="IA317" s="290"/>
      <c r="IB317" s="290"/>
      <c r="IC317" s="290"/>
      <c r="ID317" s="290"/>
      <c r="IE317" s="290"/>
      <c r="IF317" s="290"/>
      <c r="IG317" s="290"/>
      <c r="IH317" s="290"/>
      <c r="II317" s="290"/>
      <c r="IJ317" s="290"/>
      <c r="IK317" s="290"/>
      <c r="IL317" s="290"/>
      <c r="IM317" s="290"/>
      <c r="IN317" s="290"/>
      <c r="IO317" s="290"/>
      <c r="IP317" s="290"/>
      <c r="IQ317" s="290"/>
    </row>
    <row r="318" spans="1:251" x14ac:dyDescent="0.3">
      <c r="A318" s="270"/>
      <c r="B318" s="273"/>
      <c r="C318" s="276"/>
      <c r="D318" s="267"/>
      <c r="E318" s="267"/>
      <c r="F318" s="113" t="s">
        <v>238</v>
      </c>
      <c r="G318" s="288"/>
      <c r="H318" s="289"/>
      <c r="I318" s="290"/>
      <c r="J318" s="290"/>
      <c r="K318" s="290"/>
      <c r="L318" s="290"/>
      <c r="M318" s="290"/>
      <c r="N318" s="290"/>
      <c r="O318" s="290"/>
      <c r="P318" s="290"/>
      <c r="Q318" s="290"/>
      <c r="R318" s="290"/>
      <c r="S318" s="290"/>
      <c r="T318" s="290"/>
      <c r="U318" s="290"/>
      <c r="V318" s="290"/>
      <c r="W318" s="290"/>
      <c r="X318" s="290"/>
      <c r="Y318" s="290"/>
      <c r="Z318" s="290"/>
      <c r="AA318" s="290"/>
      <c r="AB318" s="290"/>
      <c r="AC318" s="290"/>
      <c r="AD318" s="290"/>
      <c r="AE318" s="290"/>
      <c r="AF318" s="290"/>
      <c r="AG318" s="290"/>
      <c r="AH318" s="290"/>
      <c r="AI318" s="290"/>
      <c r="AJ318" s="290"/>
      <c r="AK318" s="290"/>
      <c r="AL318" s="290"/>
      <c r="AM318" s="290"/>
      <c r="AN318" s="290"/>
      <c r="AO318" s="290"/>
      <c r="AP318" s="290"/>
      <c r="AQ318" s="290"/>
      <c r="AR318" s="290"/>
      <c r="AS318" s="290"/>
      <c r="AT318" s="290"/>
      <c r="AU318" s="290"/>
      <c r="AV318" s="290"/>
      <c r="AW318" s="290"/>
      <c r="AX318" s="290"/>
      <c r="AY318" s="290"/>
      <c r="AZ318" s="290"/>
      <c r="BA318" s="290"/>
      <c r="BB318" s="290"/>
      <c r="BC318" s="290"/>
      <c r="BD318" s="290"/>
      <c r="BE318" s="290"/>
      <c r="BF318" s="290"/>
      <c r="BG318" s="290"/>
      <c r="BH318" s="290"/>
      <c r="BI318" s="290"/>
      <c r="BJ318" s="290"/>
      <c r="BK318" s="290"/>
      <c r="BL318" s="290"/>
      <c r="BM318" s="290"/>
      <c r="BN318" s="290"/>
      <c r="BO318" s="290"/>
      <c r="BP318" s="290"/>
      <c r="BQ318" s="290"/>
      <c r="BR318" s="290"/>
      <c r="BS318" s="290"/>
      <c r="BT318" s="290"/>
      <c r="BU318" s="290"/>
      <c r="BV318" s="290"/>
      <c r="BW318" s="290"/>
      <c r="BX318" s="290"/>
      <c r="BY318" s="290"/>
      <c r="BZ318" s="290"/>
      <c r="CA318" s="290"/>
      <c r="CB318" s="290"/>
      <c r="CC318" s="290"/>
      <c r="CD318" s="290"/>
      <c r="CE318" s="290"/>
      <c r="CF318" s="290"/>
      <c r="CG318" s="290"/>
      <c r="CH318" s="290"/>
      <c r="CI318" s="290"/>
      <c r="CJ318" s="290"/>
      <c r="CK318" s="290"/>
      <c r="CL318" s="290"/>
      <c r="CM318" s="290"/>
      <c r="CN318" s="290"/>
      <c r="CO318" s="290"/>
      <c r="CP318" s="290"/>
      <c r="CQ318" s="290"/>
      <c r="CR318" s="290"/>
      <c r="CS318" s="290"/>
      <c r="CT318" s="290"/>
      <c r="CU318" s="290"/>
      <c r="CV318" s="290"/>
      <c r="CW318" s="290"/>
      <c r="CX318" s="290"/>
      <c r="CY318" s="290"/>
      <c r="CZ318" s="290"/>
      <c r="DA318" s="290"/>
      <c r="DB318" s="290"/>
      <c r="DC318" s="290"/>
      <c r="DD318" s="290"/>
      <c r="DE318" s="290"/>
      <c r="DF318" s="290"/>
      <c r="DG318" s="290"/>
      <c r="DH318" s="290"/>
      <c r="DI318" s="290"/>
      <c r="DJ318" s="290"/>
      <c r="DK318" s="290"/>
      <c r="DL318" s="290"/>
      <c r="DM318" s="290"/>
      <c r="DN318" s="290"/>
      <c r="DO318" s="290"/>
      <c r="DP318" s="290"/>
      <c r="DQ318" s="290"/>
      <c r="DR318" s="290"/>
      <c r="DS318" s="290"/>
      <c r="DT318" s="290"/>
      <c r="DU318" s="290"/>
      <c r="DV318" s="290"/>
      <c r="DW318" s="290"/>
      <c r="DX318" s="290"/>
      <c r="DY318" s="290"/>
      <c r="DZ318" s="290"/>
      <c r="EA318" s="290"/>
      <c r="EB318" s="290"/>
      <c r="EC318" s="290"/>
      <c r="ED318" s="290"/>
      <c r="EE318" s="290"/>
      <c r="EF318" s="290"/>
      <c r="EG318" s="290"/>
      <c r="EH318" s="290"/>
      <c r="EI318" s="290"/>
      <c r="EJ318" s="290"/>
      <c r="EK318" s="290"/>
      <c r="EL318" s="290"/>
      <c r="EM318" s="290"/>
      <c r="EN318" s="290"/>
      <c r="EO318" s="290"/>
      <c r="EP318" s="290"/>
      <c r="EQ318" s="290"/>
      <c r="ER318" s="290"/>
      <c r="ES318" s="290"/>
      <c r="ET318" s="290"/>
      <c r="EU318" s="290"/>
      <c r="EV318" s="290"/>
      <c r="EW318" s="290"/>
      <c r="EX318" s="290"/>
      <c r="EY318" s="290"/>
      <c r="EZ318" s="290"/>
      <c r="FA318" s="290"/>
      <c r="FB318" s="290"/>
      <c r="FC318" s="290"/>
      <c r="FD318" s="290"/>
      <c r="FE318" s="290"/>
      <c r="FF318" s="290"/>
      <c r="FG318" s="290"/>
      <c r="FH318" s="290"/>
      <c r="FI318" s="290"/>
      <c r="FJ318" s="290"/>
      <c r="FK318" s="290"/>
      <c r="FL318" s="290"/>
      <c r="FM318" s="290"/>
      <c r="FN318" s="290"/>
      <c r="FO318" s="290"/>
      <c r="FP318" s="290"/>
      <c r="FQ318" s="290"/>
      <c r="FR318" s="290"/>
      <c r="FS318" s="290"/>
      <c r="FT318" s="290"/>
      <c r="FU318" s="290"/>
      <c r="FV318" s="290"/>
      <c r="FW318" s="290"/>
      <c r="FX318" s="290"/>
      <c r="FY318" s="290"/>
      <c r="FZ318" s="290"/>
      <c r="GA318" s="290"/>
      <c r="GB318" s="290"/>
      <c r="GC318" s="290"/>
      <c r="GD318" s="290"/>
      <c r="GE318" s="290"/>
      <c r="GF318" s="290"/>
      <c r="GG318" s="290"/>
      <c r="GH318" s="290"/>
      <c r="GI318" s="290"/>
      <c r="GJ318" s="290"/>
      <c r="GK318" s="290"/>
      <c r="GL318" s="290"/>
      <c r="GM318" s="290"/>
      <c r="GN318" s="290"/>
      <c r="GO318" s="290"/>
      <c r="GP318" s="290"/>
      <c r="GQ318" s="290"/>
      <c r="GR318" s="290"/>
      <c r="GS318" s="290"/>
      <c r="GT318" s="290"/>
      <c r="GU318" s="290"/>
      <c r="GV318" s="290"/>
      <c r="GW318" s="290"/>
      <c r="GX318" s="290"/>
      <c r="GY318" s="290"/>
      <c r="GZ318" s="290"/>
      <c r="HA318" s="290"/>
      <c r="HB318" s="290"/>
      <c r="HC318" s="290"/>
      <c r="HD318" s="290"/>
      <c r="HE318" s="290"/>
      <c r="HF318" s="290"/>
      <c r="HG318" s="290"/>
      <c r="HH318" s="290"/>
      <c r="HI318" s="290"/>
      <c r="HJ318" s="290"/>
      <c r="HK318" s="290"/>
      <c r="HL318" s="290"/>
      <c r="HM318" s="290"/>
      <c r="HN318" s="290"/>
      <c r="HO318" s="290"/>
      <c r="HP318" s="290"/>
      <c r="HQ318" s="290"/>
      <c r="HR318" s="290"/>
      <c r="HS318" s="290"/>
      <c r="HT318" s="290"/>
      <c r="HU318" s="290"/>
      <c r="HV318" s="290"/>
      <c r="HW318" s="290"/>
      <c r="HX318" s="290"/>
      <c r="HY318" s="290"/>
      <c r="HZ318" s="290"/>
      <c r="IA318" s="290"/>
      <c r="IB318" s="290"/>
      <c r="IC318" s="290"/>
      <c r="ID318" s="290"/>
      <c r="IE318" s="290"/>
      <c r="IF318" s="290"/>
      <c r="IG318" s="290"/>
      <c r="IH318" s="290"/>
      <c r="II318" s="290"/>
      <c r="IJ318" s="290"/>
      <c r="IK318" s="290"/>
      <c r="IL318" s="290"/>
      <c r="IM318" s="290"/>
      <c r="IN318" s="290"/>
      <c r="IO318" s="290"/>
      <c r="IP318" s="290"/>
      <c r="IQ318" s="290"/>
    </row>
    <row r="319" spans="1:251" ht="39" x14ac:dyDescent="0.3">
      <c r="A319" s="239" t="s">
        <v>267</v>
      </c>
      <c r="B319" s="21" t="s">
        <v>1852</v>
      </c>
      <c r="C319" s="129" t="s">
        <v>49</v>
      </c>
      <c r="D319" s="166" t="s">
        <v>37</v>
      </c>
      <c r="E319" s="166" t="s">
        <v>38</v>
      </c>
      <c r="F319" s="100" t="s">
        <v>1854</v>
      </c>
      <c r="G319" s="183"/>
      <c r="H319" s="183"/>
      <c r="I319" s="183"/>
      <c r="J319" s="183"/>
      <c r="K319" s="183"/>
      <c r="L319" s="183"/>
      <c r="M319" s="183"/>
      <c r="N319" s="183"/>
      <c r="O319" s="183"/>
      <c r="P319" s="183"/>
      <c r="Q319" s="183"/>
      <c r="R319" s="183"/>
      <c r="S319" s="183"/>
      <c r="T319" s="183"/>
      <c r="U319" s="183"/>
      <c r="V319" s="183"/>
      <c r="W319" s="183"/>
      <c r="X319" s="183"/>
      <c r="Y319" s="183"/>
      <c r="Z319" s="183"/>
      <c r="AA319" s="183"/>
      <c r="AB319" s="183"/>
      <c r="AC319" s="183"/>
      <c r="AD319" s="183"/>
      <c r="AE319" s="183"/>
      <c r="AF319" s="183"/>
      <c r="AG319" s="183"/>
      <c r="AH319" s="183"/>
      <c r="AI319" s="183"/>
      <c r="AJ319" s="183"/>
      <c r="AK319" s="183"/>
      <c r="AL319" s="183"/>
      <c r="AM319" s="183"/>
      <c r="AN319" s="183"/>
      <c r="AO319" s="183"/>
      <c r="AP319" s="183"/>
      <c r="AQ319" s="183"/>
      <c r="AR319" s="183"/>
      <c r="AS319" s="183"/>
      <c r="AT319" s="183"/>
      <c r="AU319" s="183"/>
      <c r="AV319" s="183"/>
      <c r="AW319" s="183"/>
      <c r="AX319" s="183"/>
      <c r="AY319" s="183"/>
      <c r="AZ319" s="183"/>
      <c r="BA319" s="183"/>
      <c r="BB319" s="183"/>
      <c r="BC319" s="183"/>
      <c r="BD319" s="183"/>
      <c r="BE319" s="183"/>
      <c r="BF319" s="183"/>
      <c r="BG319" s="183"/>
      <c r="BH319" s="183"/>
      <c r="BI319" s="183"/>
      <c r="BJ319" s="183"/>
      <c r="BK319" s="183"/>
      <c r="BL319" s="183"/>
      <c r="BM319" s="183"/>
      <c r="BN319" s="183"/>
      <c r="BO319" s="183"/>
      <c r="BP319" s="183"/>
      <c r="BQ319" s="183"/>
      <c r="BR319" s="183"/>
      <c r="BS319" s="183"/>
      <c r="BT319" s="183"/>
      <c r="BU319" s="183"/>
      <c r="BV319" s="183"/>
      <c r="BW319" s="183"/>
      <c r="BX319" s="183"/>
      <c r="BY319" s="183"/>
      <c r="BZ319" s="183"/>
      <c r="CA319" s="183"/>
      <c r="CB319" s="183"/>
      <c r="CC319" s="183"/>
      <c r="CD319" s="183"/>
      <c r="CE319" s="183"/>
      <c r="CF319" s="183"/>
      <c r="CG319" s="183"/>
      <c r="CH319" s="183"/>
      <c r="CI319" s="183"/>
      <c r="CJ319" s="183"/>
      <c r="CK319" s="183"/>
      <c r="CL319" s="183"/>
      <c r="CM319" s="183"/>
      <c r="CN319" s="183"/>
      <c r="CO319" s="183"/>
      <c r="CP319" s="183"/>
      <c r="CQ319" s="183"/>
      <c r="CR319" s="183"/>
      <c r="CS319" s="183"/>
      <c r="CT319" s="183"/>
      <c r="CU319" s="183"/>
      <c r="CV319" s="183"/>
      <c r="CW319" s="183"/>
      <c r="CX319" s="183"/>
      <c r="CY319" s="183"/>
      <c r="CZ319" s="183"/>
      <c r="DA319" s="183"/>
      <c r="DB319" s="183"/>
      <c r="DC319" s="183"/>
      <c r="DD319" s="183"/>
      <c r="DE319" s="183"/>
      <c r="DF319" s="183"/>
      <c r="DG319" s="183"/>
      <c r="DH319" s="183"/>
      <c r="DI319" s="183"/>
      <c r="DJ319" s="183"/>
      <c r="DK319" s="183"/>
      <c r="DL319" s="183"/>
      <c r="DM319" s="183"/>
      <c r="DN319" s="183"/>
      <c r="DO319" s="183"/>
      <c r="DP319" s="183"/>
      <c r="DQ319" s="183"/>
      <c r="DR319" s="183"/>
      <c r="DS319" s="183"/>
      <c r="DT319" s="183"/>
      <c r="DU319" s="183"/>
      <c r="DV319" s="183"/>
      <c r="DW319" s="183"/>
      <c r="DX319" s="183"/>
      <c r="DY319" s="183"/>
      <c r="DZ319" s="183"/>
      <c r="EA319" s="183"/>
      <c r="EB319" s="183"/>
      <c r="EC319" s="183"/>
      <c r="ED319" s="183"/>
      <c r="EE319" s="183"/>
      <c r="EF319" s="183"/>
      <c r="EG319" s="183"/>
      <c r="EH319" s="183"/>
      <c r="EI319" s="183"/>
      <c r="EJ319" s="183"/>
      <c r="EK319" s="183"/>
      <c r="EL319" s="183"/>
      <c r="EM319" s="183"/>
      <c r="EN319" s="183"/>
      <c r="EO319" s="183"/>
      <c r="EP319" s="183"/>
      <c r="EQ319" s="183"/>
      <c r="ER319" s="183"/>
      <c r="ES319" s="183"/>
      <c r="ET319" s="183"/>
      <c r="EU319" s="183"/>
      <c r="EV319" s="183"/>
      <c r="EW319" s="183"/>
      <c r="EX319" s="183"/>
      <c r="EY319" s="183"/>
      <c r="EZ319" s="183"/>
      <c r="FA319" s="183"/>
      <c r="FB319" s="183"/>
      <c r="FC319" s="183"/>
      <c r="FD319" s="183"/>
      <c r="FE319" s="183"/>
      <c r="FF319" s="183"/>
      <c r="FG319" s="183"/>
      <c r="FH319" s="183"/>
      <c r="FI319" s="183"/>
      <c r="FJ319" s="183"/>
      <c r="FK319" s="183"/>
      <c r="FL319" s="183"/>
      <c r="FM319" s="183"/>
      <c r="FN319" s="183"/>
      <c r="FO319" s="183"/>
      <c r="FP319" s="183"/>
      <c r="FQ319" s="183"/>
      <c r="FR319" s="183"/>
      <c r="FS319" s="183"/>
      <c r="FT319" s="183"/>
      <c r="FU319" s="183"/>
      <c r="FV319" s="183"/>
      <c r="FW319" s="183"/>
      <c r="FX319" s="183"/>
      <c r="FY319" s="183"/>
      <c r="FZ319" s="183"/>
      <c r="GA319" s="183"/>
      <c r="GB319" s="183"/>
      <c r="GC319" s="183"/>
      <c r="GD319" s="183"/>
      <c r="GE319" s="183"/>
      <c r="GF319" s="183"/>
      <c r="GG319" s="183"/>
      <c r="GH319" s="183"/>
      <c r="GI319" s="183"/>
      <c r="GJ319" s="183"/>
      <c r="GK319" s="183"/>
      <c r="GL319" s="183"/>
      <c r="GM319" s="183"/>
      <c r="GN319" s="183"/>
      <c r="GO319" s="183"/>
      <c r="GP319" s="183"/>
      <c r="GQ319" s="183"/>
      <c r="GR319" s="183"/>
      <c r="GS319" s="183"/>
      <c r="GT319" s="183"/>
      <c r="GU319" s="183"/>
      <c r="GV319" s="183"/>
      <c r="GW319" s="183"/>
      <c r="GX319" s="183"/>
      <c r="GY319" s="183"/>
      <c r="GZ319" s="183"/>
      <c r="HA319" s="183"/>
      <c r="HB319" s="183"/>
      <c r="HC319" s="183"/>
      <c r="HD319" s="183"/>
      <c r="HE319" s="183"/>
      <c r="HF319" s="183"/>
      <c r="HG319" s="183"/>
      <c r="HH319" s="183"/>
      <c r="HI319" s="183"/>
      <c r="HJ319" s="183"/>
      <c r="HK319" s="183"/>
      <c r="HL319" s="183"/>
      <c r="HM319" s="183"/>
      <c r="HN319" s="183"/>
      <c r="HO319" s="183"/>
      <c r="HP319" s="183"/>
      <c r="HQ319" s="183"/>
      <c r="HR319" s="183"/>
      <c r="HS319" s="183"/>
      <c r="HT319" s="183"/>
      <c r="HU319" s="183"/>
      <c r="HV319" s="183"/>
      <c r="HW319" s="183"/>
      <c r="HX319" s="183"/>
      <c r="HY319" s="183"/>
      <c r="HZ319" s="183"/>
      <c r="IA319" s="183"/>
      <c r="IB319" s="183"/>
      <c r="IC319" s="183"/>
      <c r="ID319" s="183"/>
      <c r="IE319" s="183"/>
      <c r="IF319" s="183"/>
      <c r="IG319" s="183"/>
      <c r="IH319" s="183"/>
      <c r="II319" s="183"/>
      <c r="IJ319" s="183"/>
      <c r="IK319" s="183"/>
      <c r="IL319" s="183"/>
      <c r="IM319" s="183"/>
      <c r="IN319" s="183"/>
      <c r="IO319" s="183"/>
      <c r="IP319" s="183"/>
      <c r="IQ319" s="183"/>
    </row>
    <row r="320" spans="1:251" ht="39" x14ac:dyDescent="0.3">
      <c r="A320" s="83" t="s">
        <v>184</v>
      </c>
      <c r="B320" s="196" t="s">
        <v>268</v>
      </c>
      <c r="C320" s="191" t="s">
        <v>30</v>
      </c>
      <c r="D320" s="192" t="s">
        <v>31</v>
      </c>
      <c r="E320" s="192" t="s">
        <v>32</v>
      </c>
      <c r="F320" s="114" t="s">
        <v>33</v>
      </c>
    </row>
    <row r="321" spans="1:251" x14ac:dyDescent="0.3">
      <c r="A321" s="268" t="s">
        <v>1864</v>
      </c>
      <c r="B321" s="271" t="s">
        <v>46</v>
      </c>
      <c r="C321" s="274" t="s">
        <v>36</v>
      </c>
      <c r="D321" s="265" t="s">
        <v>37</v>
      </c>
      <c r="E321" s="265" t="s">
        <v>38</v>
      </c>
      <c r="F321" s="108" t="s">
        <v>233</v>
      </c>
    </row>
    <row r="322" spans="1:251" x14ac:dyDescent="0.3">
      <c r="A322" s="269"/>
      <c r="B322" s="272"/>
      <c r="C322" s="275"/>
      <c r="D322" s="266"/>
      <c r="E322" s="266"/>
      <c r="F322" s="109" t="s">
        <v>234</v>
      </c>
    </row>
    <row r="323" spans="1:251" x14ac:dyDescent="0.3">
      <c r="A323" s="270"/>
      <c r="B323" s="273"/>
      <c r="C323" s="276"/>
      <c r="D323" s="267"/>
      <c r="E323" s="267"/>
      <c r="F323" s="110" t="s">
        <v>235</v>
      </c>
    </row>
    <row r="324" spans="1:251" x14ac:dyDescent="0.3">
      <c r="A324" s="268" t="s">
        <v>1864</v>
      </c>
      <c r="B324" s="271" t="s">
        <v>48</v>
      </c>
      <c r="C324" s="274" t="s">
        <v>49</v>
      </c>
      <c r="D324" s="265" t="s">
        <v>37</v>
      </c>
      <c r="E324" s="265" t="s">
        <v>38</v>
      </c>
      <c r="F324" s="111" t="s">
        <v>236</v>
      </c>
    </row>
    <row r="325" spans="1:251" x14ac:dyDescent="0.3">
      <c r="A325" s="269"/>
      <c r="B325" s="272"/>
      <c r="C325" s="275"/>
      <c r="D325" s="266"/>
      <c r="E325" s="266"/>
      <c r="F325" s="112" t="s">
        <v>237</v>
      </c>
    </row>
    <row r="326" spans="1:251" x14ac:dyDescent="0.3">
      <c r="A326" s="270"/>
      <c r="B326" s="273"/>
      <c r="C326" s="276"/>
      <c r="D326" s="267"/>
      <c r="E326" s="267"/>
      <c r="F326" s="113" t="s">
        <v>238</v>
      </c>
    </row>
    <row r="327" spans="1:251" ht="39" x14ac:dyDescent="0.3">
      <c r="A327" s="239" t="s">
        <v>1864</v>
      </c>
      <c r="B327" s="21" t="s">
        <v>1852</v>
      </c>
      <c r="C327" s="129" t="s">
        <v>49</v>
      </c>
      <c r="D327" s="166" t="s">
        <v>37</v>
      </c>
      <c r="E327" s="166" t="s">
        <v>38</v>
      </c>
      <c r="F327" s="100" t="s">
        <v>1854</v>
      </c>
    </row>
    <row r="328" spans="1:251" ht="39" x14ac:dyDescent="0.3">
      <c r="A328" s="83" t="s">
        <v>239</v>
      </c>
      <c r="B328" s="196" t="s">
        <v>269</v>
      </c>
      <c r="C328" s="191" t="s">
        <v>30</v>
      </c>
      <c r="D328" s="192" t="s">
        <v>31</v>
      </c>
      <c r="E328" s="192" t="s">
        <v>32</v>
      </c>
      <c r="F328" s="114" t="s">
        <v>33</v>
      </c>
      <c r="G328" s="191" t="s">
        <v>5</v>
      </c>
      <c r="H328" s="200"/>
      <c r="I328" s="201"/>
      <c r="J328" s="201"/>
      <c r="K328" s="201"/>
      <c r="L328" s="201"/>
      <c r="M328" s="201"/>
      <c r="N328" s="201"/>
      <c r="O328" s="201"/>
      <c r="P328" s="201"/>
      <c r="Q328" s="201"/>
      <c r="R328" s="201"/>
      <c r="S328" s="201"/>
      <c r="T328" s="201"/>
      <c r="U328" s="201"/>
      <c r="V328" s="201"/>
      <c r="W328" s="201"/>
      <c r="X328" s="201"/>
      <c r="Y328" s="201"/>
      <c r="Z328" s="201"/>
      <c r="AA328" s="201"/>
      <c r="AB328" s="201"/>
      <c r="AC328" s="201"/>
      <c r="AD328" s="201"/>
      <c r="AE328" s="201"/>
      <c r="AF328" s="201"/>
      <c r="AG328" s="201"/>
      <c r="AH328" s="201"/>
      <c r="AI328" s="201"/>
      <c r="AJ328" s="201"/>
      <c r="AK328" s="201"/>
      <c r="AL328" s="201"/>
      <c r="AM328" s="201"/>
      <c r="AN328" s="201"/>
      <c r="AO328" s="201"/>
      <c r="AP328" s="201"/>
      <c r="AQ328" s="201"/>
      <c r="AR328" s="201"/>
      <c r="AS328" s="201"/>
      <c r="AT328" s="201"/>
      <c r="AU328" s="201"/>
      <c r="AV328" s="201"/>
      <c r="AW328" s="201"/>
      <c r="AX328" s="201"/>
      <c r="AY328" s="201"/>
      <c r="AZ328" s="201"/>
      <c r="BA328" s="201"/>
      <c r="BB328" s="201"/>
      <c r="BC328" s="201"/>
      <c r="BD328" s="201"/>
      <c r="BE328" s="201"/>
      <c r="BF328" s="201"/>
      <c r="BG328" s="201"/>
      <c r="BH328" s="201"/>
      <c r="BI328" s="201"/>
      <c r="BJ328" s="201"/>
      <c r="BK328" s="201"/>
      <c r="BL328" s="201"/>
      <c r="BM328" s="201"/>
      <c r="BN328" s="201"/>
      <c r="BO328" s="201"/>
      <c r="BP328" s="201"/>
      <c r="BQ328" s="201"/>
      <c r="BR328" s="201"/>
      <c r="BS328" s="201"/>
      <c r="BT328" s="201"/>
      <c r="BU328" s="201"/>
      <c r="BV328" s="201"/>
      <c r="BW328" s="201"/>
      <c r="BX328" s="201"/>
      <c r="BY328" s="201"/>
      <c r="BZ328" s="201"/>
      <c r="CA328" s="201"/>
      <c r="CB328" s="201"/>
      <c r="CC328" s="201"/>
      <c r="CD328" s="201"/>
      <c r="CE328" s="201"/>
      <c r="CF328" s="201"/>
      <c r="CG328" s="201"/>
      <c r="CH328" s="201"/>
      <c r="CI328" s="201"/>
      <c r="CJ328" s="201"/>
      <c r="CK328" s="201"/>
      <c r="CL328" s="201"/>
      <c r="CM328" s="201"/>
      <c r="CN328" s="201"/>
      <c r="CO328" s="201"/>
      <c r="CP328" s="201"/>
      <c r="CQ328" s="201"/>
      <c r="CR328" s="201"/>
      <c r="CS328" s="201"/>
      <c r="CT328" s="201"/>
      <c r="CU328" s="201"/>
      <c r="CV328" s="201"/>
      <c r="CW328" s="201"/>
      <c r="CX328" s="201"/>
      <c r="CY328" s="201"/>
      <c r="CZ328" s="201"/>
      <c r="DA328" s="201"/>
      <c r="DB328" s="201"/>
      <c r="DC328" s="201"/>
      <c r="DD328" s="201"/>
      <c r="DE328" s="201"/>
      <c r="DF328" s="201"/>
      <c r="DG328" s="201"/>
      <c r="DH328" s="201"/>
      <c r="DI328" s="201"/>
      <c r="DJ328" s="201"/>
      <c r="DK328" s="201"/>
      <c r="DL328" s="201"/>
      <c r="DM328" s="201"/>
      <c r="DN328" s="201"/>
      <c r="DO328" s="201"/>
      <c r="DP328" s="201"/>
      <c r="DQ328" s="201"/>
      <c r="DR328" s="201"/>
      <c r="DS328" s="201"/>
      <c r="DT328" s="201"/>
      <c r="DU328" s="201"/>
      <c r="DV328" s="201"/>
      <c r="DW328" s="201"/>
      <c r="DX328" s="201"/>
      <c r="DY328" s="201"/>
      <c r="DZ328" s="201"/>
      <c r="EA328" s="201"/>
      <c r="EB328" s="201"/>
      <c r="EC328" s="201"/>
      <c r="ED328" s="201"/>
      <c r="EE328" s="201"/>
      <c r="EF328" s="201"/>
      <c r="EG328" s="201"/>
      <c r="EH328" s="201"/>
      <c r="EI328" s="201"/>
      <c r="EJ328" s="201"/>
      <c r="EK328" s="201"/>
      <c r="EL328" s="201"/>
      <c r="EM328" s="201"/>
      <c r="EN328" s="201"/>
      <c r="EO328" s="201"/>
      <c r="EP328" s="201"/>
      <c r="EQ328" s="201"/>
      <c r="ER328" s="201"/>
      <c r="ES328" s="201"/>
      <c r="ET328" s="201"/>
      <c r="EU328" s="201"/>
      <c r="EV328" s="201"/>
      <c r="EW328" s="201"/>
      <c r="EX328" s="201"/>
      <c r="EY328" s="201"/>
      <c r="EZ328" s="201"/>
      <c r="FA328" s="201"/>
      <c r="FB328" s="201"/>
      <c r="FC328" s="201"/>
      <c r="FD328" s="201"/>
      <c r="FE328" s="201"/>
      <c r="FF328" s="201"/>
      <c r="FG328" s="201"/>
      <c r="FH328" s="201"/>
      <c r="FI328" s="201"/>
      <c r="FJ328" s="201"/>
      <c r="FK328" s="201"/>
      <c r="FL328" s="201"/>
      <c r="FM328" s="201"/>
      <c r="FN328" s="201"/>
      <c r="FO328" s="201"/>
      <c r="FP328" s="201"/>
      <c r="FQ328" s="201"/>
      <c r="FR328" s="201"/>
      <c r="FS328" s="201"/>
      <c r="FT328" s="201"/>
      <c r="FU328" s="201"/>
      <c r="FV328" s="201"/>
      <c r="FW328" s="201"/>
      <c r="FX328" s="201"/>
      <c r="FY328" s="201"/>
      <c r="FZ328" s="201"/>
      <c r="GA328" s="201"/>
      <c r="GB328" s="201"/>
      <c r="GC328" s="201"/>
      <c r="GD328" s="201"/>
      <c r="GE328" s="201"/>
      <c r="GF328" s="201"/>
      <c r="GG328" s="201"/>
      <c r="GH328" s="201"/>
      <c r="GI328" s="201"/>
      <c r="GJ328" s="201"/>
      <c r="GK328" s="201"/>
      <c r="GL328" s="201"/>
      <c r="GM328" s="201"/>
      <c r="GN328" s="201"/>
      <c r="GO328" s="201"/>
      <c r="GP328" s="201"/>
      <c r="GQ328" s="201"/>
      <c r="GR328" s="201"/>
      <c r="GS328" s="201"/>
      <c r="GT328" s="201"/>
      <c r="GU328" s="201"/>
      <c r="GV328" s="201"/>
      <c r="GW328" s="201"/>
      <c r="GX328" s="201"/>
      <c r="GY328" s="201"/>
      <c r="GZ328" s="201"/>
      <c r="HA328" s="201"/>
      <c r="HB328" s="201"/>
      <c r="HC328" s="201"/>
      <c r="HD328" s="201"/>
      <c r="HE328" s="201"/>
      <c r="HF328" s="201"/>
      <c r="HG328" s="201"/>
      <c r="HH328" s="201"/>
      <c r="HI328" s="201"/>
      <c r="HJ328" s="201"/>
      <c r="HK328" s="201"/>
      <c r="HL328" s="201"/>
      <c r="HM328" s="201"/>
      <c r="HN328" s="201"/>
      <c r="HO328" s="201"/>
      <c r="HP328" s="201"/>
      <c r="HQ328" s="201"/>
      <c r="HR328" s="201"/>
      <c r="HS328" s="201"/>
      <c r="HT328" s="201"/>
      <c r="HU328" s="201"/>
      <c r="HV328" s="201"/>
      <c r="HW328" s="201"/>
      <c r="HX328" s="201"/>
      <c r="HY328" s="201"/>
      <c r="HZ328" s="201"/>
      <c r="IA328" s="201"/>
      <c r="IB328" s="201"/>
      <c r="IC328" s="201"/>
      <c r="ID328" s="201"/>
      <c r="IE328" s="201"/>
      <c r="IF328" s="201"/>
      <c r="IG328" s="201"/>
      <c r="IH328" s="201"/>
      <c r="II328" s="201"/>
      <c r="IJ328" s="201"/>
      <c r="IK328" s="201"/>
      <c r="IL328" s="201"/>
      <c r="IM328" s="201"/>
      <c r="IN328" s="201"/>
      <c r="IO328" s="201"/>
      <c r="IP328" s="201"/>
      <c r="IQ328" s="201"/>
    </row>
    <row r="329" spans="1:251" x14ac:dyDescent="0.3">
      <c r="A329" s="268" t="s">
        <v>270</v>
      </c>
      <c r="B329" s="271" t="s">
        <v>46</v>
      </c>
      <c r="C329" s="274" t="s">
        <v>36</v>
      </c>
      <c r="D329" s="265" t="s">
        <v>37</v>
      </c>
      <c r="E329" s="265" t="s">
        <v>38</v>
      </c>
      <c r="F329" s="108" t="s">
        <v>233</v>
      </c>
      <c r="G329" s="286"/>
      <c r="H329" s="289"/>
      <c r="I329" s="290"/>
      <c r="J329" s="290"/>
      <c r="K329" s="290"/>
      <c r="L329" s="290"/>
      <c r="M329" s="290"/>
      <c r="N329" s="290"/>
      <c r="O329" s="290"/>
      <c r="P329" s="290"/>
      <c r="Q329" s="290"/>
      <c r="R329" s="290"/>
      <c r="S329" s="290"/>
      <c r="T329" s="290"/>
      <c r="U329" s="290"/>
      <c r="V329" s="290"/>
      <c r="W329" s="290"/>
      <c r="X329" s="290"/>
      <c r="Y329" s="290"/>
      <c r="Z329" s="290"/>
      <c r="AA329" s="290"/>
      <c r="AB329" s="290"/>
      <c r="AC329" s="290"/>
      <c r="AD329" s="290"/>
      <c r="AE329" s="290"/>
      <c r="AF329" s="290"/>
      <c r="AG329" s="290"/>
      <c r="AH329" s="290"/>
      <c r="AI329" s="290"/>
      <c r="AJ329" s="290"/>
      <c r="AK329" s="290"/>
      <c r="AL329" s="290"/>
      <c r="AM329" s="290"/>
      <c r="AN329" s="290"/>
      <c r="AO329" s="290"/>
      <c r="AP329" s="290"/>
      <c r="AQ329" s="290"/>
      <c r="AR329" s="290"/>
      <c r="AS329" s="290"/>
      <c r="AT329" s="290"/>
      <c r="AU329" s="290"/>
      <c r="AV329" s="290"/>
      <c r="AW329" s="290"/>
      <c r="AX329" s="290"/>
      <c r="AY329" s="290"/>
      <c r="AZ329" s="290"/>
      <c r="BA329" s="290"/>
      <c r="BB329" s="290"/>
      <c r="BC329" s="290"/>
      <c r="BD329" s="290"/>
      <c r="BE329" s="290"/>
      <c r="BF329" s="290"/>
      <c r="BG329" s="290"/>
      <c r="BH329" s="290"/>
      <c r="BI329" s="290"/>
      <c r="BJ329" s="290"/>
      <c r="BK329" s="290"/>
      <c r="BL329" s="290"/>
      <c r="BM329" s="290"/>
      <c r="BN329" s="290"/>
      <c r="BO329" s="290"/>
      <c r="BP329" s="290"/>
      <c r="BQ329" s="290"/>
      <c r="BR329" s="290"/>
      <c r="BS329" s="290"/>
      <c r="BT329" s="290"/>
      <c r="BU329" s="290"/>
      <c r="BV329" s="290"/>
      <c r="BW329" s="290"/>
      <c r="BX329" s="290"/>
      <c r="BY329" s="290"/>
      <c r="BZ329" s="290"/>
      <c r="CA329" s="290"/>
      <c r="CB329" s="290"/>
      <c r="CC329" s="290"/>
      <c r="CD329" s="290"/>
      <c r="CE329" s="290"/>
      <c r="CF329" s="290"/>
      <c r="CG329" s="290"/>
      <c r="CH329" s="290"/>
      <c r="CI329" s="290"/>
      <c r="CJ329" s="290"/>
      <c r="CK329" s="290"/>
      <c r="CL329" s="290"/>
      <c r="CM329" s="290"/>
      <c r="CN329" s="290"/>
      <c r="CO329" s="290"/>
      <c r="CP329" s="290"/>
      <c r="CQ329" s="290"/>
      <c r="CR329" s="290"/>
      <c r="CS329" s="290"/>
      <c r="CT329" s="290"/>
      <c r="CU329" s="290"/>
      <c r="CV329" s="290"/>
      <c r="CW329" s="290"/>
      <c r="CX329" s="290"/>
      <c r="CY329" s="290"/>
      <c r="CZ329" s="290"/>
      <c r="DA329" s="290"/>
      <c r="DB329" s="290"/>
      <c r="DC329" s="290"/>
      <c r="DD329" s="290"/>
      <c r="DE329" s="290"/>
      <c r="DF329" s="290"/>
      <c r="DG329" s="290"/>
      <c r="DH329" s="290"/>
      <c r="DI329" s="290"/>
      <c r="DJ329" s="290"/>
      <c r="DK329" s="290"/>
      <c r="DL329" s="290"/>
      <c r="DM329" s="290"/>
      <c r="DN329" s="290"/>
      <c r="DO329" s="290"/>
      <c r="DP329" s="290"/>
      <c r="DQ329" s="290"/>
      <c r="DR329" s="290"/>
      <c r="DS329" s="290"/>
      <c r="DT329" s="290"/>
      <c r="DU329" s="290"/>
      <c r="DV329" s="290"/>
      <c r="DW329" s="290"/>
      <c r="DX329" s="290"/>
      <c r="DY329" s="290"/>
      <c r="DZ329" s="290"/>
      <c r="EA329" s="290"/>
      <c r="EB329" s="290"/>
      <c r="EC329" s="290"/>
      <c r="ED329" s="290"/>
      <c r="EE329" s="290"/>
      <c r="EF329" s="290"/>
      <c r="EG329" s="290"/>
      <c r="EH329" s="290"/>
      <c r="EI329" s="290"/>
      <c r="EJ329" s="290"/>
      <c r="EK329" s="290"/>
      <c r="EL329" s="290"/>
      <c r="EM329" s="290"/>
      <c r="EN329" s="290"/>
      <c r="EO329" s="290"/>
      <c r="EP329" s="290"/>
      <c r="EQ329" s="290"/>
      <c r="ER329" s="290"/>
      <c r="ES329" s="290"/>
      <c r="ET329" s="290"/>
      <c r="EU329" s="290"/>
      <c r="EV329" s="290"/>
      <c r="EW329" s="290"/>
      <c r="EX329" s="290"/>
      <c r="EY329" s="290"/>
      <c r="EZ329" s="290"/>
      <c r="FA329" s="290"/>
      <c r="FB329" s="290"/>
      <c r="FC329" s="290"/>
      <c r="FD329" s="290"/>
      <c r="FE329" s="290"/>
      <c r="FF329" s="290"/>
      <c r="FG329" s="290"/>
      <c r="FH329" s="290"/>
      <c r="FI329" s="290"/>
      <c r="FJ329" s="290"/>
      <c r="FK329" s="290"/>
      <c r="FL329" s="290"/>
      <c r="FM329" s="290"/>
      <c r="FN329" s="290"/>
      <c r="FO329" s="290"/>
      <c r="FP329" s="290"/>
      <c r="FQ329" s="290"/>
      <c r="FR329" s="290"/>
      <c r="FS329" s="290"/>
      <c r="FT329" s="290"/>
      <c r="FU329" s="290"/>
      <c r="FV329" s="290"/>
      <c r="FW329" s="290"/>
      <c r="FX329" s="290"/>
      <c r="FY329" s="290"/>
      <c r="FZ329" s="290"/>
      <c r="GA329" s="290"/>
      <c r="GB329" s="290"/>
      <c r="GC329" s="290"/>
      <c r="GD329" s="290"/>
      <c r="GE329" s="290"/>
      <c r="GF329" s="290"/>
      <c r="GG329" s="290"/>
      <c r="GH329" s="290"/>
      <c r="GI329" s="290"/>
      <c r="GJ329" s="290"/>
      <c r="GK329" s="290"/>
      <c r="GL329" s="290"/>
      <c r="GM329" s="290"/>
      <c r="GN329" s="290"/>
      <c r="GO329" s="290"/>
      <c r="GP329" s="290"/>
      <c r="GQ329" s="290"/>
      <c r="GR329" s="290"/>
      <c r="GS329" s="290"/>
      <c r="GT329" s="290"/>
      <c r="GU329" s="290"/>
      <c r="GV329" s="290"/>
      <c r="GW329" s="290"/>
      <c r="GX329" s="290"/>
      <c r="GY329" s="290"/>
      <c r="GZ329" s="290"/>
      <c r="HA329" s="290"/>
      <c r="HB329" s="290"/>
      <c r="HC329" s="290"/>
      <c r="HD329" s="290"/>
      <c r="HE329" s="290"/>
      <c r="HF329" s="290"/>
      <c r="HG329" s="290"/>
      <c r="HH329" s="290"/>
      <c r="HI329" s="290"/>
      <c r="HJ329" s="290"/>
      <c r="HK329" s="290"/>
      <c r="HL329" s="290"/>
      <c r="HM329" s="290"/>
      <c r="HN329" s="290"/>
      <c r="HO329" s="290"/>
      <c r="HP329" s="290"/>
      <c r="HQ329" s="290"/>
      <c r="HR329" s="290"/>
      <c r="HS329" s="290"/>
      <c r="HT329" s="290"/>
      <c r="HU329" s="290"/>
      <c r="HV329" s="290"/>
      <c r="HW329" s="290"/>
      <c r="HX329" s="290"/>
      <c r="HY329" s="290"/>
      <c r="HZ329" s="290"/>
      <c r="IA329" s="290"/>
      <c r="IB329" s="290"/>
      <c r="IC329" s="290"/>
      <c r="ID329" s="290"/>
      <c r="IE329" s="290"/>
      <c r="IF329" s="290"/>
      <c r="IG329" s="290"/>
      <c r="IH329" s="290"/>
      <c r="II329" s="290"/>
      <c r="IJ329" s="290"/>
      <c r="IK329" s="290"/>
      <c r="IL329" s="290"/>
      <c r="IM329" s="290"/>
      <c r="IN329" s="290"/>
      <c r="IO329" s="290"/>
      <c r="IP329" s="290"/>
      <c r="IQ329" s="290"/>
    </row>
    <row r="330" spans="1:251" x14ac:dyDescent="0.3">
      <c r="A330" s="269"/>
      <c r="B330" s="272"/>
      <c r="C330" s="275"/>
      <c r="D330" s="266"/>
      <c r="E330" s="266"/>
      <c r="F330" s="109" t="s">
        <v>234</v>
      </c>
      <c r="G330" s="287"/>
      <c r="H330" s="289"/>
      <c r="I330" s="290"/>
      <c r="J330" s="290"/>
      <c r="K330" s="290"/>
      <c r="L330" s="290"/>
      <c r="M330" s="290"/>
      <c r="N330" s="290"/>
      <c r="O330" s="290"/>
      <c r="P330" s="290"/>
      <c r="Q330" s="290"/>
      <c r="R330" s="290"/>
      <c r="S330" s="290"/>
      <c r="T330" s="290"/>
      <c r="U330" s="290"/>
      <c r="V330" s="290"/>
      <c r="W330" s="290"/>
      <c r="X330" s="290"/>
      <c r="Y330" s="290"/>
      <c r="Z330" s="290"/>
      <c r="AA330" s="290"/>
      <c r="AB330" s="290"/>
      <c r="AC330" s="290"/>
      <c r="AD330" s="290"/>
      <c r="AE330" s="290"/>
      <c r="AF330" s="290"/>
      <c r="AG330" s="290"/>
      <c r="AH330" s="290"/>
      <c r="AI330" s="290"/>
      <c r="AJ330" s="290"/>
      <c r="AK330" s="290"/>
      <c r="AL330" s="290"/>
      <c r="AM330" s="290"/>
      <c r="AN330" s="290"/>
      <c r="AO330" s="290"/>
      <c r="AP330" s="290"/>
      <c r="AQ330" s="290"/>
      <c r="AR330" s="290"/>
      <c r="AS330" s="290"/>
      <c r="AT330" s="290"/>
      <c r="AU330" s="290"/>
      <c r="AV330" s="290"/>
      <c r="AW330" s="290"/>
      <c r="AX330" s="290"/>
      <c r="AY330" s="290"/>
      <c r="AZ330" s="290"/>
      <c r="BA330" s="290"/>
      <c r="BB330" s="290"/>
      <c r="BC330" s="290"/>
      <c r="BD330" s="290"/>
      <c r="BE330" s="290"/>
      <c r="BF330" s="290"/>
      <c r="BG330" s="290"/>
      <c r="BH330" s="290"/>
      <c r="BI330" s="290"/>
      <c r="BJ330" s="290"/>
      <c r="BK330" s="290"/>
      <c r="BL330" s="290"/>
      <c r="BM330" s="290"/>
      <c r="BN330" s="290"/>
      <c r="BO330" s="290"/>
      <c r="BP330" s="290"/>
      <c r="BQ330" s="290"/>
      <c r="BR330" s="290"/>
      <c r="BS330" s="290"/>
      <c r="BT330" s="290"/>
      <c r="BU330" s="290"/>
      <c r="BV330" s="290"/>
      <c r="BW330" s="290"/>
      <c r="BX330" s="290"/>
      <c r="BY330" s="290"/>
      <c r="BZ330" s="290"/>
      <c r="CA330" s="290"/>
      <c r="CB330" s="290"/>
      <c r="CC330" s="290"/>
      <c r="CD330" s="290"/>
      <c r="CE330" s="290"/>
      <c r="CF330" s="290"/>
      <c r="CG330" s="290"/>
      <c r="CH330" s="290"/>
      <c r="CI330" s="290"/>
      <c r="CJ330" s="290"/>
      <c r="CK330" s="290"/>
      <c r="CL330" s="290"/>
      <c r="CM330" s="290"/>
      <c r="CN330" s="290"/>
      <c r="CO330" s="290"/>
      <c r="CP330" s="290"/>
      <c r="CQ330" s="290"/>
      <c r="CR330" s="290"/>
      <c r="CS330" s="290"/>
      <c r="CT330" s="290"/>
      <c r="CU330" s="290"/>
      <c r="CV330" s="290"/>
      <c r="CW330" s="290"/>
      <c r="CX330" s="290"/>
      <c r="CY330" s="290"/>
      <c r="CZ330" s="290"/>
      <c r="DA330" s="290"/>
      <c r="DB330" s="290"/>
      <c r="DC330" s="290"/>
      <c r="DD330" s="290"/>
      <c r="DE330" s="290"/>
      <c r="DF330" s="290"/>
      <c r="DG330" s="290"/>
      <c r="DH330" s="290"/>
      <c r="DI330" s="290"/>
      <c r="DJ330" s="290"/>
      <c r="DK330" s="290"/>
      <c r="DL330" s="290"/>
      <c r="DM330" s="290"/>
      <c r="DN330" s="290"/>
      <c r="DO330" s="290"/>
      <c r="DP330" s="290"/>
      <c r="DQ330" s="290"/>
      <c r="DR330" s="290"/>
      <c r="DS330" s="290"/>
      <c r="DT330" s="290"/>
      <c r="DU330" s="290"/>
      <c r="DV330" s="290"/>
      <c r="DW330" s="290"/>
      <c r="DX330" s="290"/>
      <c r="DY330" s="290"/>
      <c r="DZ330" s="290"/>
      <c r="EA330" s="290"/>
      <c r="EB330" s="290"/>
      <c r="EC330" s="290"/>
      <c r="ED330" s="290"/>
      <c r="EE330" s="290"/>
      <c r="EF330" s="290"/>
      <c r="EG330" s="290"/>
      <c r="EH330" s="290"/>
      <c r="EI330" s="290"/>
      <c r="EJ330" s="290"/>
      <c r="EK330" s="290"/>
      <c r="EL330" s="290"/>
      <c r="EM330" s="290"/>
      <c r="EN330" s="290"/>
      <c r="EO330" s="290"/>
      <c r="EP330" s="290"/>
      <c r="EQ330" s="290"/>
      <c r="ER330" s="290"/>
      <c r="ES330" s="290"/>
      <c r="ET330" s="290"/>
      <c r="EU330" s="290"/>
      <c r="EV330" s="290"/>
      <c r="EW330" s="290"/>
      <c r="EX330" s="290"/>
      <c r="EY330" s="290"/>
      <c r="EZ330" s="290"/>
      <c r="FA330" s="290"/>
      <c r="FB330" s="290"/>
      <c r="FC330" s="290"/>
      <c r="FD330" s="290"/>
      <c r="FE330" s="290"/>
      <c r="FF330" s="290"/>
      <c r="FG330" s="290"/>
      <c r="FH330" s="290"/>
      <c r="FI330" s="290"/>
      <c r="FJ330" s="290"/>
      <c r="FK330" s="290"/>
      <c r="FL330" s="290"/>
      <c r="FM330" s="290"/>
      <c r="FN330" s="290"/>
      <c r="FO330" s="290"/>
      <c r="FP330" s="290"/>
      <c r="FQ330" s="290"/>
      <c r="FR330" s="290"/>
      <c r="FS330" s="290"/>
      <c r="FT330" s="290"/>
      <c r="FU330" s="290"/>
      <c r="FV330" s="290"/>
      <c r="FW330" s="290"/>
      <c r="FX330" s="290"/>
      <c r="FY330" s="290"/>
      <c r="FZ330" s="290"/>
      <c r="GA330" s="290"/>
      <c r="GB330" s="290"/>
      <c r="GC330" s="290"/>
      <c r="GD330" s="290"/>
      <c r="GE330" s="290"/>
      <c r="GF330" s="290"/>
      <c r="GG330" s="290"/>
      <c r="GH330" s="290"/>
      <c r="GI330" s="290"/>
      <c r="GJ330" s="290"/>
      <c r="GK330" s="290"/>
      <c r="GL330" s="290"/>
      <c r="GM330" s="290"/>
      <c r="GN330" s="290"/>
      <c r="GO330" s="290"/>
      <c r="GP330" s="290"/>
      <c r="GQ330" s="290"/>
      <c r="GR330" s="290"/>
      <c r="GS330" s="290"/>
      <c r="GT330" s="290"/>
      <c r="GU330" s="290"/>
      <c r="GV330" s="290"/>
      <c r="GW330" s="290"/>
      <c r="GX330" s="290"/>
      <c r="GY330" s="290"/>
      <c r="GZ330" s="290"/>
      <c r="HA330" s="290"/>
      <c r="HB330" s="290"/>
      <c r="HC330" s="290"/>
      <c r="HD330" s="290"/>
      <c r="HE330" s="290"/>
      <c r="HF330" s="290"/>
      <c r="HG330" s="290"/>
      <c r="HH330" s="290"/>
      <c r="HI330" s="290"/>
      <c r="HJ330" s="290"/>
      <c r="HK330" s="290"/>
      <c r="HL330" s="290"/>
      <c r="HM330" s="290"/>
      <c r="HN330" s="290"/>
      <c r="HO330" s="290"/>
      <c r="HP330" s="290"/>
      <c r="HQ330" s="290"/>
      <c r="HR330" s="290"/>
      <c r="HS330" s="290"/>
      <c r="HT330" s="290"/>
      <c r="HU330" s="290"/>
      <c r="HV330" s="290"/>
      <c r="HW330" s="290"/>
      <c r="HX330" s="290"/>
      <c r="HY330" s="290"/>
      <c r="HZ330" s="290"/>
      <c r="IA330" s="290"/>
      <c r="IB330" s="290"/>
      <c r="IC330" s="290"/>
      <c r="ID330" s="290"/>
      <c r="IE330" s="290"/>
      <c r="IF330" s="290"/>
      <c r="IG330" s="290"/>
      <c r="IH330" s="290"/>
      <c r="II330" s="290"/>
      <c r="IJ330" s="290"/>
      <c r="IK330" s="290"/>
      <c r="IL330" s="290"/>
      <c r="IM330" s="290"/>
      <c r="IN330" s="290"/>
      <c r="IO330" s="290"/>
      <c r="IP330" s="290"/>
      <c r="IQ330" s="290"/>
    </row>
    <row r="331" spans="1:251" x14ac:dyDescent="0.3">
      <c r="A331" s="270"/>
      <c r="B331" s="273"/>
      <c r="C331" s="276"/>
      <c r="D331" s="267"/>
      <c r="E331" s="267"/>
      <c r="F331" s="110" t="s">
        <v>235</v>
      </c>
      <c r="G331" s="288"/>
      <c r="H331" s="289"/>
      <c r="I331" s="290"/>
      <c r="J331" s="290"/>
      <c r="K331" s="290"/>
      <c r="L331" s="290"/>
      <c r="M331" s="290"/>
      <c r="N331" s="290"/>
      <c r="O331" s="290"/>
      <c r="P331" s="290"/>
      <c r="Q331" s="290"/>
      <c r="R331" s="290"/>
      <c r="S331" s="290"/>
      <c r="T331" s="290"/>
      <c r="U331" s="290"/>
      <c r="V331" s="290"/>
      <c r="W331" s="290"/>
      <c r="X331" s="290"/>
      <c r="Y331" s="290"/>
      <c r="Z331" s="290"/>
      <c r="AA331" s="290"/>
      <c r="AB331" s="290"/>
      <c r="AC331" s="290"/>
      <c r="AD331" s="290"/>
      <c r="AE331" s="290"/>
      <c r="AF331" s="290"/>
      <c r="AG331" s="290"/>
      <c r="AH331" s="290"/>
      <c r="AI331" s="290"/>
      <c r="AJ331" s="290"/>
      <c r="AK331" s="290"/>
      <c r="AL331" s="290"/>
      <c r="AM331" s="290"/>
      <c r="AN331" s="290"/>
      <c r="AO331" s="290"/>
      <c r="AP331" s="290"/>
      <c r="AQ331" s="290"/>
      <c r="AR331" s="290"/>
      <c r="AS331" s="290"/>
      <c r="AT331" s="290"/>
      <c r="AU331" s="290"/>
      <c r="AV331" s="290"/>
      <c r="AW331" s="290"/>
      <c r="AX331" s="290"/>
      <c r="AY331" s="290"/>
      <c r="AZ331" s="290"/>
      <c r="BA331" s="290"/>
      <c r="BB331" s="290"/>
      <c r="BC331" s="290"/>
      <c r="BD331" s="290"/>
      <c r="BE331" s="290"/>
      <c r="BF331" s="290"/>
      <c r="BG331" s="290"/>
      <c r="BH331" s="290"/>
      <c r="BI331" s="290"/>
      <c r="BJ331" s="290"/>
      <c r="BK331" s="290"/>
      <c r="BL331" s="290"/>
      <c r="BM331" s="290"/>
      <c r="BN331" s="290"/>
      <c r="BO331" s="290"/>
      <c r="BP331" s="290"/>
      <c r="BQ331" s="290"/>
      <c r="BR331" s="290"/>
      <c r="BS331" s="290"/>
      <c r="BT331" s="290"/>
      <c r="BU331" s="290"/>
      <c r="BV331" s="290"/>
      <c r="BW331" s="290"/>
      <c r="BX331" s="290"/>
      <c r="BY331" s="290"/>
      <c r="BZ331" s="290"/>
      <c r="CA331" s="290"/>
      <c r="CB331" s="290"/>
      <c r="CC331" s="290"/>
      <c r="CD331" s="290"/>
      <c r="CE331" s="290"/>
      <c r="CF331" s="290"/>
      <c r="CG331" s="290"/>
      <c r="CH331" s="290"/>
      <c r="CI331" s="290"/>
      <c r="CJ331" s="290"/>
      <c r="CK331" s="290"/>
      <c r="CL331" s="290"/>
      <c r="CM331" s="290"/>
      <c r="CN331" s="290"/>
      <c r="CO331" s="290"/>
      <c r="CP331" s="290"/>
      <c r="CQ331" s="290"/>
      <c r="CR331" s="290"/>
      <c r="CS331" s="290"/>
      <c r="CT331" s="290"/>
      <c r="CU331" s="290"/>
      <c r="CV331" s="290"/>
      <c r="CW331" s="290"/>
      <c r="CX331" s="290"/>
      <c r="CY331" s="290"/>
      <c r="CZ331" s="290"/>
      <c r="DA331" s="290"/>
      <c r="DB331" s="290"/>
      <c r="DC331" s="290"/>
      <c r="DD331" s="290"/>
      <c r="DE331" s="290"/>
      <c r="DF331" s="290"/>
      <c r="DG331" s="290"/>
      <c r="DH331" s="290"/>
      <c r="DI331" s="290"/>
      <c r="DJ331" s="290"/>
      <c r="DK331" s="290"/>
      <c r="DL331" s="290"/>
      <c r="DM331" s="290"/>
      <c r="DN331" s="290"/>
      <c r="DO331" s="290"/>
      <c r="DP331" s="290"/>
      <c r="DQ331" s="290"/>
      <c r="DR331" s="290"/>
      <c r="DS331" s="290"/>
      <c r="DT331" s="290"/>
      <c r="DU331" s="290"/>
      <c r="DV331" s="290"/>
      <c r="DW331" s="290"/>
      <c r="DX331" s="290"/>
      <c r="DY331" s="290"/>
      <c r="DZ331" s="290"/>
      <c r="EA331" s="290"/>
      <c r="EB331" s="290"/>
      <c r="EC331" s="290"/>
      <c r="ED331" s="290"/>
      <c r="EE331" s="290"/>
      <c r="EF331" s="290"/>
      <c r="EG331" s="290"/>
      <c r="EH331" s="290"/>
      <c r="EI331" s="290"/>
      <c r="EJ331" s="290"/>
      <c r="EK331" s="290"/>
      <c r="EL331" s="290"/>
      <c r="EM331" s="290"/>
      <c r="EN331" s="290"/>
      <c r="EO331" s="290"/>
      <c r="EP331" s="290"/>
      <c r="EQ331" s="290"/>
      <c r="ER331" s="290"/>
      <c r="ES331" s="290"/>
      <c r="ET331" s="290"/>
      <c r="EU331" s="290"/>
      <c r="EV331" s="290"/>
      <c r="EW331" s="290"/>
      <c r="EX331" s="290"/>
      <c r="EY331" s="290"/>
      <c r="EZ331" s="290"/>
      <c r="FA331" s="290"/>
      <c r="FB331" s="290"/>
      <c r="FC331" s="290"/>
      <c r="FD331" s="290"/>
      <c r="FE331" s="290"/>
      <c r="FF331" s="290"/>
      <c r="FG331" s="290"/>
      <c r="FH331" s="290"/>
      <c r="FI331" s="290"/>
      <c r="FJ331" s="290"/>
      <c r="FK331" s="290"/>
      <c r="FL331" s="290"/>
      <c r="FM331" s="290"/>
      <c r="FN331" s="290"/>
      <c r="FO331" s="290"/>
      <c r="FP331" s="290"/>
      <c r="FQ331" s="290"/>
      <c r="FR331" s="290"/>
      <c r="FS331" s="290"/>
      <c r="FT331" s="290"/>
      <c r="FU331" s="290"/>
      <c r="FV331" s="290"/>
      <c r="FW331" s="290"/>
      <c r="FX331" s="290"/>
      <c r="FY331" s="290"/>
      <c r="FZ331" s="290"/>
      <c r="GA331" s="290"/>
      <c r="GB331" s="290"/>
      <c r="GC331" s="290"/>
      <c r="GD331" s="290"/>
      <c r="GE331" s="290"/>
      <c r="GF331" s="290"/>
      <c r="GG331" s="290"/>
      <c r="GH331" s="290"/>
      <c r="GI331" s="290"/>
      <c r="GJ331" s="290"/>
      <c r="GK331" s="290"/>
      <c r="GL331" s="290"/>
      <c r="GM331" s="290"/>
      <c r="GN331" s="290"/>
      <c r="GO331" s="290"/>
      <c r="GP331" s="290"/>
      <c r="GQ331" s="290"/>
      <c r="GR331" s="290"/>
      <c r="GS331" s="290"/>
      <c r="GT331" s="290"/>
      <c r="GU331" s="290"/>
      <c r="GV331" s="290"/>
      <c r="GW331" s="290"/>
      <c r="GX331" s="290"/>
      <c r="GY331" s="290"/>
      <c r="GZ331" s="290"/>
      <c r="HA331" s="290"/>
      <c r="HB331" s="290"/>
      <c r="HC331" s="290"/>
      <c r="HD331" s="290"/>
      <c r="HE331" s="290"/>
      <c r="HF331" s="290"/>
      <c r="HG331" s="290"/>
      <c r="HH331" s="290"/>
      <c r="HI331" s="290"/>
      <c r="HJ331" s="290"/>
      <c r="HK331" s="290"/>
      <c r="HL331" s="290"/>
      <c r="HM331" s="290"/>
      <c r="HN331" s="290"/>
      <c r="HO331" s="290"/>
      <c r="HP331" s="290"/>
      <c r="HQ331" s="290"/>
      <c r="HR331" s="290"/>
      <c r="HS331" s="290"/>
      <c r="HT331" s="290"/>
      <c r="HU331" s="290"/>
      <c r="HV331" s="290"/>
      <c r="HW331" s="290"/>
      <c r="HX331" s="290"/>
      <c r="HY331" s="290"/>
      <c r="HZ331" s="290"/>
      <c r="IA331" s="290"/>
      <c r="IB331" s="290"/>
      <c r="IC331" s="290"/>
      <c r="ID331" s="290"/>
      <c r="IE331" s="290"/>
      <c r="IF331" s="290"/>
      <c r="IG331" s="290"/>
      <c r="IH331" s="290"/>
      <c r="II331" s="290"/>
      <c r="IJ331" s="290"/>
      <c r="IK331" s="290"/>
      <c r="IL331" s="290"/>
      <c r="IM331" s="290"/>
      <c r="IN331" s="290"/>
      <c r="IO331" s="290"/>
      <c r="IP331" s="290"/>
      <c r="IQ331" s="290"/>
    </row>
    <row r="332" spans="1:251" x14ac:dyDescent="0.3">
      <c r="A332" s="268" t="s">
        <v>270</v>
      </c>
      <c r="B332" s="271" t="s">
        <v>48</v>
      </c>
      <c r="C332" s="274" t="s">
        <v>49</v>
      </c>
      <c r="D332" s="265" t="s">
        <v>37</v>
      </c>
      <c r="E332" s="265" t="s">
        <v>38</v>
      </c>
      <c r="F332" s="111" t="s">
        <v>236</v>
      </c>
      <c r="G332" s="286"/>
      <c r="H332" s="289"/>
      <c r="I332" s="290"/>
      <c r="J332" s="290"/>
      <c r="K332" s="290"/>
      <c r="L332" s="290"/>
      <c r="M332" s="290"/>
      <c r="N332" s="290"/>
      <c r="O332" s="290"/>
      <c r="P332" s="290"/>
      <c r="Q332" s="290"/>
      <c r="R332" s="290"/>
      <c r="S332" s="290"/>
      <c r="T332" s="290"/>
      <c r="U332" s="290"/>
      <c r="V332" s="290"/>
      <c r="W332" s="290"/>
      <c r="X332" s="290"/>
      <c r="Y332" s="290"/>
      <c r="Z332" s="290"/>
      <c r="AA332" s="290"/>
      <c r="AB332" s="290"/>
      <c r="AC332" s="290"/>
      <c r="AD332" s="290"/>
      <c r="AE332" s="290"/>
      <c r="AF332" s="290"/>
      <c r="AG332" s="290"/>
      <c r="AH332" s="290"/>
      <c r="AI332" s="290"/>
      <c r="AJ332" s="290"/>
      <c r="AK332" s="290"/>
      <c r="AL332" s="290"/>
      <c r="AM332" s="290"/>
      <c r="AN332" s="290"/>
      <c r="AO332" s="290"/>
      <c r="AP332" s="290"/>
      <c r="AQ332" s="290"/>
      <c r="AR332" s="290"/>
      <c r="AS332" s="290"/>
      <c r="AT332" s="290"/>
      <c r="AU332" s="290"/>
      <c r="AV332" s="290"/>
      <c r="AW332" s="290"/>
      <c r="AX332" s="290"/>
      <c r="AY332" s="290"/>
      <c r="AZ332" s="290"/>
      <c r="BA332" s="290"/>
      <c r="BB332" s="290"/>
      <c r="BC332" s="290"/>
      <c r="BD332" s="290"/>
      <c r="BE332" s="290"/>
      <c r="BF332" s="290"/>
      <c r="BG332" s="290"/>
      <c r="BH332" s="290"/>
      <c r="BI332" s="290"/>
      <c r="BJ332" s="290"/>
      <c r="BK332" s="290"/>
      <c r="BL332" s="290"/>
      <c r="BM332" s="290"/>
      <c r="BN332" s="290"/>
      <c r="BO332" s="290"/>
      <c r="BP332" s="290"/>
      <c r="BQ332" s="290"/>
      <c r="BR332" s="290"/>
      <c r="BS332" s="290"/>
      <c r="BT332" s="290"/>
      <c r="BU332" s="290"/>
      <c r="BV332" s="290"/>
      <c r="BW332" s="290"/>
      <c r="BX332" s="290"/>
      <c r="BY332" s="290"/>
      <c r="BZ332" s="290"/>
      <c r="CA332" s="290"/>
      <c r="CB332" s="290"/>
      <c r="CC332" s="290"/>
      <c r="CD332" s="290"/>
      <c r="CE332" s="290"/>
      <c r="CF332" s="290"/>
      <c r="CG332" s="290"/>
      <c r="CH332" s="290"/>
      <c r="CI332" s="290"/>
      <c r="CJ332" s="290"/>
      <c r="CK332" s="290"/>
      <c r="CL332" s="290"/>
      <c r="CM332" s="290"/>
      <c r="CN332" s="290"/>
      <c r="CO332" s="290"/>
      <c r="CP332" s="290"/>
      <c r="CQ332" s="290"/>
      <c r="CR332" s="290"/>
      <c r="CS332" s="290"/>
      <c r="CT332" s="290"/>
      <c r="CU332" s="290"/>
      <c r="CV332" s="290"/>
      <c r="CW332" s="290"/>
      <c r="CX332" s="290"/>
      <c r="CY332" s="290"/>
      <c r="CZ332" s="290"/>
      <c r="DA332" s="290"/>
      <c r="DB332" s="290"/>
      <c r="DC332" s="290"/>
      <c r="DD332" s="290"/>
      <c r="DE332" s="290"/>
      <c r="DF332" s="290"/>
      <c r="DG332" s="290"/>
      <c r="DH332" s="290"/>
      <c r="DI332" s="290"/>
      <c r="DJ332" s="290"/>
      <c r="DK332" s="290"/>
      <c r="DL332" s="290"/>
      <c r="DM332" s="290"/>
      <c r="DN332" s="290"/>
      <c r="DO332" s="290"/>
      <c r="DP332" s="290"/>
      <c r="DQ332" s="290"/>
      <c r="DR332" s="290"/>
      <c r="DS332" s="290"/>
      <c r="DT332" s="290"/>
      <c r="DU332" s="290"/>
      <c r="DV332" s="290"/>
      <c r="DW332" s="290"/>
      <c r="DX332" s="290"/>
      <c r="DY332" s="290"/>
      <c r="DZ332" s="290"/>
      <c r="EA332" s="290"/>
      <c r="EB332" s="290"/>
      <c r="EC332" s="290"/>
      <c r="ED332" s="290"/>
      <c r="EE332" s="290"/>
      <c r="EF332" s="290"/>
      <c r="EG332" s="290"/>
      <c r="EH332" s="290"/>
      <c r="EI332" s="290"/>
      <c r="EJ332" s="290"/>
      <c r="EK332" s="290"/>
      <c r="EL332" s="290"/>
      <c r="EM332" s="290"/>
      <c r="EN332" s="290"/>
      <c r="EO332" s="290"/>
      <c r="EP332" s="290"/>
      <c r="EQ332" s="290"/>
      <c r="ER332" s="290"/>
      <c r="ES332" s="290"/>
      <c r="ET332" s="290"/>
      <c r="EU332" s="290"/>
      <c r="EV332" s="290"/>
      <c r="EW332" s="290"/>
      <c r="EX332" s="290"/>
      <c r="EY332" s="290"/>
      <c r="EZ332" s="290"/>
      <c r="FA332" s="290"/>
      <c r="FB332" s="290"/>
      <c r="FC332" s="290"/>
      <c r="FD332" s="290"/>
      <c r="FE332" s="290"/>
      <c r="FF332" s="290"/>
      <c r="FG332" s="290"/>
      <c r="FH332" s="290"/>
      <c r="FI332" s="290"/>
      <c r="FJ332" s="290"/>
      <c r="FK332" s="290"/>
      <c r="FL332" s="290"/>
      <c r="FM332" s="290"/>
      <c r="FN332" s="290"/>
      <c r="FO332" s="290"/>
      <c r="FP332" s="290"/>
      <c r="FQ332" s="290"/>
      <c r="FR332" s="290"/>
      <c r="FS332" s="290"/>
      <c r="FT332" s="290"/>
      <c r="FU332" s="290"/>
      <c r="FV332" s="290"/>
      <c r="FW332" s="290"/>
      <c r="FX332" s="290"/>
      <c r="FY332" s="290"/>
      <c r="FZ332" s="290"/>
      <c r="GA332" s="290"/>
      <c r="GB332" s="290"/>
      <c r="GC332" s="290"/>
      <c r="GD332" s="290"/>
      <c r="GE332" s="290"/>
      <c r="GF332" s="290"/>
      <c r="GG332" s="290"/>
      <c r="GH332" s="290"/>
      <c r="GI332" s="290"/>
      <c r="GJ332" s="290"/>
      <c r="GK332" s="290"/>
      <c r="GL332" s="290"/>
      <c r="GM332" s="290"/>
      <c r="GN332" s="290"/>
      <c r="GO332" s="290"/>
      <c r="GP332" s="290"/>
      <c r="GQ332" s="290"/>
      <c r="GR332" s="290"/>
      <c r="GS332" s="290"/>
      <c r="GT332" s="290"/>
      <c r="GU332" s="290"/>
      <c r="GV332" s="290"/>
      <c r="GW332" s="290"/>
      <c r="GX332" s="290"/>
      <c r="GY332" s="290"/>
      <c r="GZ332" s="290"/>
      <c r="HA332" s="290"/>
      <c r="HB332" s="290"/>
      <c r="HC332" s="290"/>
      <c r="HD332" s="290"/>
      <c r="HE332" s="290"/>
      <c r="HF332" s="290"/>
      <c r="HG332" s="290"/>
      <c r="HH332" s="290"/>
      <c r="HI332" s="290"/>
      <c r="HJ332" s="290"/>
      <c r="HK332" s="290"/>
      <c r="HL332" s="290"/>
      <c r="HM332" s="290"/>
      <c r="HN332" s="290"/>
      <c r="HO332" s="290"/>
      <c r="HP332" s="290"/>
      <c r="HQ332" s="290"/>
      <c r="HR332" s="290"/>
      <c r="HS332" s="290"/>
      <c r="HT332" s="290"/>
      <c r="HU332" s="290"/>
      <c r="HV332" s="290"/>
      <c r="HW332" s="290"/>
      <c r="HX332" s="290"/>
      <c r="HY332" s="290"/>
      <c r="HZ332" s="290"/>
      <c r="IA332" s="290"/>
      <c r="IB332" s="290"/>
      <c r="IC332" s="290"/>
      <c r="ID332" s="290"/>
      <c r="IE332" s="290"/>
      <c r="IF332" s="290"/>
      <c r="IG332" s="290"/>
      <c r="IH332" s="290"/>
      <c r="II332" s="290"/>
      <c r="IJ332" s="290"/>
      <c r="IK332" s="290"/>
      <c r="IL332" s="290"/>
      <c r="IM332" s="290"/>
      <c r="IN332" s="290"/>
      <c r="IO332" s="290"/>
      <c r="IP332" s="290"/>
      <c r="IQ332" s="290"/>
    </row>
    <row r="333" spans="1:251" x14ac:dyDescent="0.3">
      <c r="A333" s="269"/>
      <c r="B333" s="272"/>
      <c r="C333" s="275"/>
      <c r="D333" s="266"/>
      <c r="E333" s="266"/>
      <c r="F333" s="112" t="s">
        <v>237</v>
      </c>
      <c r="G333" s="287"/>
      <c r="H333" s="289"/>
      <c r="I333" s="290"/>
      <c r="J333" s="290"/>
      <c r="K333" s="290"/>
      <c r="L333" s="290"/>
      <c r="M333" s="290"/>
      <c r="N333" s="290"/>
      <c r="O333" s="290"/>
      <c r="P333" s="290"/>
      <c r="Q333" s="290"/>
      <c r="R333" s="290"/>
      <c r="S333" s="290"/>
      <c r="T333" s="290"/>
      <c r="U333" s="290"/>
      <c r="V333" s="290"/>
      <c r="W333" s="290"/>
      <c r="X333" s="290"/>
      <c r="Y333" s="290"/>
      <c r="Z333" s="290"/>
      <c r="AA333" s="290"/>
      <c r="AB333" s="290"/>
      <c r="AC333" s="290"/>
      <c r="AD333" s="290"/>
      <c r="AE333" s="290"/>
      <c r="AF333" s="290"/>
      <c r="AG333" s="290"/>
      <c r="AH333" s="290"/>
      <c r="AI333" s="290"/>
      <c r="AJ333" s="290"/>
      <c r="AK333" s="290"/>
      <c r="AL333" s="290"/>
      <c r="AM333" s="290"/>
      <c r="AN333" s="290"/>
      <c r="AO333" s="290"/>
      <c r="AP333" s="290"/>
      <c r="AQ333" s="290"/>
      <c r="AR333" s="290"/>
      <c r="AS333" s="290"/>
      <c r="AT333" s="290"/>
      <c r="AU333" s="290"/>
      <c r="AV333" s="290"/>
      <c r="AW333" s="290"/>
      <c r="AX333" s="290"/>
      <c r="AY333" s="290"/>
      <c r="AZ333" s="290"/>
      <c r="BA333" s="290"/>
      <c r="BB333" s="290"/>
      <c r="BC333" s="290"/>
      <c r="BD333" s="290"/>
      <c r="BE333" s="290"/>
      <c r="BF333" s="290"/>
      <c r="BG333" s="290"/>
      <c r="BH333" s="290"/>
      <c r="BI333" s="290"/>
      <c r="BJ333" s="290"/>
      <c r="BK333" s="290"/>
      <c r="BL333" s="290"/>
      <c r="BM333" s="290"/>
      <c r="BN333" s="290"/>
      <c r="BO333" s="290"/>
      <c r="BP333" s="290"/>
      <c r="BQ333" s="290"/>
      <c r="BR333" s="290"/>
      <c r="BS333" s="290"/>
      <c r="BT333" s="290"/>
      <c r="BU333" s="290"/>
      <c r="BV333" s="290"/>
      <c r="BW333" s="290"/>
      <c r="BX333" s="290"/>
      <c r="BY333" s="290"/>
      <c r="BZ333" s="290"/>
      <c r="CA333" s="290"/>
      <c r="CB333" s="290"/>
      <c r="CC333" s="290"/>
      <c r="CD333" s="290"/>
      <c r="CE333" s="290"/>
      <c r="CF333" s="290"/>
      <c r="CG333" s="290"/>
      <c r="CH333" s="290"/>
      <c r="CI333" s="290"/>
      <c r="CJ333" s="290"/>
      <c r="CK333" s="290"/>
      <c r="CL333" s="290"/>
      <c r="CM333" s="290"/>
      <c r="CN333" s="290"/>
      <c r="CO333" s="290"/>
      <c r="CP333" s="290"/>
      <c r="CQ333" s="290"/>
      <c r="CR333" s="290"/>
      <c r="CS333" s="290"/>
      <c r="CT333" s="290"/>
      <c r="CU333" s="290"/>
      <c r="CV333" s="290"/>
      <c r="CW333" s="290"/>
      <c r="CX333" s="290"/>
      <c r="CY333" s="290"/>
      <c r="CZ333" s="290"/>
      <c r="DA333" s="290"/>
      <c r="DB333" s="290"/>
      <c r="DC333" s="290"/>
      <c r="DD333" s="290"/>
      <c r="DE333" s="290"/>
      <c r="DF333" s="290"/>
      <c r="DG333" s="290"/>
      <c r="DH333" s="290"/>
      <c r="DI333" s="290"/>
      <c r="DJ333" s="290"/>
      <c r="DK333" s="290"/>
      <c r="DL333" s="290"/>
      <c r="DM333" s="290"/>
      <c r="DN333" s="290"/>
      <c r="DO333" s="290"/>
      <c r="DP333" s="290"/>
      <c r="DQ333" s="290"/>
      <c r="DR333" s="290"/>
      <c r="DS333" s="290"/>
      <c r="DT333" s="290"/>
      <c r="DU333" s="290"/>
      <c r="DV333" s="290"/>
      <c r="DW333" s="290"/>
      <c r="DX333" s="290"/>
      <c r="DY333" s="290"/>
      <c r="DZ333" s="290"/>
      <c r="EA333" s="290"/>
      <c r="EB333" s="290"/>
      <c r="EC333" s="290"/>
      <c r="ED333" s="290"/>
      <c r="EE333" s="290"/>
      <c r="EF333" s="290"/>
      <c r="EG333" s="290"/>
      <c r="EH333" s="290"/>
      <c r="EI333" s="290"/>
      <c r="EJ333" s="290"/>
      <c r="EK333" s="290"/>
      <c r="EL333" s="290"/>
      <c r="EM333" s="290"/>
      <c r="EN333" s="290"/>
      <c r="EO333" s="290"/>
      <c r="EP333" s="290"/>
      <c r="EQ333" s="290"/>
      <c r="ER333" s="290"/>
      <c r="ES333" s="290"/>
      <c r="ET333" s="290"/>
      <c r="EU333" s="290"/>
      <c r="EV333" s="290"/>
      <c r="EW333" s="290"/>
      <c r="EX333" s="290"/>
      <c r="EY333" s="290"/>
      <c r="EZ333" s="290"/>
      <c r="FA333" s="290"/>
      <c r="FB333" s="290"/>
      <c r="FC333" s="290"/>
      <c r="FD333" s="290"/>
      <c r="FE333" s="290"/>
      <c r="FF333" s="290"/>
      <c r="FG333" s="290"/>
      <c r="FH333" s="290"/>
      <c r="FI333" s="290"/>
      <c r="FJ333" s="290"/>
      <c r="FK333" s="290"/>
      <c r="FL333" s="290"/>
      <c r="FM333" s="290"/>
      <c r="FN333" s="290"/>
      <c r="FO333" s="290"/>
      <c r="FP333" s="290"/>
      <c r="FQ333" s="290"/>
      <c r="FR333" s="290"/>
      <c r="FS333" s="290"/>
      <c r="FT333" s="290"/>
      <c r="FU333" s="290"/>
      <c r="FV333" s="290"/>
      <c r="FW333" s="290"/>
      <c r="FX333" s="290"/>
      <c r="FY333" s="290"/>
      <c r="FZ333" s="290"/>
      <c r="GA333" s="290"/>
      <c r="GB333" s="290"/>
      <c r="GC333" s="290"/>
      <c r="GD333" s="290"/>
      <c r="GE333" s="290"/>
      <c r="GF333" s="290"/>
      <c r="GG333" s="290"/>
      <c r="GH333" s="290"/>
      <c r="GI333" s="290"/>
      <c r="GJ333" s="290"/>
      <c r="GK333" s="290"/>
      <c r="GL333" s="290"/>
      <c r="GM333" s="290"/>
      <c r="GN333" s="290"/>
      <c r="GO333" s="290"/>
      <c r="GP333" s="290"/>
      <c r="GQ333" s="290"/>
      <c r="GR333" s="290"/>
      <c r="GS333" s="290"/>
      <c r="GT333" s="290"/>
      <c r="GU333" s="290"/>
      <c r="GV333" s="290"/>
      <c r="GW333" s="290"/>
      <c r="GX333" s="290"/>
      <c r="GY333" s="290"/>
      <c r="GZ333" s="290"/>
      <c r="HA333" s="290"/>
      <c r="HB333" s="290"/>
      <c r="HC333" s="290"/>
      <c r="HD333" s="290"/>
      <c r="HE333" s="290"/>
      <c r="HF333" s="290"/>
      <c r="HG333" s="290"/>
      <c r="HH333" s="290"/>
      <c r="HI333" s="290"/>
      <c r="HJ333" s="290"/>
      <c r="HK333" s="290"/>
      <c r="HL333" s="290"/>
      <c r="HM333" s="290"/>
      <c r="HN333" s="290"/>
      <c r="HO333" s="290"/>
      <c r="HP333" s="290"/>
      <c r="HQ333" s="290"/>
      <c r="HR333" s="290"/>
      <c r="HS333" s="290"/>
      <c r="HT333" s="290"/>
      <c r="HU333" s="290"/>
      <c r="HV333" s="290"/>
      <c r="HW333" s="290"/>
      <c r="HX333" s="290"/>
      <c r="HY333" s="290"/>
      <c r="HZ333" s="290"/>
      <c r="IA333" s="290"/>
      <c r="IB333" s="290"/>
      <c r="IC333" s="290"/>
      <c r="ID333" s="290"/>
      <c r="IE333" s="290"/>
      <c r="IF333" s="290"/>
      <c r="IG333" s="290"/>
      <c r="IH333" s="290"/>
      <c r="II333" s="290"/>
      <c r="IJ333" s="290"/>
      <c r="IK333" s="290"/>
      <c r="IL333" s="290"/>
      <c r="IM333" s="290"/>
      <c r="IN333" s="290"/>
      <c r="IO333" s="290"/>
      <c r="IP333" s="290"/>
      <c r="IQ333" s="290"/>
    </row>
    <row r="334" spans="1:251" x14ac:dyDescent="0.3">
      <c r="A334" s="270"/>
      <c r="B334" s="273"/>
      <c r="C334" s="276"/>
      <c r="D334" s="267"/>
      <c r="E334" s="267"/>
      <c r="F334" s="113" t="s">
        <v>238</v>
      </c>
      <c r="G334" s="288"/>
      <c r="H334" s="289"/>
      <c r="I334" s="290"/>
      <c r="J334" s="290"/>
      <c r="K334" s="290"/>
      <c r="L334" s="290"/>
      <c r="M334" s="290"/>
      <c r="N334" s="290"/>
      <c r="O334" s="290"/>
      <c r="P334" s="290"/>
      <c r="Q334" s="290"/>
      <c r="R334" s="290"/>
      <c r="S334" s="290"/>
      <c r="T334" s="290"/>
      <c r="U334" s="290"/>
      <c r="V334" s="290"/>
      <c r="W334" s="290"/>
      <c r="X334" s="290"/>
      <c r="Y334" s="290"/>
      <c r="Z334" s="290"/>
      <c r="AA334" s="290"/>
      <c r="AB334" s="290"/>
      <c r="AC334" s="290"/>
      <c r="AD334" s="290"/>
      <c r="AE334" s="290"/>
      <c r="AF334" s="290"/>
      <c r="AG334" s="290"/>
      <c r="AH334" s="290"/>
      <c r="AI334" s="290"/>
      <c r="AJ334" s="290"/>
      <c r="AK334" s="290"/>
      <c r="AL334" s="290"/>
      <c r="AM334" s="290"/>
      <c r="AN334" s="290"/>
      <c r="AO334" s="290"/>
      <c r="AP334" s="290"/>
      <c r="AQ334" s="290"/>
      <c r="AR334" s="290"/>
      <c r="AS334" s="290"/>
      <c r="AT334" s="290"/>
      <c r="AU334" s="290"/>
      <c r="AV334" s="290"/>
      <c r="AW334" s="290"/>
      <c r="AX334" s="290"/>
      <c r="AY334" s="290"/>
      <c r="AZ334" s="290"/>
      <c r="BA334" s="290"/>
      <c r="BB334" s="290"/>
      <c r="BC334" s="290"/>
      <c r="BD334" s="290"/>
      <c r="BE334" s="290"/>
      <c r="BF334" s="290"/>
      <c r="BG334" s="290"/>
      <c r="BH334" s="290"/>
      <c r="BI334" s="290"/>
      <c r="BJ334" s="290"/>
      <c r="BK334" s="290"/>
      <c r="BL334" s="290"/>
      <c r="BM334" s="290"/>
      <c r="BN334" s="290"/>
      <c r="BO334" s="290"/>
      <c r="BP334" s="290"/>
      <c r="BQ334" s="290"/>
      <c r="BR334" s="290"/>
      <c r="BS334" s="290"/>
      <c r="BT334" s="290"/>
      <c r="BU334" s="290"/>
      <c r="BV334" s="290"/>
      <c r="BW334" s="290"/>
      <c r="BX334" s="290"/>
      <c r="BY334" s="290"/>
      <c r="BZ334" s="290"/>
      <c r="CA334" s="290"/>
      <c r="CB334" s="290"/>
      <c r="CC334" s="290"/>
      <c r="CD334" s="290"/>
      <c r="CE334" s="290"/>
      <c r="CF334" s="290"/>
      <c r="CG334" s="290"/>
      <c r="CH334" s="290"/>
      <c r="CI334" s="290"/>
      <c r="CJ334" s="290"/>
      <c r="CK334" s="290"/>
      <c r="CL334" s="290"/>
      <c r="CM334" s="290"/>
      <c r="CN334" s="290"/>
      <c r="CO334" s="290"/>
      <c r="CP334" s="290"/>
      <c r="CQ334" s="290"/>
      <c r="CR334" s="290"/>
      <c r="CS334" s="290"/>
      <c r="CT334" s="290"/>
      <c r="CU334" s="290"/>
      <c r="CV334" s="290"/>
      <c r="CW334" s="290"/>
      <c r="CX334" s="290"/>
      <c r="CY334" s="290"/>
      <c r="CZ334" s="290"/>
      <c r="DA334" s="290"/>
      <c r="DB334" s="290"/>
      <c r="DC334" s="290"/>
      <c r="DD334" s="290"/>
      <c r="DE334" s="290"/>
      <c r="DF334" s="290"/>
      <c r="DG334" s="290"/>
      <c r="DH334" s="290"/>
      <c r="DI334" s="290"/>
      <c r="DJ334" s="290"/>
      <c r="DK334" s="290"/>
      <c r="DL334" s="290"/>
      <c r="DM334" s="290"/>
      <c r="DN334" s="290"/>
      <c r="DO334" s="290"/>
      <c r="DP334" s="290"/>
      <c r="DQ334" s="290"/>
      <c r="DR334" s="290"/>
      <c r="DS334" s="290"/>
      <c r="DT334" s="290"/>
      <c r="DU334" s="290"/>
      <c r="DV334" s="290"/>
      <c r="DW334" s="290"/>
      <c r="DX334" s="290"/>
      <c r="DY334" s="290"/>
      <c r="DZ334" s="290"/>
      <c r="EA334" s="290"/>
      <c r="EB334" s="290"/>
      <c r="EC334" s="290"/>
      <c r="ED334" s="290"/>
      <c r="EE334" s="290"/>
      <c r="EF334" s="290"/>
      <c r="EG334" s="290"/>
      <c r="EH334" s="290"/>
      <c r="EI334" s="290"/>
      <c r="EJ334" s="290"/>
      <c r="EK334" s="290"/>
      <c r="EL334" s="290"/>
      <c r="EM334" s="290"/>
      <c r="EN334" s="290"/>
      <c r="EO334" s="290"/>
      <c r="EP334" s="290"/>
      <c r="EQ334" s="290"/>
      <c r="ER334" s="290"/>
      <c r="ES334" s="290"/>
      <c r="ET334" s="290"/>
      <c r="EU334" s="290"/>
      <c r="EV334" s="290"/>
      <c r="EW334" s="290"/>
      <c r="EX334" s="290"/>
      <c r="EY334" s="290"/>
      <c r="EZ334" s="290"/>
      <c r="FA334" s="290"/>
      <c r="FB334" s="290"/>
      <c r="FC334" s="290"/>
      <c r="FD334" s="290"/>
      <c r="FE334" s="290"/>
      <c r="FF334" s="290"/>
      <c r="FG334" s="290"/>
      <c r="FH334" s="290"/>
      <c r="FI334" s="290"/>
      <c r="FJ334" s="290"/>
      <c r="FK334" s="290"/>
      <c r="FL334" s="290"/>
      <c r="FM334" s="290"/>
      <c r="FN334" s="290"/>
      <c r="FO334" s="290"/>
      <c r="FP334" s="290"/>
      <c r="FQ334" s="290"/>
      <c r="FR334" s="290"/>
      <c r="FS334" s="290"/>
      <c r="FT334" s="290"/>
      <c r="FU334" s="290"/>
      <c r="FV334" s="290"/>
      <c r="FW334" s="290"/>
      <c r="FX334" s="290"/>
      <c r="FY334" s="290"/>
      <c r="FZ334" s="290"/>
      <c r="GA334" s="290"/>
      <c r="GB334" s="290"/>
      <c r="GC334" s="290"/>
      <c r="GD334" s="290"/>
      <c r="GE334" s="290"/>
      <c r="GF334" s="290"/>
      <c r="GG334" s="290"/>
      <c r="GH334" s="290"/>
      <c r="GI334" s="290"/>
      <c r="GJ334" s="290"/>
      <c r="GK334" s="290"/>
      <c r="GL334" s="290"/>
      <c r="GM334" s="290"/>
      <c r="GN334" s="290"/>
      <c r="GO334" s="290"/>
      <c r="GP334" s="290"/>
      <c r="GQ334" s="290"/>
      <c r="GR334" s="290"/>
      <c r="GS334" s="290"/>
      <c r="GT334" s="290"/>
      <c r="GU334" s="290"/>
      <c r="GV334" s="290"/>
      <c r="GW334" s="290"/>
      <c r="GX334" s="290"/>
      <c r="GY334" s="290"/>
      <c r="GZ334" s="290"/>
      <c r="HA334" s="290"/>
      <c r="HB334" s="290"/>
      <c r="HC334" s="290"/>
      <c r="HD334" s="290"/>
      <c r="HE334" s="290"/>
      <c r="HF334" s="290"/>
      <c r="HG334" s="290"/>
      <c r="HH334" s="290"/>
      <c r="HI334" s="290"/>
      <c r="HJ334" s="290"/>
      <c r="HK334" s="290"/>
      <c r="HL334" s="290"/>
      <c r="HM334" s="290"/>
      <c r="HN334" s="290"/>
      <c r="HO334" s="290"/>
      <c r="HP334" s="290"/>
      <c r="HQ334" s="290"/>
      <c r="HR334" s="290"/>
      <c r="HS334" s="290"/>
      <c r="HT334" s="290"/>
      <c r="HU334" s="290"/>
      <c r="HV334" s="290"/>
      <c r="HW334" s="290"/>
      <c r="HX334" s="290"/>
      <c r="HY334" s="290"/>
      <c r="HZ334" s="290"/>
      <c r="IA334" s="290"/>
      <c r="IB334" s="290"/>
      <c r="IC334" s="290"/>
      <c r="ID334" s="290"/>
      <c r="IE334" s="290"/>
      <c r="IF334" s="290"/>
      <c r="IG334" s="290"/>
      <c r="IH334" s="290"/>
      <c r="II334" s="290"/>
      <c r="IJ334" s="290"/>
      <c r="IK334" s="290"/>
      <c r="IL334" s="290"/>
      <c r="IM334" s="290"/>
      <c r="IN334" s="290"/>
      <c r="IO334" s="290"/>
      <c r="IP334" s="290"/>
      <c r="IQ334" s="290"/>
    </row>
    <row r="335" spans="1:251" ht="39" x14ac:dyDescent="0.3">
      <c r="A335" s="239" t="s">
        <v>270</v>
      </c>
      <c r="B335" s="21" t="s">
        <v>1852</v>
      </c>
      <c r="C335" s="129" t="s">
        <v>49</v>
      </c>
      <c r="D335" s="166" t="s">
        <v>37</v>
      </c>
      <c r="E335" s="166" t="s">
        <v>38</v>
      </c>
      <c r="F335" s="100" t="s">
        <v>1854</v>
      </c>
      <c r="G335" s="240"/>
      <c r="H335" s="199"/>
      <c r="I335" s="183"/>
      <c r="J335" s="183"/>
      <c r="K335" s="183"/>
      <c r="L335" s="183"/>
      <c r="M335" s="183"/>
      <c r="N335" s="183"/>
      <c r="O335" s="183"/>
      <c r="P335" s="183"/>
      <c r="Q335" s="183"/>
      <c r="R335" s="183"/>
      <c r="S335" s="183"/>
      <c r="T335" s="183"/>
      <c r="U335" s="183"/>
      <c r="V335" s="183"/>
      <c r="W335" s="183"/>
      <c r="X335" s="183"/>
      <c r="Y335" s="183"/>
      <c r="Z335" s="183"/>
      <c r="AA335" s="183"/>
      <c r="AB335" s="183"/>
      <c r="AC335" s="183"/>
      <c r="AD335" s="183"/>
      <c r="AE335" s="183"/>
      <c r="AF335" s="183"/>
      <c r="AG335" s="183"/>
      <c r="AH335" s="183"/>
      <c r="AI335" s="183"/>
      <c r="AJ335" s="183"/>
      <c r="AK335" s="183"/>
      <c r="AL335" s="183"/>
      <c r="AM335" s="183"/>
      <c r="AN335" s="183"/>
      <c r="AO335" s="183"/>
      <c r="AP335" s="183"/>
      <c r="AQ335" s="183"/>
      <c r="AR335" s="183"/>
      <c r="AS335" s="183"/>
      <c r="AT335" s="183"/>
      <c r="AU335" s="183"/>
      <c r="AV335" s="183"/>
      <c r="AW335" s="183"/>
      <c r="AX335" s="183"/>
      <c r="AY335" s="183"/>
      <c r="AZ335" s="183"/>
      <c r="BA335" s="183"/>
      <c r="BB335" s="183"/>
      <c r="BC335" s="183"/>
      <c r="BD335" s="183"/>
      <c r="BE335" s="183"/>
      <c r="BF335" s="183"/>
      <c r="BG335" s="183"/>
      <c r="BH335" s="183"/>
      <c r="BI335" s="183"/>
      <c r="BJ335" s="183"/>
      <c r="BK335" s="183"/>
      <c r="BL335" s="183"/>
      <c r="BM335" s="183"/>
      <c r="BN335" s="183"/>
      <c r="BO335" s="183"/>
      <c r="BP335" s="183"/>
      <c r="BQ335" s="183"/>
      <c r="BR335" s="183"/>
      <c r="BS335" s="183"/>
      <c r="BT335" s="183"/>
      <c r="BU335" s="183"/>
      <c r="BV335" s="183"/>
      <c r="BW335" s="183"/>
      <c r="BX335" s="183"/>
      <c r="BY335" s="183"/>
      <c r="BZ335" s="183"/>
      <c r="CA335" s="183"/>
      <c r="CB335" s="183"/>
      <c r="CC335" s="183"/>
      <c r="CD335" s="183"/>
      <c r="CE335" s="183"/>
      <c r="CF335" s="183"/>
      <c r="CG335" s="183"/>
      <c r="CH335" s="183"/>
      <c r="CI335" s="183"/>
      <c r="CJ335" s="183"/>
      <c r="CK335" s="183"/>
      <c r="CL335" s="183"/>
      <c r="CM335" s="183"/>
      <c r="CN335" s="183"/>
      <c r="CO335" s="183"/>
      <c r="CP335" s="183"/>
      <c r="CQ335" s="183"/>
      <c r="CR335" s="183"/>
      <c r="CS335" s="183"/>
      <c r="CT335" s="183"/>
      <c r="CU335" s="183"/>
      <c r="CV335" s="183"/>
      <c r="CW335" s="183"/>
      <c r="CX335" s="183"/>
      <c r="CY335" s="183"/>
      <c r="CZ335" s="183"/>
      <c r="DA335" s="183"/>
      <c r="DB335" s="183"/>
      <c r="DC335" s="183"/>
      <c r="DD335" s="183"/>
      <c r="DE335" s="183"/>
      <c r="DF335" s="183"/>
      <c r="DG335" s="183"/>
      <c r="DH335" s="183"/>
      <c r="DI335" s="183"/>
      <c r="DJ335" s="183"/>
      <c r="DK335" s="183"/>
      <c r="DL335" s="183"/>
      <c r="DM335" s="183"/>
      <c r="DN335" s="183"/>
      <c r="DO335" s="183"/>
      <c r="DP335" s="183"/>
      <c r="DQ335" s="183"/>
      <c r="DR335" s="183"/>
      <c r="DS335" s="183"/>
      <c r="DT335" s="183"/>
      <c r="DU335" s="183"/>
      <c r="DV335" s="183"/>
      <c r="DW335" s="183"/>
      <c r="DX335" s="183"/>
      <c r="DY335" s="183"/>
      <c r="DZ335" s="183"/>
      <c r="EA335" s="183"/>
      <c r="EB335" s="183"/>
      <c r="EC335" s="183"/>
      <c r="ED335" s="183"/>
      <c r="EE335" s="183"/>
      <c r="EF335" s="183"/>
      <c r="EG335" s="183"/>
      <c r="EH335" s="183"/>
      <c r="EI335" s="183"/>
      <c r="EJ335" s="183"/>
      <c r="EK335" s="183"/>
      <c r="EL335" s="183"/>
      <c r="EM335" s="183"/>
      <c r="EN335" s="183"/>
      <c r="EO335" s="183"/>
      <c r="EP335" s="183"/>
      <c r="EQ335" s="183"/>
      <c r="ER335" s="183"/>
      <c r="ES335" s="183"/>
      <c r="ET335" s="183"/>
      <c r="EU335" s="183"/>
      <c r="EV335" s="183"/>
      <c r="EW335" s="183"/>
      <c r="EX335" s="183"/>
      <c r="EY335" s="183"/>
      <c r="EZ335" s="183"/>
      <c r="FA335" s="183"/>
      <c r="FB335" s="183"/>
      <c r="FC335" s="183"/>
      <c r="FD335" s="183"/>
      <c r="FE335" s="183"/>
      <c r="FF335" s="183"/>
      <c r="FG335" s="183"/>
      <c r="FH335" s="183"/>
      <c r="FI335" s="183"/>
      <c r="FJ335" s="183"/>
      <c r="FK335" s="183"/>
      <c r="FL335" s="183"/>
      <c r="FM335" s="183"/>
      <c r="FN335" s="183"/>
      <c r="FO335" s="183"/>
      <c r="FP335" s="183"/>
      <c r="FQ335" s="183"/>
      <c r="FR335" s="183"/>
      <c r="FS335" s="183"/>
      <c r="FT335" s="183"/>
      <c r="FU335" s="183"/>
      <c r="FV335" s="183"/>
      <c r="FW335" s="183"/>
      <c r="FX335" s="183"/>
      <c r="FY335" s="183"/>
      <c r="FZ335" s="183"/>
      <c r="GA335" s="183"/>
      <c r="GB335" s="183"/>
      <c r="GC335" s="183"/>
      <c r="GD335" s="183"/>
      <c r="GE335" s="183"/>
      <c r="GF335" s="183"/>
      <c r="GG335" s="183"/>
      <c r="GH335" s="183"/>
      <c r="GI335" s="183"/>
      <c r="GJ335" s="183"/>
      <c r="GK335" s="183"/>
      <c r="GL335" s="183"/>
      <c r="GM335" s="183"/>
      <c r="GN335" s="183"/>
      <c r="GO335" s="183"/>
      <c r="GP335" s="183"/>
      <c r="GQ335" s="183"/>
      <c r="GR335" s="183"/>
      <c r="GS335" s="183"/>
      <c r="GT335" s="183"/>
      <c r="GU335" s="183"/>
      <c r="GV335" s="183"/>
      <c r="GW335" s="183"/>
      <c r="GX335" s="183"/>
      <c r="GY335" s="183"/>
      <c r="GZ335" s="183"/>
      <c r="HA335" s="183"/>
      <c r="HB335" s="183"/>
      <c r="HC335" s="183"/>
      <c r="HD335" s="183"/>
      <c r="HE335" s="183"/>
      <c r="HF335" s="183"/>
      <c r="HG335" s="183"/>
      <c r="HH335" s="183"/>
      <c r="HI335" s="183"/>
      <c r="HJ335" s="183"/>
      <c r="HK335" s="183"/>
      <c r="HL335" s="183"/>
      <c r="HM335" s="183"/>
      <c r="HN335" s="183"/>
      <c r="HO335" s="183"/>
      <c r="HP335" s="183"/>
      <c r="HQ335" s="183"/>
      <c r="HR335" s="183"/>
      <c r="HS335" s="183"/>
      <c r="HT335" s="183"/>
      <c r="HU335" s="183"/>
      <c r="HV335" s="183"/>
      <c r="HW335" s="183"/>
      <c r="HX335" s="183"/>
      <c r="HY335" s="183"/>
      <c r="HZ335" s="183"/>
      <c r="IA335" s="183"/>
      <c r="IB335" s="183"/>
      <c r="IC335" s="183"/>
      <c r="ID335" s="183"/>
      <c r="IE335" s="183"/>
      <c r="IF335" s="183"/>
      <c r="IG335" s="183"/>
      <c r="IH335" s="183"/>
      <c r="II335" s="183"/>
      <c r="IJ335" s="183"/>
      <c r="IK335" s="183"/>
      <c r="IL335" s="183"/>
      <c r="IM335" s="183"/>
      <c r="IN335" s="183"/>
      <c r="IO335" s="183"/>
      <c r="IP335" s="183"/>
      <c r="IQ335" s="183"/>
    </row>
    <row r="336" spans="1:251" ht="39" x14ac:dyDescent="0.3">
      <c r="A336" s="83" t="s">
        <v>184</v>
      </c>
      <c r="B336" s="196" t="s">
        <v>271</v>
      </c>
      <c r="C336" s="191" t="s">
        <v>30</v>
      </c>
      <c r="D336" s="192" t="s">
        <v>31</v>
      </c>
      <c r="E336" s="192" t="s">
        <v>32</v>
      </c>
      <c r="F336" s="114" t="s">
        <v>33</v>
      </c>
      <c r="G336" s="191" t="s">
        <v>5</v>
      </c>
      <c r="H336" s="200"/>
      <c r="I336" s="201"/>
      <c r="J336" s="201"/>
      <c r="K336" s="201"/>
      <c r="L336" s="201"/>
      <c r="M336" s="201"/>
      <c r="N336" s="201"/>
      <c r="O336" s="201"/>
      <c r="P336" s="201"/>
      <c r="Q336" s="201"/>
      <c r="R336" s="201"/>
      <c r="S336" s="201"/>
      <c r="T336" s="201"/>
      <c r="U336" s="201"/>
      <c r="V336" s="201"/>
      <c r="W336" s="201"/>
      <c r="X336" s="201"/>
      <c r="Y336" s="201"/>
      <c r="Z336" s="201"/>
      <c r="AA336" s="201"/>
      <c r="AB336" s="201"/>
      <c r="AC336" s="201"/>
      <c r="AD336" s="201"/>
      <c r="AE336" s="201"/>
      <c r="AF336" s="201"/>
      <c r="AG336" s="201"/>
      <c r="AH336" s="201"/>
      <c r="AI336" s="201"/>
      <c r="AJ336" s="201"/>
      <c r="AK336" s="201"/>
      <c r="AL336" s="201"/>
      <c r="AM336" s="201"/>
      <c r="AN336" s="201"/>
      <c r="AO336" s="201"/>
      <c r="AP336" s="201"/>
      <c r="AQ336" s="201"/>
      <c r="AR336" s="201"/>
      <c r="AS336" s="201"/>
      <c r="AT336" s="201"/>
      <c r="AU336" s="201"/>
      <c r="AV336" s="201"/>
      <c r="AW336" s="201"/>
      <c r="AX336" s="201"/>
      <c r="AY336" s="201"/>
      <c r="AZ336" s="201"/>
      <c r="BA336" s="201"/>
      <c r="BB336" s="201"/>
      <c r="BC336" s="201"/>
      <c r="BD336" s="201"/>
      <c r="BE336" s="201"/>
      <c r="BF336" s="201"/>
      <c r="BG336" s="201"/>
      <c r="BH336" s="201"/>
      <c r="BI336" s="201"/>
      <c r="BJ336" s="201"/>
      <c r="BK336" s="201"/>
      <c r="BL336" s="201"/>
      <c r="BM336" s="201"/>
      <c r="BN336" s="201"/>
      <c r="BO336" s="201"/>
      <c r="BP336" s="201"/>
      <c r="BQ336" s="201"/>
      <c r="BR336" s="201"/>
      <c r="BS336" s="201"/>
      <c r="BT336" s="201"/>
      <c r="BU336" s="201"/>
      <c r="BV336" s="201"/>
      <c r="BW336" s="201"/>
      <c r="BX336" s="201"/>
      <c r="BY336" s="201"/>
      <c r="BZ336" s="201"/>
      <c r="CA336" s="201"/>
      <c r="CB336" s="201"/>
      <c r="CC336" s="201"/>
      <c r="CD336" s="201"/>
      <c r="CE336" s="201"/>
      <c r="CF336" s="201"/>
      <c r="CG336" s="201"/>
      <c r="CH336" s="201"/>
      <c r="CI336" s="201"/>
      <c r="CJ336" s="201"/>
      <c r="CK336" s="201"/>
      <c r="CL336" s="201"/>
      <c r="CM336" s="201"/>
      <c r="CN336" s="201"/>
      <c r="CO336" s="201"/>
      <c r="CP336" s="201"/>
      <c r="CQ336" s="201"/>
      <c r="CR336" s="201"/>
      <c r="CS336" s="201"/>
      <c r="CT336" s="201"/>
      <c r="CU336" s="201"/>
      <c r="CV336" s="201"/>
      <c r="CW336" s="201"/>
      <c r="CX336" s="201"/>
      <c r="CY336" s="201"/>
      <c r="CZ336" s="201"/>
      <c r="DA336" s="201"/>
      <c r="DB336" s="201"/>
      <c r="DC336" s="201"/>
      <c r="DD336" s="201"/>
      <c r="DE336" s="201"/>
      <c r="DF336" s="201"/>
      <c r="DG336" s="201"/>
      <c r="DH336" s="201"/>
      <c r="DI336" s="201"/>
      <c r="DJ336" s="201"/>
      <c r="DK336" s="201"/>
      <c r="DL336" s="201"/>
      <c r="DM336" s="201"/>
      <c r="DN336" s="201"/>
      <c r="DO336" s="201"/>
      <c r="DP336" s="201"/>
      <c r="DQ336" s="201"/>
      <c r="DR336" s="201"/>
      <c r="DS336" s="201"/>
      <c r="DT336" s="201"/>
      <c r="DU336" s="201"/>
      <c r="DV336" s="201"/>
      <c r="DW336" s="201"/>
      <c r="DX336" s="201"/>
      <c r="DY336" s="201"/>
      <c r="DZ336" s="201"/>
      <c r="EA336" s="201"/>
      <c r="EB336" s="201"/>
      <c r="EC336" s="201"/>
      <c r="ED336" s="201"/>
      <c r="EE336" s="201"/>
      <c r="EF336" s="201"/>
      <c r="EG336" s="201"/>
      <c r="EH336" s="201"/>
      <c r="EI336" s="201"/>
      <c r="EJ336" s="201"/>
      <c r="EK336" s="201"/>
      <c r="EL336" s="201"/>
      <c r="EM336" s="201"/>
      <c r="EN336" s="201"/>
      <c r="EO336" s="201"/>
      <c r="EP336" s="201"/>
      <c r="EQ336" s="201"/>
      <c r="ER336" s="201"/>
      <c r="ES336" s="201"/>
      <c r="ET336" s="201"/>
      <c r="EU336" s="201"/>
      <c r="EV336" s="201"/>
      <c r="EW336" s="201"/>
      <c r="EX336" s="201"/>
      <c r="EY336" s="201"/>
      <c r="EZ336" s="201"/>
      <c r="FA336" s="201"/>
      <c r="FB336" s="201"/>
      <c r="FC336" s="201"/>
      <c r="FD336" s="201"/>
      <c r="FE336" s="201"/>
      <c r="FF336" s="201"/>
      <c r="FG336" s="201"/>
      <c r="FH336" s="201"/>
      <c r="FI336" s="201"/>
      <c r="FJ336" s="201"/>
      <c r="FK336" s="201"/>
      <c r="FL336" s="201"/>
      <c r="FM336" s="201"/>
      <c r="FN336" s="201"/>
      <c r="FO336" s="201"/>
      <c r="FP336" s="201"/>
      <c r="FQ336" s="201"/>
      <c r="FR336" s="201"/>
      <c r="FS336" s="201"/>
      <c r="FT336" s="201"/>
      <c r="FU336" s="201"/>
      <c r="FV336" s="201"/>
      <c r="FW336" s="201"/>
      <c r="FX336" s="201"/>
      <c r="FY336" s="201"/>
      <c r="FZ336" s="201"/>
      <c r="GA336" s="201"/>
      <c r="GB336" s="201"/>
      <c r="GC336" s="201"/>
      <c r="GD336" s="201"/>
      <c r="GE336" s="201"/>
      <c r="GF336" s="201"/>
      <c r="GG336" s="201"/>
      <c r="GH336" s="201"/>
      <c r="GI336" s="201"/>
      <c r="GJ336" s="201"/>
      <c r="GK336" s="201"/>
      <c r="GL336" s="201"/>
      <c r="GM336" s="201"/>
      <c r="GN336" s="201"/>
      <c r="GO336" s="201"/>
      <c r="GP336" s="201"/>
      <c r="GQ336" s="201"/>
      <c r="GR336" s="201"/>
      <c r="GS336" s="201"/>
      <c r="GT336" s="201"/>
      <c r="GU336" s="201"/>
      <c r="GV336" s="201"/>
      <c r="GW336" s="201"/>
      <c r="GX336" s="201"/>
      <c r="GY336" s="201"/>
      <c r="GZ336" s="201"/>
      <c r="HA336" s="201"/>
      <c r="HB336" s="201"/>
      <c r="HC336" s="201"/>
      <c r="HD336" s="201"/>
      <c r="HE336" s="201"/>
      <c r="HF336" s="201"/>
      <c r="HG336" s="201"/>
      <c r="HH336" s="201"/>
      <c r="HI336" s="201"/>
      <c r="HJ336" s="201"/>
      <c r="HK336" s="201"/>
      <c r="HL336" s="201"/>
      <c r="HM336" s="201"/>
      <c r="HN336" s="201"/>
      <c r="HO336" s="201"/>
      <c r="HP336" s="201"/>
      <c r="HQ336" s="201"/>
      <c r="HR336" s="201"/>
      <c r="HS336" s="201"/>
      <c r="HT336" s="201"/>
      <c r="HU336" s="201"/>
      <c r="HV336" s="201"/>
      <c r="HW336" s="201"/>
      <c r="HX336" s="201"/>
      <c r="HY336" s="201"/>
      <c r="HZ336" s="201"/>
      <c r="IA336" s="201"/>
      <c r="IB336" s="201"/>
      <c r="IC336" s="201"/>
      <c r="ID336" s="201"/>
      <c r="IE336" s="201"/>
      <c r="IF336" s="201"/>
      <c r="IG336" s="201"/>
      <c r="IH336" s="201"/>
      <c r="II336" s="201"/>
      <c r="IJ336" s="201"/>
      <c r="IK336" s="201"/>
      <c r="IL336" s="201"/>
      <c r="IM336" s="201"/>
      <c r="IN336" s="201"/>
      <c r="IO336" s="201"/>
      <c r="IP336" s="201"/>
      <c r="IQ336" s="201"/>
    </row>
    <row r="337" spans="1:251" x14ac:dyDescent="0.3">
      <c r="A337" s="268" t="s">
        <v>272</v>
      </c>
      <c r="B337" s="271" t="s">
        <v>46</v>
      </c>
      <c r="C337" s="274" t="s">
        <v>36</v>
      </c>
      <c r="D337" s="265" t="s">
        <v>37</v>
      </c>
      <c r="E337" s="265" t="s">
        <v>38</v>
      </c>
      <c r="F337" s="108" t="s">
        <v>233</v>
      </c>
      <c r="G337" s="286"/>
      <c r="H337" s="289"/>
      <c r="I337" s="290"/>
      <c r="J337" s="290"/>
      <c r="K337" s="290"/>
      <c r="L337" s="290"/>
      <c r="M337" s="290"/>
      <c r="N337" s="290"/>
      <c r="O337" s="290"/>
      <c r="P337" s="290"/>
      <c r="Q337" s="290"/>
      <c r="R337" s="290"/>
      <c r="S337" s="290"/>
      <c r="T337" s="290"/>
      <c r="U337" s="290"/>
      <c r="V337" s="290"/>
      <c r="W337" s="290"/>
      <c r="X337" s="290"/>
      <c r="Y337" s="290"/>
      <c r="Z337" s="290"/>
      <c r="AA337" s="290"/>
      <c r="AB337" s="290"/>
      <c r="AC337" s="290"/>
      <c r="AD337" s="290"/>
      <c r="AE337" s="290"/>
      <c r="AF337" s="290"/>
      <c r="AG337" s="290"/>
      <c r="AH337" s="290"/>
      <c r="AI337" s="290"/>
      <c r="AJ337" s="290"/>
      <c r="AK337" s="290"/>
      <c r="AL337" s="290"/>
      <c r="AM337" s="290"/>
      <c r="AN337" s="290"/>
      <c r="AO337" s="290"/>
      <c r="AP337" s="290"/>
      <c r="AQ337" s="290"/>
      <c r="AR337" s="290"/>
      <c r="AS337" s="290"/>
      <c r="AT337" s="290"/>
      <c r="AU337" s="290"/>
      <c r="AV337" s="290"/>
      <c r="AW337" s="290"/>
      <c r="AX337" s="290"/>
      <c r="AY337" s="290"/>
      <c r="AZ337" s="290"/>
      <c r="BA337" s="290"/>
      <c r="BB337" s="290"/>
      <c r="BC337" s="290"/>
      <c r="BD337" s="290"/>
      <c r="BE337" s="290"/>
      <c r="BF337" s="290"/>
      <c r="BG337" s="290"/>
      <c r="BH337" s="290"/>
      <c r="BI337" s="290"/>
      <c r="BJ337" s="290"/>
      <c r="BK337" s="290"/>
      <c r="BL337" s="290"/>
      <c r="BM337" s="290"/>
      <c r="BN337" s="290"/>
      <c r="BO337" s="290"/>
      <c r="BP337" s="290"/>
      <c r="BQ337" s="290"/>
      <c r="BR337" s="290"/>
      <c r="BS337" s="290"/>
      <c r="BT337" s="290"/>
      <c r="BU337" s="290"/>
      <c r="BV337" s="290"/>
      <c r="BW337" s="290"/>
      <c r="BX337" s="290"/>
      <c r="BY337" s="290"/>
      <c r="BZ337" s="290"/>
      <c r="CA337" s="290"/>
      <c r="CB337" s="290"/>
      <c r="CC337" s="290"/>
      <c r="CD337" s="290"/>
      <c r="CE337" s="290"/>
      <c r="CF337" s="290"/>
      <c r="CG337" s="290"/>
      <c r="CH337" s="290"/>
      <c r="CI337" s="290"/>
      <c r="CJ337" s="290"/>
      <c r="CK337" s="290"/>
      <c r="CL337" s="290"/>
      <c r="CM337" s="290"/>
      <c r="CN337" s="290"/>
      <c r="CO337" s="290"/>
      <c r="CP337" s="290"/>
      <c r="CQ337" s="290"/>
      <c r="CR337" s="290"/>
      <c r="CS337" s="290"/>
      <c r="CT337" s="290"/>
      <c r="CU337" s="290"/>
      <c r="CV337" s="290"/>
      <c r="CW337" s="290"/>
      <c r="CX337" s="290"/>
      <c r="CY337" s="290"/>
      <c r="CZ337" s="290"/>
      <c r="DA337" s="290"/>
      <c r="DB337" s="290"/>
      <c r="DC337" s="290"/>
      <c r="DD337" s="290"/>
      <c r="DE337" s="290"/>
      <c r="DF337" s="290"/>
      <c r="DG337" s="290"/>
      <c r="DH337" s="290"/>
      <c r="DI337" s="290"/>
      <c r="DJ337" s="290"/>
      <c r="DK337" s="290"/>
      <c r="DL337" s="290"/>
      <c r="DM337" s="290"/>
      <c r="DN337" s="290"/>
      <c r="DO337" s="290"/>
      <c r="DP337" s="290"/>
      <c r="DQ337" s="290"/>
      <c r="DR337" s="290"/>
      <c r="DS337" s="290"/>
      <c r="DT337" s="290"/>
      <c r="DU337" s="290"/>
      <c r="DV337" s="290"/>
      <c r="DW337" s="290"/>
      <c r="DX337" s="290"/>
      <c r="DY337" s="290"/>
      <c r="DZ337" s="290"/>
      <c r="EA337" s="290"/>
      <c r="EB337" s="290"/>
      <c r="EC337" s="290"/>
      <c r="ED337" s="290"/>
      <c r="EE337" s="290"/>
      <c r="EF337" s="290"/>
      <c r="EG337" s="290"/>
      <c r="EH337" s="290"/>
      <c r="EI337" s="290"/>
      <c r="EJ337" s="290"/>
      <c r="EK337" s="290"/>
      <c r="EL337" s="290"/>
      <c r="EM337" s="290"/>
      <c r="EN337" s="290"/>
      <c r="EO337" s="290"/>
      <c r="EP337" s="290"/>
      <c r="EQ337" s="290"/>
      <c r="ER337" s="290"/>
      <c r="ES337" s="290"/>
      <c r="ET337" s="290"/>
      <c r="EU337" s="290"/>
      <c r="EV337" s="290"/>
      <c r="EW337" s="290"/>
      <c r="EX337" s="290"/>
      <c r="EY337" s="290"/>
      <c r="EZ337" s="290"/>
      <c r="FA337" s="290"/>
      <c r="FB337" s="290"/>
      <c r="FC337" s="290"/>
      <c r="FD337" s="290"/>
      <c r="FE337" s="290"/>
      <c r="FF337" s="290"/>
      <c r="FG337" s="290"/>
      <c r="FH337" s="290"/>
      <c r="FI337" s="290"/>
      <c r="FJ337" s="290"/>
      <c r="FK337" s="290"/>
      <c r="FL337" s="290"/>
      <c r="FM337" s="290"/>
      <c r="FN337" s="290"/>
      <c r="FO337" s="290"/>
      <c r="FP337" s="290"/>
      <c r="FQ337" s="290"/>
      <c r="FR337" s="290"/>
      <c r="FS337" s="290"/>
      <c r="FT337" s="290"/>
      <c r="FU337" s="290"/>
      <c r="FV337" s="290"/>
      <c r="FW337" s="290"/>
      <c r="FX337" s="290"/>
      <c r="FY337" s="290"/>
      <c r="FZ337" s="290"/>
      <c r="GA337" s="290"/>
      <c r="GB337" s="290"/>
      <c r="GC337" s="290"/>
      <c r="GD337" s="290"/>
      <c r="GE337" s="290"/>
      <c r="GF337" s="290"/>
      <c r="GG337" s="290"/>
      <c r="GH337" s="290"/>
      <c r="GI337" s="290"/>
      <c r="GJ337" s="290"/>
      <c r="GK337" s="290"/>
      <c r="GL337" s="290"/>
      <c r="GM337" s="290"/>
      <c r="GN337" s="290"/>
      <c r="GO337" s="290"/>
      <c r="GP337" s="290"/>
      <c r="GQ337" s="290"/>
      <c r="GR337" s="290"/>
      <c r="GS337" s="290"/>
      <c r="GT337" s="290"/>
      <c r="GU337" s="290"/>
      <c r="GV337" s="290"/>
      <c r="GW337" s="290"/>
      <c r="GX337" s="290"/>
      <c r="GY337" s="290"/>
      <c r="GZ337" s="290"/>
      <c r="HA337" s="290"/>
      <c r="HB337" s="290"/>
      <c r="HC337" s="290"/>
      <c r="HD337" s="290"/>
      <c r="HE337" s="290"/>
      <c r="HF337" s="290"/>
      <c r="HG337" s="290"/>
      <c r="HH337" s="290"/>
      <c r="HI337" s="290"/>
      <c r="HJ337" s="290"/>
      <c r="HK337" s="290"/>
      <c r="HL337" s="290"/>
      <c r="HM337" s="290"/>
      <c r="HN337" s="290"/>
      <c r="HO337" s="290"/>
      <c r="HP337" s="290"/>
      <c r="HQ337" s="290"/>
      <c r="HR337" s="290"/>
      <c r="HS337" s="290"/>
      <c r="HT337" s="290"/>
      <c r="HU337" s="290"/>
      <c r="HV337" s="290"/>
      <c r="HW337" s="290"/>
      <c r="HX337" s="290"/>
      <c r="HY337" s="290"/>
      <c r="HZ337" s="290"/>
      <c r="IA337" s="290"/>
      <c r="IB337" s="290"/>
      <c r="IC337" s="290"/>
      <c r="ID337" s="290"/>
      <c r="IE337" s="290"/>
      <c r="IF337" s="290"/>
      <c r="IG337" s="290"/>
      <c r="IH337" s="290"/>
      <c r="II337" s="290"/>
      <c r="IJ337" s="290"/>
      <c r="IK337" s="290"/>
      <c r="IL337" s="290"/>
      <c r="IM337" s="290"/>
      <c r="IN337" s="290"/>
      <c r="IO337" s="290"/>
      <c r="IP337" s="290"/>
      <c r="IQ337" s="290"/>
    </row>
    <row r="338" spans="1:251" x14ac:dyDescent="0.3">
      <c r="A338" s="269"/>
      <c r="B338" s="272"/>
      <c r="C338" s="275"/>
      <c r="D338" s="266"/>
      <c r="E338" s="266"/>
      <c r="F338" s="109" t="s">
        <v>234</v>
      </c>
      <c r="G338" s="287"/>
      <c r="H338" s="289"/>
      <c r="I338" s="290"/>
      <c r="J338" s="290"/>
      <c r="K338" s="290"/>
      <c r="L338" s="290"/>
      <c r="M338" s="290"/>
      <c r="N338" s="290"/>
      <c r="O338" s="290"/>
      <c r="P338" s="290"/>
      <c r="Q338" s="290"/>
      <c r="R338" s="290"/>
      <c r="S338" s="290"/>
      <c r="T338" s="290"/>
      <c r="U338" s="290"/>
      <c r="V338" s="290"/>
      <c r="W338" s="290"/>
      <c r="X338" s="290"/>
      <c r="Y338" s="290"/>
      <c r="Z338" s="290"/>
      <c r="AA338" s="290"/>
      <c r="AB338" s="290"/>
      <c r="AC338" s="290"/>
      <c r="AD338" s="290"/>
      <c r="AE338" s="290"/>
      <c r="AF338" s="290"/>
      <c r="AG338" s="290"/>
      <c r="AH338" s="290"/>
      <c r="AI338" s="290"/>
      <c r="AJ338" s="290"/>
      <c r="AK338" s="290"/>
      <c r="AL338" s="290"/>
      <c r="AM338" s="290"/>
      <c r="AN338" s="290"/>
      <c r="AO338" s="290"/>
      <c r="AP338" s="290"/>
      <c r="AQ338" s="290"/>
      <c r="AR338" s="290"/>
      <c r="AS338" s="290"/>
      <c r="AT338" s="290"/>
      <c r="AU338" s="290"/>
      <c r="AV338" s="290"/>
      <c r="AW338" s="290"/>
      <c r="AX338" s="290"/>
      <c r="AY338" s="290"/>
      <c r="AZ338" s="290"/>
      <c r="BA338" s="290"/>
      <c r="BB338" s="290"/>
      <c r="BC338" s="290"/>
      <c r="BD338" s="290"/>
      <c r="BE338" s="290"/>
      <c r="BF338" s="290"/>
      <c r="BG338" s="290"/>
      <c r="BH338" s="290"/>
      <c r="BI338" s="290"/>
      <c r="BJ338" s="290"/>
      <c r="BK338" s="290"/>
      <c r="BL338" s="290"/>
      <c r="BM338" s="290"/>
      <c r="BN338" s="290"/>
      <c r="BO338" s="290"/>
      <c r="BP338" s="290"/>
      <c r="BQ338" s="290"/>
      <c r="BR338" s="290"/>
      <c r="BS338" s="290"/>
      <c r="BT338" s="290"/>
      <c r="BU338" s="290"/>
      <c r="BV338" s="290"/>
      <c r="BW338" s="290"/>
      <c r="BX338" s="290"/>
      <c r="BY338" s="290"/>
      <c r="BZ338" s="290"/>
      <c r="CA338" s="290"/>
      <c r="CB338" s="290"/>
      <c r="CC338" s="290"/>
      <c r="CD338" s="290"/>
      <c r="CE338" s="290"/>
      <c r="CF338" s="290"/>
      <c r="CG338" s="290"/>
      <c r="CH338" s="290"/>
      <c r="CI338" s="290"/>
      <c r="CJ338" s="290"/>
      <c r="CK338" s="290"/>
      <c r="CL338" s="290"/>
      <c r="CM338" s="290"/>
      <c r="CN338" s="290"/>
      <c r="CO338" s="290"/>
      <c r="CP338" s="290"/>
      <c r="CQ338" s="290"/>
      <c r="CR338" s="290"/>
      <c r="CS338" s="290"/>
      <c r="CT338" s="290"/>
      <c r="CU338" s="290"/>
      <c r="CV338" s="290"/>
      <c r="CW338" s="290"/>
      <c r="CX338" s="290"/>
      <c r="CY338" s="290"/>
      <c r="CZ338" s="290"/>
      <c r="DA338" s="290"/>
      <c r="DB338" s="290"/>
      <c r="DC338" s="290"/>
      <c r="DD338" s="290"/>
      <c r="DE338" s="290"/>
      <c r="DF338" s="290"/>
      <c r="DG338" s="290"/>
      <c r="DH338" s="290"/>
      <c r="DI338" s="290"/>
      <c r="DJ338" s="290"/>
      <c r="DK338" s="290"/>
      <c r="DL338" s="290"/>
      <c r="DM338" s="290"/>
      <c r="DN338" s="290"/>
      <c r="DO338" s="290"/>
      <c r="DP338" s="290"/>
      <c r="DQ338" s="290"/>
      <c r="DR338" s="290"/>
      <c r="DS338" s="290"/>
      <c r="DT338" s="290"/>
      <c r="DU338" s="290"/>
      <c r="DV338" s="290"/>
      <c r="DW338" s="290"/>
      <c r="DX338" s="290"/>
      <c r="DY338" s="290"/>
      <c r="DZ338" s="290"/>
      <c r="EA338" s="290"/>
      <c r="EB338" s="290"/>
      <c r="EC338" s="290"/>
      <c r="ED338" s="290"/>
      <c r="EE338" s="290"/>
      <c r="EF338" s="290"/>
      <c r="EG338" s="290"/>
      <c r="EH338" s="290"/>
      <c r="EI338" s="290"/>
      <c r="EJ338" s="290"/>
      <c r="EK338" s="290"/>
      <c r="EL338" s="290"/>
      <c r="EM338" s="290"/>
      <c r="EN338" s="290"/>
      <c r="EO338" s="290"/>
      <c r="EP338" s="290"/>
      <c r="EQ338" s="290"/>
      <c r="ER338" s="290"/>
      <c r="ES338" s="290"/>
      <c r="ET338" s="290"/>
      <c r="EU338" s="290"/>
      <c r="EV338" s="290"/>
      <c r="EW338" s="290"/>
      <c r="EX338" s="290"/>
      <c r="EY338" s="290"/>
      <c r="EZ338" s="290"/>
      <c r="FA338" s="290"/>
      <c r="FB338" s="290"/>
      <c r="FC338" s="290"/>
      <c r="FD338" s="290"/>
      <c r="FE338" s="290"/>
      <c r="FF338" s="290"/>
      <c r="FG338" s="290"/>
      <c r="FH338" s="290"/>
      <c r="FI338" s="290"/>
      <c r="FJ338" s="290"/>
      <c r="FK338" s="290"/>
      <c r="FL338" s="290"/>
      <c r="FM338" s="290"/>
      <c r="FN338" s="290"/>
      <c r="FO338" s="290"/>
      <c r="FP338" s="290"/>
      <c r="FQ338" s="290"/>
      <c r="FR338" s="290"/>
      <c r="FS338" s="290"/>
      <c r="FT338" s="290"/>
      <c r="FU338" s="290"/>
      <c r="FV338" s="290"/>
      <c r="FW338" s="290"/>
      <c r="FX338" s="290"/>
      <c r="FY338" s="290"/>
      <c r="FZ338" s="290"/>
      <c r="GA338" s="290"/>
      <c r="GB338" s="290"/>
      <c r="GC338" s="290"/>
      <c r="GD338" s="290"/>
      <c r="GE338" s="290"/>
      <c r="GF338" s="290"/>
      <c r="GG338" s="290"/>
      <c r="GH338" s="290"/>
      <c r="GI338" s="290"/>
      <c r="GJ338" s="290"/>
      <c r="GK338" s="290"/>
      <c r="GL338" s="290"/>
      <c r="GM338" s="290"/>
      <c r="GN338" s="290"/>
      <c r="GO338" s="290"/>
      <c r="GP338" s="290"/>
      <c r="GQ338" s="290"/>
      <c r="GR338" s="290"/>
      <c r="GS338" s="290"/>
      <c r="GT338" s="290"/>
      <c r="GU338" s="290"/>
      <c r="GV338" s="290"/>
      <c r="GW338" s="290"/>
      <c r="GX338" s="290"/>
      <c r="GY338" s="290"/>
      <c r="GZ338" s="290"/>
      <c r="HA338" s="290"/>
      <c r="HB338" s="290"/>
      <c r="HC338" s="290"/>
      <c r="HD338" s="290"/>
      <c r="HE338" s="290"/>
      <c r="HF338" s="290"/>
      <c r="HG338" s="290"/>
      <c r="HH338" s="290"/>
      <c r="HI338" s="290"/>
      <c r="HJ338" s="290"/>
      <c r="HK338" s="290"/>
      <c r="HL338" s="290"/>
      <c r="HM338" s="290"/>
      <c r="HN338" s="290"/>
      <c r="HO338" s="290"/>
      <c r="HP338" s="290"/>
      <c r="HQ338" s="290"/>
      <c r="HR338" s="290"/>
      <c r="HS338" s="290"/>
      <c r="HT338" s="290"/>
      <c r="HU338" s="290"/>
      <c r="HV338" s="290"/>
      <c r="HW338" s="290"/>
      <c r="HX338" s="290"/>
      <c r="HY338" s="290"/>
      <c r="HZ338" s="290"/>
      <c r="IA338" s="290"/>
      <c r="IB338" s="290"/>
      <c r="IC338" s="290"/>
      <c r="ID338" s="290"/>
      <c r="IE338" s="290"/>
      <c r="IF338" s="290"/>
      <c r="IG338" s="290"/>
      <c r="IH338" s="290"/>
      <c r="II338" s="290"/>
      <c r="IJ338" s="290"/>
      <c r="IK338" s="290"/>
      <c r="IL338" s="290"/>
      <c r="IM338" s="290"/>
      <c r="IN338" s="290"/>
      <c r="IO338" s="290"/>
      <c r="IP338" s="290"/>
      <c r="IQ338" s="290"/>
    </row>
    <row r="339" spans="1:251" x14ac:dyDescent="0.3">
      <c r="A339" s="270"/>
      <c r="B339" s="273"/>
      <c r="C339" s="276"/>
      <c r="D339" s="267"/>
      <c r="E339" s="267"/>
      <c r="F339" s="110" t="s">
        <v>235</v>
      </c>
      <c r="G339" s="288"/>
      <c r="H339" s="289"/>
      <c r="I339" s="290"/>
      <c r="J339" s="290"/>
      <c r="K339" s="290"/>
      <c r="L339" s="290"/>
      <c r="M339" s="290"/>
      <c r="N339" s="290"/>
      <c r="O339" s="290"/>
      <c r="P339" s="290"/>
      <c r="Q339" s="290"/>
      <c r="R339" s="290"/>
      <c r="S339" s="290"/>
      <c r="T339" s="290"/>
      <c r="U339" s="290"/>
      <c r="V339" s="290"/>
      <c r="W339" s="290"/>
      <c r="X339" s="290"/>
      <c r="Y339" s="290"/>
      <c r="Z339" s="290"/>
      <c r="AA339" s="290"/>
      <c r="AB339" s="290"/>
      <c r="AC339" s="290"/>
      <c r="AD339" s="290"/>
      <c r="AE339" s="290"/>
      <c r="AF339" s="290"/>
      <c r="AG339" s="290"/>
      <c r="AH339" s="290"/>
      <c r="AI339" s="290"/>
      <c r="AJ339" s="290"/>
      <c r="AK339" s="290"/>
      <c r="AL339" s="290"/>
      <c r="AM339" s="290"/>
      <c r="AN339" s="290"/>
      <c r="AO339" s="290"/>
      <c r="AP339" s="290"/>
      <c r="AQ339" s="290"/>
      <c r="AR339" s="290"/>
      <c r="AS339" s="290"/>
      <c r="AT339" s="290"/>
      <c r="AU339" s="290"/>
      <c r="AV339" s="290"/>
      <c r="AW339" s="290"/>
      <c r="AX339" s="290"/>
      <c r="AY339" s="290"/>
      <c r="AZ339" s="290"/>
      <c r="BA339" s="290"/>
      <c r="BB339" s="290"/>
      <c r="BC339" s="290"/>
      <c r="BD339" s="290"/>
      <c r="BE339" s="290"/>
      <c r="BF339" s="290"/>
      <c r="BG339" s="290"/>
      <c r="BH339" s="290"/>
      <c r="BI339" s="290"/>
      <c r="BJ339" s="290"/>
      <c r="BK339" s="290"/>
      <c r="BL339" s="290"/>
      <c r="BM339" s="290"/>
      <c r="BN339" s="290"/>
      <c r="BO339" s="290"/>
      <c r="BP339" s="290"/>
      <c r="BQ339" s="290"/>
      <c r="BR339" s="290"/>
      <c r="BS339" s="290"/>
      <c r="BT339" s="290"/>
      <c r="BU339" s="290"/>
      <c r="BV339" s="290"/>
      <c r="BW339" s="290"/>
      <c r="BX339" s="290"/>
      <c r="BY339" s="290"/>
      <c r="BZ339" s="290"/>
      <c r="CA339" s="290"/>
      <c r="CB339" s="290"/>
      <c r="CC339" s="290"/>
      <c r="CD339" s="290"/>
      <c r="CE339" s="290"/>
      <c r="CF339" s="290"/>
      <c r="CG339" s="290"/>
      <c r="CH339" s="290"/>
      <c r="CI339" s="290"/>
      <c r="CJ339" s="290"/>
      <c r="CK339" s="290"/>
      <c r="CL339" s="290"/>
      <c r="CM339" s="290"/>
      <c r="CN339" s="290"/>
      <c r="CO339" s="290"/>
      <c r="CP339" s="290"/>
      <c r="CQ339" s="290"/>
      <c r="CR339" s="290"/>
      <c r="CS339" s="290"/>
      <c r="CT339" s="290"/>
      <c r="CU339" s="290"/>
      <c r="CV339" s="290"/>
      <c r="CW339" s="290"/>
      <c r="CX339" s="290"/>
      <c r="CY339" s="290"/>
      <c r="CZ339" s="290"/>
      <c r="DA339" s="290"/>
      <c r="DB339" s="290"/>
      <c r="DC339" s="290"/>
      <c r="DD339" s="290"/>
      <c r="DE339" s="290"/>
      <c r="DF339" s="290"/>
      <c r="DG339" s="290"/>
      <c r="DH339" s="290"/>
      <c r="DI339" s="290"/>
      <c r="DJ339" s="290"/>
      <c r="DK339" s="290"/>
      <c r="DL339" s="290"/>
      <c r="DM339" s="290"/>
      <c r="DN339" s="290"/>
      <c r="DO339" s="290"/>
      <c r="DP339" s="290"/>
      <c r="DQ339" s="290"/>
      <c r="DR339" s="290"/>
      <c r="DS339" s="290"/>
      <c r="DT339" s="290"/>
      <c r="DU339" s="290"/>
      <c r="DV339" s="290"/>
      <c r="DW339" s="290"/>
      <c r="DX339" s="290"/>
      <c r="DY339" s="290"/>
      <c r="DZ339" s="290"/>
      <c r="EA339" s="290"/>
      <c r="EB339" s="290"/>
      <c r="EC339" s="290"/>
      <c r="ED339" s="290"/>
      <c r="EE339" s="290"/>
      <c r="EF339" s="290"/>
      <c r="EG339" s="290"/>
      <c r="EH339" s="290"/>
      <c r="EI339" s="290"/>
      <c r="EJ339" s="290"/>
      <c r="EK339" s="290"/>
      <c r="EL339" s="290"/>
      <c r="EM339" s="290"/>
      <c r="EN339" s="290"/>
      <c r="EO339" s="290"/>
      <c r="EP339" s="290"/>
      <c r="EQ339" s="290"/>
      <c r="ER339" s="290"/>
      <c r="ES339" s="290"/>
      <c r="ET339" s="290"/>
      <c r="EU339" s="290"/>
      <c r="EV339" s="290"/>
      <c r="EW339" s="290"/>
      <c r="EX339" s="290"/>
      <c r="EY339" s="290"/>
      <c r="EZ339" s="290"/>
      <c r="FA339" s="290"/>
      <c r="FB339" s="290"/>
      <c r="FC339" s="290"/>
      <c r="FD339" s="290"/>
      <c r="FE339" s="290"/>
      <c r="FF339" s="290"/>
      <c r="FG339" s="290"/>
      <c r="FH339" s="290"/>
      <c r="FI339" s="290"/>
      <c r="FJ339" s="290"/>
      <c r="FK339" s="290"/>
      <c r="FL339" s="290"/>
      <c r="FM339" s="290"/>
      <c r="FN339" s="290"/>
      <c r="FO339" s="290"/>
      <c r="FP339" s="290"/>
      <c r="FQ339" s="290"/>
      <c r="FR339" s="290"/>
      <c r="FS339" s="290"/>
      <c r="FT339" s="290"/>
      <c r="FU339" s="290"/>
      <c r="FV339" s="290"/>
      <c r="FW339" s="290"/>
      <c r="FX339" s="290"/>
      <c r="FY339" s="290"/>
      <c r="FZ339" s="290"/>
      <c r="GA339" s="290"/>
      <c r="GB339" s="290"/>
      <c r="GC339" s="290"/>
      <c r="GD339" s="290"/>
      <c r="GE339" s="290"/>
      <c r="GF339" s="290"/>
      <c r="GG339" s="290"/>
      <c r="GH339" s="290"/>
      <c r="GI339" s="290"/>
      <c r="GJ339" s="290"/>
      <c r="GK339" s="290"/>
      <c r="GL339" s="290"/>
      <c r="GM339" s="290"/>
      <c r="GN339" s="290"/>
      <c r="GO339" s="290"/>
      <c r="GP339" s="290"/>
      <c r="GQ339" s="290"/>
      <c r="GR339" s="290"/>
      <c r="GS339" s="290"/>
      <c r="GT339" s="290"/>
      <c r="GU339" s="290"/>
      <c r="GV339" s="290"/>
      <c r="GW339" s="290"/>
      <c r="GX339" s="290"/>
      <c r="GY339" s="290"/>
      <c r="GZ339" s="290"/>
      <c r="HA339" s="290"/>
      <c r="HB339" s="290"/>
      <c r="HC339" s="290"/>
      <c r="HD339" s="290"/>
      <c r="HE339" s="290"/>
      <c r="HF339" s="290"/>
      <c r="HG339" s="290"/>
      <c r="HH339" s="290"/>
      <c r="HI339" s="290"/>
      <c r="HJ339" s="290"/>
      <c r="HK339" s="290"/>
      <c r="HL339" s="290"/>
      <c r="HM339" s="290"/>
      <c r="HN339" s="290"/>
      <c r="HO339" s="290"/>
      <c r="HP339" s="290"/>
      <c r="HQ339" s="290"/>
      <c r="HR339" s="290"/>
      <c r="HS339" s="290"/>
      <c r="HT339" s="290"/>
      <c r="HU339" s="290"/>
      <c r="HV339" s="290"/>
      <c r="HW339" s="290"/>
      <c r="HX339" s="290"/>
      <c r="HY339" s="290"/>
      <c r="HZ339" s="290"/>
      <c r="IA339" s="290"/>
      <c r="IB339" s="290"/>
      <c r="IC339" s="290"/>
      <c r="ID339" s="290"/>
      <c r="IE339" s="290"/>
      <c r="IF339" s="290"/>
      <c r="IG339" s="290"/>
      <c r="IH339" s="290"/>
      <c r="II339" s="290"/>
      <c r="IJ339" s="290"/>
      <c r="IK339" s="290"/>
      <c r="IL339" s="290"/>
      <c r="IM339" s="290"/>
      <c r="IN339" s="290"/>
      <c r="IO339" s="290"/>
      <c r="IP339" s="290"/>
      <c r="IQ339" s="290"/>
    </row>
    <row r="340" spans="1:251" x14ac:dyDescent="0.3">
      <c r="A340" s="268" t="s">
        <v>272</v>
      </c>
      <c r="B340" s="271" t="s">
        <v>48</v>
      </c>
      <c r="C340" s="274" t="s">
        <v>49</v>
      </c>
      <c r="D340" s="265" t="s">
        <v>37</v>
      </c>
      <c r="E340" s="265" t="s">
        <v>38</v>
      </c>
      <c r="F340" s="111" t="s">
        <v>236</v>
      </c>
      <c r="G340" s="286"/>
      <c r="H340" s="289"/>
      <c r="I340" s="290"/>
      <c r="J340" s="290"/>
      <c r="K340" s="290"/>
      <c r="L340" s="290"/>
      <c r="M340" s="290"/>
      <c r="N340" s="290"/>
      <c r="O340" s="290"/>
      <c r="P340" s="290"/>
      <c r="Q340" s="290"/>
      <c r="R340" s="290"/>
      <c r="S340" s="290"/>
      <c r="T340" s="290"/>
      <c r="U340" s="290"/>
      <c r="V340" s="290"/>
      <c r="W340" s="290"/>
      <c r="X340" s="290"/>
      <c r="Y340" s="290"/>
      <c r="Z340" s="290"/>
      <c r="AA340" s="290"/>
      <c r="AB340" s="290"/>
      <c r="AC340" s="290"/>
      <c r="AD340" s="290"/>
      <c r="AE340" s="290"/>
      <c r="AF340" s="290"/>
      <c r="AG340" s="290"/>
      <c r="AH340" s="290"/>
      <c r="AI340" s="290"/>
      <c r="AJ340" s="290"/>
      <c r="AK340" s="290"/>
      <c r="AL340" s="290"/>
      <c r="AM340" s="290"/>
      <c r="AN340" s="290"/>
      <c r="AO340" s="290"/>
      <c r="AP340" s="290"/>
      <c r="AQ340" s="290"/>
      <c r="AR340" s="290"/>
      <c r="AS340" s="290"/>
      <c r="AT340" s="290"/>
      <c r="AU340" s="290"/>
      <c r="AV340" s="290"/>
      <c r="AW340" s="290"/>
      <c r="AX340" s="290"/>
      <c r="AY340" s="290"/>
      <c r="AZ340" s="290"/>
      <c r="BA340" s="290"/>
      <c r="BB340" s="290"/>
      <c r="BC340" s="290"/>
      <c r="BD340" s="290"/>
      <c r="BE340" s="290"/>
      <c r="BF340" s="290"/>
      <c r="BG340" s="290"/>
      <c r="BH340" s="290"/>
      <c r="BI340" s="290"/>
      <c r="BJ340" s="290"/>
      <c r="BK340" s="290"/>
      <c r="BL340" s="290"/>
      <c r="BM340" s="290"/>
      <c r="BN340" s="290"/>
      <c r="BO340" s="290"/>
      <c r="BP340" s="290"/>
      <c r="BQ340" s="290"/>
      <c r="BR340" s="290"/>
      <c r="BS340" s="290"/>
      <c r="BT340" s="290"/>
      <c r="BU340" s="290"/>
      <c r="BV340" s="290"/>
      <c r="BW340" s="290"/>
      <c r="BX340" s="290"/>
      <c r="BY340" s="290"/>
      <c r="BZ340" s="290"/>
      <c r="CA340" s="290"/>
      <c r="CB340" s="290"/>
      <c r="CC340" s="290"/>
      <c r="CD340" s="290"/>
      <c r="CE340" s="290"/>
      <c r="CF340" s="290"/>
      <c r="CG340" s="290"/>
      <c r="CH340" s="290"/>
      <c r="CI340" s="290"/>
      <c r="CJ340" s="290"/>
      <c r="CK340" s="290"/>
      <c r="CL340" s="290"/>
      <c r="CM340" s="290"/>
      <c r="CN340" s="290"/>
      <c r="CO340" s="290"/>
      <c r="CP340" s="290"/>
      <c r="CQ340" s="290"/>
      <c r="CR340" s="290"/>
      <c r="CS340" s="290"/>
      <c r="CT340" s="290"/>
      <c r="CU340" s="290"/>
      <c r="CV340" s="290"/>
      <c r="CW340" s="290"/>
      <c r="CX340" s="290"/>
      <c r="CY340" s="290"/>
      <c r="CZ340" s="290"/>
      <c r="DA340" s="290"/>
      <c r="DB340" s="290"/>
      <c r="DC340" s="290"/>
      <c r="DD340" s="290"/>
      <c r="DE340" s="290"/>
      <c r="DF340" s="290"/>
      <c r="DG340" s="290"/>
      <c r="DH340" s="290"/>
      <c r="DI340" s="290"/>
      <c r="DJ340" s="290"/>
      <c r="DK340" s="290"/>
      <c r="DL340" s="290"/>
      <c r="DM340" s="290"/>
      <c r="DN340" s="290"/>
      <c r="DO340" s="290"/>
      <c r="DP340" s="290"/>
      <c r="DQ340" s="290"/>
      <c r="DR340" s="290"/>
      <c r="DS340" s="290"/>
      <c r="DT340" s="290"/>
      <c r="DU340" s="290"/>
      <c r="DV340" s="290"/>
      <c r="DW340" s="290"/>
      <c r="DX340" s="290"/>
      <c r="DY340" s="290"/>
      <c r="DZ340" s="290"/>
      <c r="EA340" s="290"/>
      <c r="EB340" s="290"/>
      <c r="EC340" s="290"/>
      <c r="ED340" s="290"/>
      <c r="EE340" s="290"/>
      <c r="EF340" s="290"/>
      <c r="EG340" s="290"/>
      <c r="EH340" s="290"/>
      <c r="EI340" s="290"/>
      <c r="EJ340" s="290"/>
      <c r="EK340" s="290"/>
      <c r="EL340" s="290"/>
      <c r="EM340" s="290"/>
      <c r="EN340" s="290"/>
      <c r="EO340" s="290"/>
      <c r="EP340" s="290"/>
      <c r="EQ340" s="290"/>
      <c r="ER340" s="290"/>
      <c r="ES340" s="290"/>
      <c r="ET340" s="290"/>
      <c r="EU340" s="290"/>
      <c r="EV340" s="290"/>
      <c r="EW340" s="290"/>
      <c r="EX340" s="290"/>
      <c r="EY340" s="290"/>
      <c r="EZ340" s="290"/>
      <c r="FA340" s="290"/>
      <c r="FB340" s="290"/>
      <c r="FC340" s="290"/>
      <c r="FD340" s="290"/>
      <c r="FE340" s="290"/>
      <c r="FF340" s="290"/>
      <c r="FG340" s="290"/>
      <c r="FH340" s="290"/>
      <c r="FI340" s="290"/>
      <c r="FJ340" s="290"/>
      <c r="FK340" s="290"/>
      <c r="FL340" s="290"/>
      <c r="FM340" s="290"/>
      <c r="FN340" s="290"/>
      <c r="FO340" s="290"/>
      <c r="FP340" s="290"/>
      <c r="FQ340" s="290"/>
      <c r="FR340" s="290"/>
      <c r="FS340" s="290"/>
      <c r="FT340" s="290"/>
      <c r="FU340" s="290"/>
      <c r="FV340" s="290"/>
      <c r="FW340" s="290"/>
      <c r="FX340" s="290"/>
      <c r="FY340" s="290"/>
      <c r="FZ340" s="290"/>
      <c r="GA340" s="290"/>
      <c r="GB340" s="290"/>
      <c r="GC340" s="290"/>
      <c r="GD340" s="290"/>
      <c r="GE340" s="290"/>
      <c r="GF340" s="290"/>
      <c r="GG340" s="290"/>
      <c r="GH340" s="290"/>
      <c r="GI340" s="290"/>
      <c r="GJ340" s="290"/>
      <c r="GK340" s="290"/>
      <c r="GL340" s="290"/>
      <c r="GM340" s="290"/>
      <c r="GN340" s="290"/>
      <c r="GO340" s="290"/>
      <c r="GP340" s="290"/>
      <c r="GQ340" s="290"/>
      <c r="GR340" s="290"/>
      <c r="GS340" s="290"/>
      <c r="GT340" s="290"/>
      <c r="GU340" s="290"/>
      <c r="GV340" s="290"/>
      <c r="GW340" s="290"/>
      <c r="GX340" s="290"/>
      <c r="GY340" s="290"/>
      <c r="GZ340" s="290"/>
      <c r="HA340" s="290"/>
      <c r="HB340" s="290"/>
      <c r="HC340" s="290"/>
      <c r="HD340" s="290"/>
      <c r="HE340" s="290"/>
      <c r="HF340" s="290"/>
      <c r="HG340" s="290"/>
      <c r="HH340" s="290"/>
      <c r="HI340" s="290"/>
      <c r="HJ340" s="290"/>
      <c r="HK340" s="290"/>
      <c r="HL340" s="290"/>
      <c r="HM340" s="290"/>
      <c r="HN340" s="290"/>
      <c r="HO340" s="290"/>
      <c r="HP340" s="290"/>
      <c r="HQ340" s="290"/>
      <c r="HR340" s="290"/>
      <c r="HS340" s="290"/>
      <c r="HT340" s="290"/>
      <c r="HU340" s="290"/>
      <c r="HV340" s="290"/>
      <c r="HW340" s="290"/>
      <c r="HX340" s="290"/>
      <c r="HY340" s="290"/>
      <c r="HZ340" s="290"/>
      <c r="IA340" s="290"/>
      <c r="IB340" s="290"/>
      <c r="IC340" s="290"/>
      <c r="ID340" s="290"/>
      <c r="IE340" s="290"/>
      <c r="IF340" s="290"/>
      <c r="IG340" s="290"/>
      <c r="IH340" s="290"/>
      <c r="II340" s="290"/>
      <c r="IJ340" s="290"/>
      <c r="IK340" s="290"/>
      <c r="IL340" s="290"/>
      <c r="IM340" s="290"/>
      <c r="IN340" s="290"/>
      <c r="IO340" s="290"/>
      <c r="IP340" s="290"/>
      <c r="IQ340" s="290"/>
    </row>
    <row r="341" spans="1:251" x14ac:dyDescent="0.3">
      <c r="A341" s="269"/>
      <c r="B341" s="272"/>
      <c r="C341" s="275"/>
      <c r="D341" s="266"/>
      <c r="E341" s="266"/>
      <c r="F341" s="112" t="s">
        <v>237</v>
      </c>
      <c r="G341" s="287"/>
      <c r="H341" s="289"/>
      <c r="I341" s="290"/>
      <c r="J341" s="290"/>
      <c r="K341" s="290"/>
      <c r="L341" s="290"/>
      <c r="M341" s="290"/>
      <c r="N341" s="290"/>
      <c r="O341" s="290"/>
      <c r="P341" s="290"/>
      <c r="Q341" s="290"/>
      <c r="R341" s="290"/>
      <c r="S341" s="290"/>
      <c r="T341" s="290"/>
      <c r="U341" s="290"/>
      <c r="V341" s="290"/>
      <c r="W341" s="290"/>
      <c r="X341" s="290"/>
      <c r="Y341" s="290"/>
      <c r="Z341" s="290"/>
      <c r="AA341" s="290"/>
      <c r="AB341" s="290"/>
      <c r="AC341" s="290"/>
      <c r="AD341" s="290"/>
      <c r="AE341" s="290"/>
      <c r="AF341" s="290"/>
      <c r="AG341" s="290"/>
      <c r="AH341" s="290"/>
      <c r="AI341" s="290"/>
      <c r="AJ341" s="290"/>
      <c r="AK341" s="290"/>
      <c r="AL341" s="290"/>
      <c r="AM341" s="290"/>
      <c r="AN341" s="290"/>
      <c r="AO341" s="290"/>
      <c r="AP341" s="290"/>
      <c r="AQ341" s="290"/>
      <c r="AR341" s="290"/>
      <c r="AS341" s="290"/>
      <c r="AT341" s="290"/>
      <c r="AU341" s="290"/>
      <c r="AV341" s="290"/>
      <c r="AW341" s="290"/>
      <c r="AX341" s="290"/>
      <c r="AY341" s="290"/>
      <c r="AZ341" s="290"/>
      <c r="BA341" s="290"/>
      <c r="BB341" s="290"/>
      <c r="BC341" s="290"/>
      <c r="BD341" s="290"/>
      <c r="BE341" s="290"/>
      <c r="BF341" s="290"/>
      <c r="BG341" s="290"/>
      <c r="BH341" s="290"/>
      <c r="BI341" s="290"/>
      <c r="BJ341" s="290"/>
      <c r="BK341" s="290"/>
      <c r="BL341" s="290"/>
      <c r="BM341" s="290"/>
      <c r="BN341" s="290"/>
      <c r="BO341" s="290"/>
      <c r="BP341" s="290"/>
      <c r="BQ341" s="290"/>
      <c r="BR341" s="290"/>
      <c r="BS341" s="290"/>
      <c r="BT341" s="290"/>
      <c r="BU341" s="290"/>
      <c r="BV341" s="290"/>
      <c r="BW341" s="290"/>
      <c r="BX341" s="290"/>
      <c r="BY341" s="290"/>
      <c r="BZ341" s="290"/>
      <c r="CA341" s="290"/>
      <c r="CB341" s="290"/>
      <c r="CC341" s="290"/>
      <c r="CD341" s="290"/>
      <c r="CE341" s="290"/>
      <c r="CF341" s="290"/>
      <c r="CG341" s="290"/>
      <c r="CH341" s="290"/>
      <c r="CI341" s="290"/>
      <c r="CJ341" s="290"/>
      <c r="CK341" s="290"/>
      <c r="CL341" s="290"/>
      <c r="CM341" s="290"/>
      <c r="CN341" s="290"/>
      <c r="CO341" s="290"/>
      <c r="CP341" s="290"/>
      <c r="CQ341" s="290"/>
      <c r="CR341" s="290"/>
      <c r="CS341" s="290"/>
      <c r="CT341" s="290"/>
      <c r="CU341" s="290"/>
      <c r="CV341" s="290"/>
      <c r="CW341" s="290"/>
      <c r="CX341" s="290"/>
      <c r="CY341" s="290"/>
      <c r="CZ341" s="290"/>
      <c r="DA341" s="290"/>
      <c r="DB341" s="290"/>
      <c r="DC341" s="290"/>
      <c r="DD341" s="290"/>
      <c r="DE341" s="290"/>
      <c r="DF341" s="290"/>
      <c r="DG341" s="290"/>
      <c r="DH341" s="290"/>
      <c r="DI341" s="290"/>
      <c r="DJ341" s="290"/>
      <c r="DK341" s="290"/>
      <c r="DL341" s="290"/>
      <c r="DM341" s="290"/>
      <c r="DN341" s="290"/>
      <c r="DO341" s="290"/>
      <c r="DP341" s="290"/>
      <c r="DQ341" s="290"/>
      <c r="DR341" s="290"/>
      <c r="DS341" s="290"/>
      <c r="DT341" s="290"/>
      <c r="DU341" s="290"/>
      <c r="DV341" s="290"/>
      <c r="DW341" s="290"/>
      <c r="DX341" s="290"/>
      <c r="DY341" s="290"/>
      <c r="DZ341" s="290"/>
      <c r="EA341" s="290"/>
      <c r="EB341" s="290"/>
      <c r="EC341" s="290"/>
      <c r="ED341" s="290"/>
      <c r="EE341" s="290"/>
      <c r="EF341" s="290"/>
      <c r="EG341" s="290"/>
      <c r="EH341" s="290"/>
      <c r="EI341" s="290"/>
      <c r="EJ341" s="290"/>
      <c r="EK341" s="290"/>
      <c r="EL341" s="290"/>
      <c r="EM341" s="290"/>
      <c r="EN341" s="290"/>
      <c r="EO341" s="290"/>
      <c r="EP341" s="290"/>
      <c r="EQ341" s="290"/>
      <c r="ER341" s="290"/>
      <c r="ES341" s="290"/>
      <c r="ET341" s="290"/>
      <c r="EU341" s="290"/>
      <c r="EV341" s="290"/>
      <c r="EW341" s="290"/>
      <c r="EX341" s="290"/>
      <c r="EY341" s="290"/>
      <c r="EZ341" s="290"/>
      <c r="FA341" s="290"/>
      <c r="FB341" s="290"/>
      <c r="FC341" s="290"/>
      <c r="FD341" s="290"/>
      <c r="FE341" s="290"/>
      <c r="FF341" s="290"/>
      <c r="FG341" s="290"/>
      <c r="FH341" s="290"/>
      <c r="FI341" s="290"/>
      <c r="FJ341" s="290"/>
      <c r="FK341" s="290"/>
      <c r="FL341" s="290"/>
      <c r="FM341" s="290"/>
      <c r="FN341" s="290"/>
      <c r="FO341" s="290"/>
      <c r="FP341" s="290"/>
      <c r="FQ341" s="290"/>
      <c r="FR341" s="290"/>
      <c r="FS341" s="290"/>
      <c r="FT341" s="290"/>
      <c r="FU341" s="290"/>
      <c r="FV341" s="290"/>
      <c r="FW341" s="290"/>
      <c r="FX341" s="290"/>
      <c r="FY341" s="290"/>
      <c r="FZ341" s="290"/>
      <c r="GA341" s="290"/>
      <c r="GB341" s="290"/>
      <c r="GC341" s="290"/>
      <c r="GD341" s="290"/>
      <c r="GE341" s="290"/>
      <c r="GF341" s="290"/>
      <c r="GG341" s="290"/>
      <c r="GH341" s="290"/>
      <c r="GI341" s="290"/>
      <c r="GJ341" s="290"/>
      <c r="GK341" s="290"/>
      <c r="GL341" s="290"/>
      <c r="GM341" s="290"/>
      <c r="GN341" s="290"/>
      <c r="GO341" s="290"/>
      <c r="GP341" s="290"/>
      <c r="GQ341" s="290"/>
      <c r="GR341" s="290"/>
      <c r="GS341" s="290"/>
      <c r="GT341" s="290"/>
      <c r="GU341" s="290"/>
      <c r="GV341" s="290"/>
      <c r="GW341" s="290"/>
      <c r="GX341" s="290"/>
      <c r="GY341" s="290"/>
      <c r="GZ341" s="290"/>
      <c r="HA341" s="290"/>
      <c r="HB341" s="290"/>
      <c r="HC341" s="290"/>
      <c r="HD341" s="290"/>
      <c r="HE341" s="290"/>
      <c r="HF341" s="290"/>
      <c r="HG341" s="290"/>
      <c r="HH341" s="290"/>
      <c r="HI341" s="290"/>
      <c r="HJ341" s="290"/>
      <c r="HK341" s="290"/>
      <c r="HL341" s="290"/>
      <c r="HM341" s="290"/>
      <c r="HN341" s="290"/>
      <c r="HO341" s="290"/>
      <c r="HP341" s="290"/>
      <c r="HQ341" s="290"/>
      <c r="HR341" s="290"/>
      <c r="HS341" s="290"/>
      <c r="HT341" s="290"/>
      <c r="HU341" s="290"/>
      <c r="HV341" s="290"/>
      <c r="HW341" s="290"/>
      <c r="HX341" s="290"/>
      <c r="HY341" s="290"/>
      <c r="HZ341" s="290"/>
      <c r="IA341" s="290"/>
      <c r="IB341" s="290"/>
      <c r="IC341" s="290"/>
      <c r="ID341" s="290"/>
      <c r="IE341" s="290"/>
      <c r="IF341" s="290"/>
      <c r="IG341" s="290"/>
      <c r="IH341" s="290"/>
      <c r="II341" s="290"/>
      <c r="IJ341" s="290"/>
      <c r="IK341" s="290"/>
      <c r="IL341" s="290"/>
      <c r="IM341" s="290"/>
      <c r="IN341" s="290"/>
      <c r="IO341" s="290"/>
      <c r="IP341" s="290"/>
      <c r="IQ341" s="290"/>
    </row>
    <row r="342" spans="1:251" x14ac:dyDescent="0.3">
      <c r="A342" s="270"/>
      <c r="B342" s="273"/>
      <c r="C342" s="276"/>
      <c r="D342" s="267"/>
      <c r="E342" s="267"/>
      <c r="F342" s="113" t="s">
        <v>238</v>
      </c>
      <c r="G342" s="288"/>
      <c r="H342" s="289"/>
      <c r="I342" s="290"/>
      <c r="J342" s="290"/>
      <c r="K342" s="290"/>
      <c r="L342" s="290"/>
      <c r="M342" s="290"/>
      <c r="N342" s="290"/>
      <c r="O342" s="290"/>
      <c r="P342" s="290"/>
      <c r="Q342" s="290"/>
      <c r="R342" s="290"/>
      <c r="S342" s="290"/>
      <c r="T342" s="290"/>
      <c r="U342" s="290"/>
      <c r="V342" s="290"/>
      <c r="W342" s="290"/>
      <c r="X342" s="290"/>
      <c r="Y342" s="290"/>
      <c r="Z342" s="290"/>
      <c r="AA342" s="290"/>
      <c r="AB342" s="290"/>
      <c r="AC342" s="290"/>
      <c r="AD342" s="290"/>
      <c r="AE342" s="290"/>
      <c r="AF342" s="290"/>
      <c r="AG342" s="290"/>
      <c r="AH342" s="290"/>
      <c r="AI342" s="290"/>
      <c r="AJ342" s="290"/>
      <c r="AK342" s="290"/>
      <c r="AL342" s="290"/>
      <c r="AM342" s="290"/>
      <c r="AN342" s="290"/>
      <c r="AO342" s="290"/>
      <c r="AP342" s="290"/>
      <c r="AQ342" s="290"/>
      <c r="AR342" s="290"/>
      <c r="AS342" s="290"/>
      <c r="AT342" s="290"/>
      <c r="AU342" s="290"/>
      <c r="AV342" s="290"/>
      <c r="AW342" s="290"/>
      <c r="AX342" s="290"/>
      <c r="AY342" s="290"/>
      <c r="AZ342" s="290"/>
      <c r="BA342" s="290"/>
      <c r="BB342" s="290"/>
      <c r="BC342" s="290"/>
      <c r="BD342" s="290"/>
      <c r="BE342" s="290"/>
      <c r="BF342" s="290"/>
      <c r="BG342" s="290"/>
      <c r="BH342" s="290"/>
      <c r="BI342" s="290"/>
      <c r="BJ342" s="290"/>
      <c r="BK342" s="290"/>
      <c r="BL342" s="290"/>
      <c r="BM342" s="290"/>
      <c r="BN342" s="290"/>
      <c r="BO342" s="290"/>
      <c r="BP342" s="290"/>
      <c r="BQ342" s="290"/>
      <c r="BR342" s="290"/>
      <c r="BS342" s="290"/>
      <c r="BT342" s="290"/>
      <c r="BU342" s="290"/>
      <c r="BV342" s="290"/>
      <c r="BW342" s="290"/>
      <c r="BX342" s="290"/>
      <c r="BY342" s="290"/>
      <c r="BZ342" s="290"/>
      <c r="CA342" s="290"/>
      <c r="CB342" s="290"/>
      <c r="CC342" s="290"/>
      <c r="CD342" s="290"/>
      <c r="CE342" s="290"/>
      <c r="CF342" s="290"/>
      <c r="CG342" s="290"/>
      <c r="CH342" s="290"/>
      <c r="CI342" s="290"/>
      <c r="CJ342" s="290"/>
      <c r="CK342" s="290"/>
      <c r="CL342" s="290"/>
      <c r="CM342" s="290"/>
      <c r="CN342" s="290"/>
      <c r="CO342" s="290"/>
      <c r="CP342" s="290"/>
      <c r="CQ342" s="290"/>
      <c r="CR342" s="290"/>
      <c r="CS342" s="290"/>
      <c r="CT342" s="290"/>
      <c r="CU342" s="290"/>
      <c r="CV342" s="290"/>
      <c r="CW342" s="290"/>
      <c r="CX342" s="290"/>
      <c r="CY342" s="290"/>
      <c r="CZ342" s="290"/>
      <c r="DA342" s="290"/>
      <c r="DB342" s="290"/>
      <c r="DC342" s="290"/>
      <c r="DD342" s="290"/>
      <c r="DE342" s="290"/>
      <c r="DF342" s="290"/>
      <c r="DG342" s="290"/>
      <c r="DH342" s="290"/>
      <c r="DI342" s="290"/>
      <c r="DJ342" s="290"/>
      <c r="DK342" s="290"/>
      <c r="DL342" s="290"/>
      <c r="DM342" s="290"/>
      <c r="DN342" s="290"/>
      <c r="DO342" s="290"/>
      <c r="DP342" s="290"/>
      <c r="DQ342" s="290"/>
      <c r="DR342" s="290"/>
      <c r="DS342" s="290"/>
      <c r="DT342" s="290"/>
      <c r="DU342" s="290"/>
      <c r="DV342" s="290"/>
      <c r="DW342" s="290"/>
      <c r="DX342" s="290"/>
      <c r="DY342" s="290"/>
      <c r="DZ342" s="290"/>
      <c r="EA342" s="290"/>
      <c r="EB342" s="290"/>
      <c r="EC342" s="290"/>
      <c r="ED342" s="290"/>
      <c r="EE342" s="290"/>
      <c r="EF342" s="290"/>
      <c r="EG342" s="290"/>
      <c r="EH342" s="290"/>
      <c r="EI342" s="290"/>
      <c r="EJ342" s="290"/>
      <c r="EK342" s="290"/>
      <c r="EL342" s="290"/>
      <c r="EM342" s="290"/>
      <c r="EN342" s="290"/>
      <c r="EO342" s="290"/>
      <c r="EP342" s="290"/>
      <c r="EQ342" s="290"/>
      <c r="ER342" s="290"/>
      <c r="ES342" s="290"/>
      <c r="ET342" s="290"/>
      <c r="EU342" s="290"/>
      <c r="EV342" s="290"/>
      <c r="EW342" s="290"/>
      <c r="EX342" s="290"/>
      <c r="EY342" s="290"/>
      <c r="EZ342" s="290"/>
      <c r="FA342" s="290"/>
      <c r="FB342" s="290"/>
      <c r="FC342" s="290"/>
      <c r="FD342" s="290"/>
      <c r="FE342" s="290"/>
      <c r="FF342" s="290"/>
      <c r="FG342" s="290"/>
      <c r="FH342" s="290"/>
      <c r="FI342" s="290"/>
      <c r="FJ342" s="290"/>
      <c r="FK342" s="290"/>
      <c r="FL342" s="290"/>
      <c r="FM342" s="290"/>
      <c r="FN342" s="290"/>
      <c r="FO342" s="290"/>
      <c r="FP342" s="290"/>
      <c r="FQ342" s="290"/>
      <c r="FR342" s="290"/>
      <c r="FS342" s="290"/>
      <c r="FT342" s="290"/>
      <c r="FU342" s="290"/>
      <c r="FV342" s="290"/>
      <c r="FW342" s="290"/>
      <c r="FX342" s="290"/>
      <c r="FY342" s="290"/>
      <c r="FZ342" s="290"/>
      <c r="GA342" s="290"/>
      <c r="GB342" s="290"/>
      <c r="GC342" s="290"/>
      <c r="GD342" s="290"/>
      <c r="GE342" s="290"/>
      <c r="GF342" s="290"/>
      <c r="GG342" s="290"/>
      <c r="GH342" s="290"/>
      <c r="GI342" s="290"/>
      <c r="GJ342" s="290"/>
      <c r="GK342" s="290"/>
      <c r="GL342" s="290"/>
      <c r="GM342" s="290"/>
      <c r="GN342" s="290"/>
      <c r="GO342" s="290"/>
      <c r="GP342" s="290"/>
      <c r="GQ342" s="290"/>
      <c r="GR342" s="290"/>
      <c r="GS342" s="290"/>
      <c r="GT342" s="290"/>
      <c r="GU342" s="290"/>
      <c r="GV342" s="290"/>
      <c r="GW342" s="290"/>
      <c r="GX342" s="290"/>
      <c r="GY342" s="290"/>
      <c r="GZ342" s="290"/>
      <c r="HA342" s="290"/>
      <c r="HB342" s="290"/>
      <c r="HC342" s="290"/>
      <c r="HD342" s="290"/>
      <c r="HE342" s="290"/>
      <c r="HF342" s="290"/>
      <c r="HG342" s="290"/>
      <c r="HH342" s="290"/>
      <c r="HI342" s="290"/>
      <c r="HJ342" s="290"/>
      <c r="HK342" s="290"/>
      <c r="HL342" s="290"/>
      <c r="HM342" s="290"/>
      <c r="HN342" s="290"/>
      <c r="HO342" s="290"/>
      <c r="HP342" s="290"/>
      <c r="HQ342" s="290"/>
      <c r="HR342" s="290"/>
      <c r="HS342" s="290"/>
      <c r="HT342" s="290"/>
      <c r="HU342" s="290"/>
      <c r="HV342" s="290"/>
      <c r="HW342" s="290"/>
      <c r="HX342" s="290"/>
      <c r="HY342" s="290"/>
      <c r="HZ342" s="290"/>
      <c r="IA342" s="290"/>
      <c r="IB342" s="290"/>
      <c r="IC342" s="290"/>
      <c r="ID342" s="290"/>
      <c r="IE342" s="290"/>
      <c r="IF342" s="290"/>
      <c r="IG342" s="290"/>
      <c r="IH342" s="290"/>
      <c r="II342" s="290"/>
      <c r="IJ342" s="290"/>
      <c r="IK342" s="290"/>
      <c r="IL342" s="290"/>
      <c r="IM342" s="290"/>
      <c r="IN342" s="290"/>
      <c r="IO342" s="290"/>
      <c r="IP342" s="290"/>
      <c r="IQ342" s="290"/>
    </row>
    <row r="343" spans="1:251" ht="39" x14ac:dyDescent="0.3">
      <c r="A343" s="239" t="s">
        <v>272</v>
      </c>
      <c r="B343" s="21" t="s">
        <v>1852</v>
      </c>
      <c r="C343" s="129" t="s">
        <v>49</v>
      </c>
      <c r="D343" s="166" t="s">
        <v>37</v>
      </c>
      <c r="E343" s="166" t="s">
        <v>38</v>
      </c>
      <c r="F343" s="100" t="s">
        <v>1854</v>
      </c>
      <c r="G343" s="183"/>
      <c r="H343" s="183"/>
      <c r="I343" s="183"/>
      <c r="J343" s="183"/>
      <c r="K343" s="183"/>
      <c r="L343" s="183"/>
      <c r="M343" s="183"/>
      <c r="N343" s="183"/>
      <c r="O343" s="183"/>
      <c r="P343" s="183"/>
      <c r="Q343" s="183"/>
      <c r="R343" s="183"/>
      <c r="S343" s="183"/>
      <c r="T343" s="183"/>
      <c r="U343" s="183"/>
      <c r="V343" s="183"/>
      <c r="W343" s="183"/>
      <c r="X343" s="183"/>
      <c r="Y343" s="183"/>
      <c r="Z343" s="183"/>
      <c r="AA343" s="183"/>
      <c r="AB343" s="183"/>
      <c r="AC343" s="183"/>
      <c r="AD343" s="183"/>
      <c r="AE343" s="183"/>
      <c r="AF343" s="183"/>
      <c r="AG343" s="183"/>
      <c r="AH343" s="183"/>
      <c r="AI343" s="183"/>
      <c r="AJ343" s="183"/>
      <c r="AK343" s="183"/>
      <c r="AL343" s="183"/>
      <c r="AM343" s="183"/>
      <c r="AN343" s="183"/>
      <c r="AO343" s="183"/>
      <c r="AP343" s="183"/>
      <c r="AQ343" s="183"/>
      <c r="AR343" s="183"/>
      <c r="AS343" s="183"/>
      <c r="AT343" s="183"/>
      <c r="AU343" s="183"/>
      <c r="AV343" s="183"/>
      <c r="AW343" s="183"/>
      <c r="AX343" s="183"/>
      <c r="AY343" s="183"/>
      <c r="AZ343" s="183"/>
      <c r="BA343" s="183"/>
      <c r="BB343" s="183"/>
      <c r="BC343" s="183"/>
      <c r="BD343" s="183"/>
      <c r="BE343" s="183"/>
      <c r="BF343" s="183"/>
      <c r="BG343" s="183"/>
      <c r="BH343" s="183"/>
      <c r="BI343" s="183"/>
      <c r="BJ343" s="183"/>
      <c r="BK343" s="183"/>
      <c r="BL343" s="183"/>
      <c r="BM343" s="183"/>
      <c r="BN343" s="183"/>
      <c r="BO343" s="183"/>
      <c r="BP343" s="183"/>
      <c r="BQ343" s="183"/>
      <c r="BR343" s="183"/>
      <c r="BS343" s="183"/>
      <c r="BT343" s="183"/>
      <c r="BU343" s="183"/>
      <c r="BV343" s="183"/>
      <c r="BW343" s="183"/>
      <c r="BX343" s="183"/>
      <c r="BY343" s="183"/>
      <c r="BZ343" s="183"/>
      <c r="CA343" s="183"/>
      <c r="CB343" s="183"/>
      <c r="CC343" s="183"/>
      <c r="CD343" s="183"/>
      <c r="CE343" s="183"/>
      <c r="CF343" s="183"/>
      <c r="CG343" s="183"/>
      <c r="CH343" s="183"/>
      <c r="CI343" s="183"/>
      <c r="CJ343" s="183"/>
      <c r="CK343" s="183"/>
      <c r="CL343" s="183"/>
      <c r="CM343" s="183"/>
      <c r="CN343" s="183"/>
      <c r="CO343" s="183"/>
      <c r="CP343" s="183"/>
      <c r="CQ343" s="183"/>
      <c r="CR343" s="183"/>
      <c r="CS343" s="183"/>
      <c r="CT343" s="183"/>
      <c r="CU343" s="183"/>
      <c r="CV343" s="183"/>
      <c r="CW343" s="183"/>
      <c r="CX343" s="183"/>
      <c r="CY343" s="183"/>
      <c r="CZ343" s="183"/>
      <c r="DA343" s="183"/>
      <c r="DB343" s="183"/>
      <c r="DC343" s="183"/>
      <c r="DD343" s="183"/>
      <c r="DE343" s="183"/>
      <c r="DF343" s="183"/>
      <c r="DG343" s="183"/>
      <c r="DH343" s="183"/>
      <c r="DI343" s="183"/>
      <c r="DJ343" s="183"/>
      <c r="DK343" s="183"/>
      <c r="DL343" s="183"/>
      <c r="DM343" s="183"/>
      <c r="DN343" s="183"/>
      <c r="DO343" s="183"/>
      <c r="DP343" s="183"/>
      <c r="DQ343" s="183"/>
      <c r="DR343" s="183"/>
      <c r="DS343" s="183"/>
      <c r="DT343" s="183"/>
      <c r="DU343" s="183"/>
      <c r="DV343" s="183"/>
      <c r="DW343" s="183"/>
      <c r="DX343" s="183"/>
      <c r="DY343" s="183"/>
      <c r="DZ343" s="183"/>
      <c r="EA343" s="183"/>
      <c r="EB343" s="183"/>
      <c r="EC343" s="183"/>
      <c r="ED343" s="183"/>
      <c r="EE343" s="183"/>
      <c r="EF343" s="183"/>
      <c r="EG343" s="183"/>
      <c r="EH343" s="183"/>
      <c r="EI343" s="183"/>
      <c r="EJ343" s="183"/>
      <c r="EK343" s="183"/>
      <c r="EL343" s="183"/>
      <c r="EM343" s="183"/>
      <c r="EN343" s="183"/>
      <c r="EO343" s="183"/>
      <c r="EP343" s="183"/>
      <c r="EQ343" s="183"/>
      <c r="ER343" s="183"/>
      <c r="ES343" s="183"/>
      <c r="ET343" s="183"/>
      <c r="EU343" s="183"/>
      <c r="EV343" s="183"/>
      <c r="EW343" s="183"/>
      <c r="EX343" s="183"/>
      <c r="EY343" s="183"/>
      <c r="EZ343" s="183"/>
      <c r="FA343" s="183"/>
      <c r="FB343" s="183"/>
      <c r="FC343" s="183"/>
      <c r="FD343" s="183"/>
      <c r="FE343" s="183"/>
      <c r="FF343" s="183"/>
      <c r="FG343" s="183"/>
      <c r="FH343" s="183"/>
      <c r="FI343" s="183"/>
      <c r="FJ343" s="183"/>
      <c r="FK343" s="183"/>
      <c r="FL343" s="183"/>
      <c r="FM343" s="183"/>
      <c r="FN343" s="183"/>
      <c r="FO343" s="183"/>
      <c r="FP343" s="183"/>
      <c r="FQ343" s="183"/>
      <c r="FR343" s="183"/>
      <c r="FS343" s="183"/>
      <c r="FT343" s="183"/>
      <c r="FU343" s="183"/>
      <c r="FV343" s="183"/>
      <c r="FW343" s="183"/>
      <c r="FX343" s="183"/>
      <c r="FY343" s="183"/>
      <c r="FZ343" s="183"/>
      <c r="GA343" s="183"/>
      <c r="GB343" s="183"/>
      <c r="GC343" s="183"/>
      <c r="GD343" s="183"/>
      <c r="GE343" s="183"/>
      <c r="GF343" s="183"/>
      <c r="GG343" s="183"/>
      <c r="GH343" s="183"/>
      <c r="GI343" s="183"/>
      <c r="GJ343" s="183"/>
      <c r="GK343" s="183"/>
      <c r="GL343" s="183"/>
      <c r="GM343" s="183"/>
      <c r="GN343" s="183"/>
      <c r="GO343" s="183"/>
      <c r="GP343" s="183"/>
      <c r="GQ343" s="183"/>
      <c r="GR343" s="183"/>
      <c r="GS343" s="183"/>
      <c r="GT343" s="183"/>
      <c r="GU343" s="183"/>
      <c r="GV343" s="183"/>
      <c r="GW343" s="183"/>
      <c r="GX343" s="183"/>
      <c r="GY343" s="183"/>
      <c r="GZ343" s="183"/>
      <c r="HA343" s="183"/>
      <c r="HB343" s="183"/>
      <c r="HC343" s="183"/>
      <c r="HD343" s="183"/>
      <c r="HE343" s="183"/>
      <c r="HF343" s="183"/>
      <c r="HG343" s="183"/>
      <c r="HH343" s="183"/>
      <c r="HI343" s="183"/>
      <c r="HJ343" s="183"/>
      <c r="HK343" s="183"/>
      <c r="HL343" s="183"/>
      <c r="HM343" s="183"/>
      <c r="HN343" s="183"/>
      <c r="HO343" s="183"/>
      <c r="HP343" s="183"/>
      <c r="HQ343" s="183"/>
      <c r="HR343" s="183"/>
      <c r="HS343" s="183"/>
      <c r="HT343" s="183"/>
      <c r="HU343" s="183"/>
      <c r="HV343" s="183"/>
      <c r="HW343" s="183"/>
      <c r="HX343" s="183"/>
      <c r="HY343" s="183"/>
      <c r="HZ343" s="183"/>
      <c r="IA343" s="183"/>
      <c r="IB343" s="183"/>
      <c r="IC343" s="183"/>
      <c r="ID343" s="183"/>
      <c r="IE343" s="183"/>
      <c r="IF343" s="183"/>
      <c r="IG343" s="183"/>
      <c r="IH343" s="183"/>
      <c r="II343" s="183"/>
      <c r="IJ343" s="183"/>
      <c r="IK343" s="183"/>
      <c r="IL343" s="183"/>
      <c r="IM343" s="183"/>
      <c r="IN343" s="183"/>
      <c r="IO343" s="183"/>
      <c r="IP343" s="183"/>
      <c r="IQ343" s="183"/>
    </row>
    <row r="344" spans="1:251" ht="39" x14ac:dyDescent="0.3">
      <c r="A344" s="83" t="s">
        <v>184</v>
      </c>
      <c r="B344" s="196" t="s">
        <v>273</v>
      </c>
      <c r="C344" s="191" t="s">
        <v>30</v>
      </c>
      <c r="D344" s="192" t="s">
        <v>31</v>
      </c>
      <c r="E344" s="192" t="s">
        <v>32</v>
      </c>
      <c r="F344" s="114" t="s">
        <v>33</v>
      </c>
    </row>
    <row r="345" spans="1:251" x14ac:dyDescent="0.3">
      <c r="A345" s="268" t="s">
        <v>1865</v>
      </c>
      <c r="B345" s="271" t="s">
        <v>46</v>
      </c>
      <c r="C345" s="274" t="s">
        <v>36</v>
      </c>
      <c r="D345" s="265" t="s">
        <v>37</v>
      </c>
      <c r="E345" s="265" t="s">
        <v>38</v>
      </c>
      <c r="F345" s="108" t="s">
        <v>233</v>
      </c>
    </row>
    <row r="346" spans="1:251" x14ac:dyDescent="0.3">
      <c r="A346" s="269"/>
      <c r="B346" s="272"/>
      <c r="C346" s="275"/>
      <c r="D346" s="266"/>
      <c r="E346" s="266"/>
      <c r="F346" s="109" t="s">
        <v>234</v>
      </c>
    </row>
    <row r="347" spans="1:251" x14ac:dyDescent="0.3">
      <c r="A347" s="270"/>
      <c r="B347" s="273"/>
      <c r="C347" s="276"/>
      <c r="D347" s="267"/>
      <c r="E347" s="267"/>
      <c r="F347" s="110" t="s">
        <v>235</v>
      </c>
    </row>
    <row r="348" spans="1:251" x14ac:dyDescent="0.3">
      <c r="A348" s="268" t="s">
        <v>1865</v>
      </c>
      <c r="B348" s="271" t="s">
        <v>48</v>
      </c>
      <c r="C348" s="274" t="s">
        <v>49</v>
      </c>
      <c r="D348" s="265" t="s">
        <v>37</v>
      </c>
      <c r="E348" s="265" t="s">
        <v>38</v>
      </c>
      <c r="F348" s="111" t="s">
        <v>236</v>
      </c>
    </row>
    <row r="349" spans="1:251" x14ac:dyDescent="0.3">
      <c r="A349" s="269"/>
      <c r="B349" s="272"/>
      <c r="C349" s="275"/>
      <c r="D349" s="266"/>
      <c r="E349" s="266"/>
      <c r="F349" s="112" t="s">
        <v>237</v>
      </c>
    </row>
    <row r="350" spans="1:251" x14ac:dyDescent="0.3">
      <c r="A350" s="270"/>
      <c r="B350" s="273"/>
      <c r="C350" s="276"/>
      <c r="D350" s="267"/>
      <c r="E350" s="267"/>
      <c r="F350" s="113" t="s">
        <v>238</v>
      </c>
    </row>
    <row r="351" spans="1:251" ht="39" x14ac:dyDescent="0.3">
      <c r="A351" s="239" t="s">
        <v>1865</v>
      </c>
      <c r="B351" s="21" t="s">
        <v>1852</v>
      </c>
      <c r="C351" s="129" t="s">
        <v>49</v>
      </c>
      <c r="D351" s="166" t="s">
        <v>37</v>
      </c>
      <c r="E351" s="166" t="s">
        <v>38</v>
      </c>
      <c r="F351" s="100" t="s">
        <v>1854</v>
      </c>
    </row>
    <row r="352" spans="1:251" ht="39" x14ac:dyDescent="0.3">
      <c r="A352" s="83" t="s">
        <v>1703</v>
      </c>
      <c r="B352" s="196" t="s">
        <v>274</v>
      </c>
      <c r="C352" s="191" t="s">
        <v>30</v>
      </c>
      <c r="D352" s="192" t="s">
        <v>31</v>
      </c>
      <c r="E352" s="192" t="s">
        <v>32</v>
      </c>
      <c r="F352" s="114" t="s">
        <v>33</v>
      </c>
      <c r="G352" s="191" t="s">
        <v>5</v>
      </c>
      <c r="H352" s="199"/>
      <c r="I352" s="183"/>
      <c r="J352" s="183"/>
      <c r="K352" s="183"/>
      <c r="L352" s="183"/>
      <c r="M352" s="183"/>
      <c r="N352" s="183"/>
      <c r="O352" s="183"/>
      <c r="P352" s="183"/>
      <c r="Q352" s="183"/>
      <c r="R352" s="183"/>
      <c r="S352" s="183"/>
      <c r="T352" s="183"/>
      <c r="U352" s="183"/>
      <c r="V352" s="183"/>
      <c r="W352" s="183"/>
      <c r="X352" s="183"/>
      <c r="Y352" s="183"/>
      <c r="Z352" s="183"/>
      <c r="AA352" s="183"/>
      <c r="AB352" s="183"/>
      <c r="AC352" s="183"/>
      <c r="AD352" s="183"/>
      <c r="AE352" s="183"/>
      <c r="AF352" s="183"/>
      <c r="AG352" s="183"/>
      <c r="AH352" s="183"/>
      <c r="AI352" s="183"/>
      <c r="AJ352" s="183"/>
      <c r="AK352" s="183"/>
      <c r="AL352" s="183"/>
      <c r="AM352" s="183"/>
      <c r="AN352" s="183"/>
      <c r="AO352" s="183"/>
      <c r="AP352" s="183"/>
      <c r="AQ352" s="183"/>
      <c r="AR352" s="183"/>
      <c r="AS352" s="183"/>
      <c r="AT352" s="183"/>
      <c r="AU352" s="183"/>
      <c r="AV352" s="183"/>
      <c r="AW352" s="183"/>
      <c r="AX352" s="183"/>
      <c r="AY352" s="183"/>
      <c r="AZ352" s="183"/>
      <c r="BA352" s="183"/>
      <c r="BB352" s="183"/>
      <c r="BC352" s="183"/>
      <c r="BD352" s="183"/>
      <c r="BE352" s="183"/>
      <c r="BF352" s="183"/>
      <c r="BG352" s="183"/>
      <c r="BH352" s="183"/>
      <c r="BI352" s="183"/>
      <c r="BJ352" s="183"/>
      <c r="BK352" s="183"/>
      <c r="BL352" s="183"/>
      <c r="BM352" s="183"/>
      <c r="BN352" s="183"/>
      <c r="BO352" s="183"/>
      <c r="BP352" s="183"/>
      <c r="BQ352" s="183"/>
      <c r="BR352" s="183"/>
      <c r="BS352" s="183"/>
      <c r="BT352" s="183"/>
      <c r="BU352" s="183"/>
      <c r="BV352" s="183"/>
      <c r="BW352" s="183"/>
      <c r="BX352" s="183"/>
      <c r="BY352" s="183"/>
      <c r="BZ352" s="183"/>
      <c r="CA352" s="183"/>
      <c r="CB352" s="183"/>
      <c r="CC352" s="183"/>
      <c r="CD352" s="183"/>
      <c r="CE352" s="183"/>
      <c r="CF352" s="183"/>
      <c r="CG352" s="183"/>
      <c r="CH352" s="183"/>
      <c r="CI352" s="183"/>
      <c r="CJ352" s="183"/>
      <c r="CK352" s="183"/>
      <c r="CL352" s="183"/>
      <c r="CM352" s="183"/>
      <c r="CN352" s="183"/>
      <c r="CO352" s="183"/>
      <c r="CP352" s="183"/>
      <c r="CQ352" s="183"/>
      <c r="CR352" s="183"/>
      <c r="CS352" s="183"/>
      <c r="CT352" s="183"/>
      <c r="CU352" s="183"/>
      <c r="CV352" s="183"/>
      <c r="CW352" s="183"/>
      <c r="CX352" s="183"/>
      <c r="CY352" s="183"/>
      <c r="CZ352" s="183"/>
      <c r="DA352" s="183"/>
      <c r="DB352" s="183"/>
      <c r="DC352" s="183"/>
      <c r="DD352" s="183"/>
      <c r="DE352" s="183"/>
      <c r="DF352" s="183"/>
      <c r="DG352" s="183"/>
      <c r="DH352" s="183"/>
      <c r="DI352" s="183"/>
      <c r="DJ352" s="183"/>
      <c r="DK352" s="183"/>
      <c r="DL352" s="183"/>
      <c r="DM352" s="183"/>
      <c r="DN352" s="183"/>
      <c r="DO352" s="183"/>
      <c r="DP352" s="183"/>
      <c r="DQ352" s="183"/>
      <c r="DR352" s="183"/>
      <c r="DS352" s="183"/>
      <c r="DT352" s="183"/>
      <c r="DU352" s="183"/>
      <c r="DV352" s="183"/>
      <c r="DW352" s="183"/>
      <c r="DX352" s="183"/>
      <c r="DY352" s="183"/>
      <c r="DZ352" s="183"/>
      <c r="EA352" s="183"/>
      <c r="EB352" s="183"/>
      <c r="EC352" s="183"/>
      <c r="ED352" s="183"/>
      <c r="EE352" s="183"/>
      <c r="EF352" s="183"/>
      <c r="EG352" s="183"/>
      <c r="EH352" s="183"/>
      <c r="EI352" s="183"/>
      <c r="EJ352" s="183"/>
      <c r="EK352" s="183"/>
      <c r="EL352" s="183"/>
      <c r="EM352" s="183"/>
      <c r="EN352" s="183"/>
      <c r="EO352" s="183"/>
      <c r="EP352" s="183"/>
      <c r="EQ352" s="183"/>
      <c r="ER352" s="183"/>
      <c r="ES352" s="183"/>
      <c r="ET352" s="183"/>
      <c r="EU352" s="183"/>
      <c r="EV352" s="183"/>
      <c r="EW352" s="183"/>
      <c r="EX352" s="183"/>
      <c r="EY352" s="183"/>
      <c r="EZ352" s="183"/>
      <c r="FA352" s="183"/>
      <c r="FB352" s="183"/>
      <c r="FC352" s="183"/>
      <c r="FD352" s="183"/>
      <c r="FE352" s="183"/>
      <c r="FF352" s="183"/>
      <c r="FG352" s="183"/>
      <c r="FH352" s="183"/>
      <c r="FI352" s="183"/>
      <c r="FJ352" s="183"/>
      <c r="FK352" s="183"/>
      <c r="FL352" s="183"/>
      <c r="FM352" s="183"/>
      <c r="FN352" s="183"/>
      <c r="FO352" s="183"/>
      <c r="FP352" s="183"/>
      <c r="FQ352" s="183"/>
      <c r="FR352" s="183"/>
      <c r="FS352" s="183"/>
      <c r="FT352" s="183"/>
      <c r="FU352" s="183"/>
      <c r="FV352" s="183"/>
      <c r="FW352" s="183"/>
      <c r="FX352" s="183"/>
      <c r="FY352" s="183"/>
      <c r="FZ352" s="183"/>
      <c r="GA352" s="183"/>
      <c r="GB352" s="183"/>
      <c r="GC352" s="183"/>
      <c r="GD352" s="183"/>
      <c r="GE352" s="183"/>
      <c r="GF352" s="183"/>
      <c r="GG352" s="183"/>
      <c r="GH352" s="183"/>
      <c r="GI352" s="183"/>
      <c r="GJ352" s="183"/>
      <c r="GK352" s="183"/>
      <c r="GL352" s="183"/>
      <c r="GM352" s="183"/>
      <c r="GN352" s="183"/>
      <c r="GO352" s="183"/>
      <c r="GP352" s="183"/>
      <c r="GQ352" s="183"/>
      <c r="GR352" s="183"/>
      <c r="GS352" s="183"/>
      <c r="GT352" s="183"/>
      <c r="GU352" s="183"/>
      <c r="GV352" s="183"/>
      <c r="GW352" s="183"/>
      <c r="GX352" s="183"/>
      <c r="GY352" s="183"/>
      <c r="GZ352" s="183"/>
      <c r="HA352" s="183"/>
      <c r="HB352" s="183"/>
      <c r="HC352" s="183"/>
      <c r="HD352" s="183"/>
      <c r="HE352" s="183"/>
      <c r="HF352" s="183"/>
      <c r="HG352" s="183"/>
      <c r="HH352" s="183"/>
      <c r="HI352" s="183"/>
      <c r="HJ352" s="183"/>
      <c r="HK352" s="183"/>
      <c r="HL352" s="183"/>
      <c r="HM352" s="183"/>
      <c r="HN352" s="183"/>
      <c r="HO352" s="183"/>
      <c r="HP352" s="183"/>
      <c r="HQ352" s="183"/>
      <c r="HR352" s="183"/>
      <c r="HS352" s="183"/>
      <c r="HT352" s="183"/>
      <c r="HU352" s="183"/>
      <c r="HV352" s="183"/>
      <c r="HW352" s="183"/>
      <c r="HX352" s="183"/>
      <c r="HY352" s="183"/>
      <c r="HZ352" s="183"/>
      <c r="IA352" s="183"/>
      <c r="IB352" s="183"/>
      <c r="IC352" s="183"/>
      <c r="ID352" s="183"/>
      <c r="IE352" s="183"/>
      <c r="IF352" s="183"/>
      <c r="IG352" s="183"/>
      <c r="IH352" s="183"/>
      <c r="II352" s="183"/>
      <c r="IJ352" s="183"/>
      <c r="IK352" s="183"/>
      <c r="IL352" s="183"/>
      <c r="IM352" s="183"/>
      <c r="IN352" s="183"/>
      <c r="IO352" s="183"/>
      <c r="IP352" s="183"/>
      <c r="IQ352" s="183"/>
    </row>
    <row r="353" spans="1:251" x14ac:dyDescent="0.3">
      <c r="A353" s="268" t="s">
        <v>275</v>
      </c>
      <c r="B353" s="271" t="s">
        <v>46</v>
      </c>
      <c r="C353" s="274" t="s">
        <v>36</v>
      </c>
      <c r="D353" s="265" t="s">
        <v>37</v>
      </c>
      <c r="E353" s="265" t="s">
        <v>38</v>
      </c>
      <c r="F353" s="108" t="s">
        <v>233</v>
      </c>
      <c r="G353" s="286"/>
      <c r="H353" s="289"/>
      <c r="I353" s="290"/>
      <c r="J353" s="290"/>
      <c r="K353" s="290"/>
      <c r="L353" s="290"/>
      <c r="M353" s="290"/>
      <c r="N353" s="290"/>
      <c r="O353" s="290"/>
      <c r="P353" s="290"/>
      <c r="Q353" s="290"/>
      <c r="R353" s="290"/>
      <c r="S353" s="290"/>
      <c r="T353" s="290"/>
      <c r="U353" s="290"/>
      <c r="V353" s="290"/>
      <c r="W353" s="290"/>
      <c r="X353" s="290"/>
      <c r="Y353" s="290"/>
      <c r="Z353" s="290"/>
      <c r="AA353" s="290"/>
      <c r="AB353" s="290"/>
      <c r="AC353" s="290"/>
      <c r="AD353" s="290"/>
      <c r="AE353" s="290"/>
      <c r="AF353" s="290"/>
      <c r="AG353" s="290"/>
      <c r="AH353" s="290"/>
      <c r="AI353" s="290"/>
      <c r="AJ353" s="290"/>
      <c r="AK353" s="290"/>
      <c r="AL353" s="290"/>
      <c r="AM353" s="290"/>
      <c r="AN353" s="290"/>
      <c r="AO353" s="290"/>
      <c r="AP353" s="290"/>
      <c r="AQ353" s="290"/>
      <c r="AR353" s="290"/>
      <c r="AS353" s="290"/>
      <c r="AT353" s="290"/>
      <c r="AU353" s="290"/>
      <c r="AV353" s="290"/>
      <c r="AW353" s="290"/>
      <c r="AX353" s="290"/>
      <c r="AY353" s="290"/>
      <c r="AZ353" s="290"/>
      <c r="BA353" s="290"/>
      <c r="BB353" s="290"/>
      <c r="BC353" s="290"/>
      <c r="BD353" s="290"/>
      <c r="BE353" s="290"/>
      <c r="BF353" s="290"/>
      <c r="BG353" s="290"/>
      <c r="BH353" s="290"/>
      <c r="BI353" s="290"/>
      <c r="BJ353" s="290"/>
      <c r="BK353" s="290"/>
      <c r="BL353" s="290"/>
      <c r="BM353" s="290"/>
      <c r="BN353" s="290"/>
      <c r="BO353" s="290"/>
      <c r="BP353" s="290"/>
      <c r="BQ353" s="290"/>
      <c r="BR353" s="290"/>
      <c r="BS353" s="290"/>
      <c r="BT353" s="290"/>
      <c r="BU353" s="290"/>
      <c r="BV353" s="290"/>
      <c r="BW353" s="290"/>
      <c r="BX353" s="290"/>
      <c r="BY353" s="290"/>
      <c r="BZ353" s="290"/>
      <c r="CA353" s="290"/>
      <c r="CB353" s="290"/>
      <c r="CC353" s="290"/>
      <c r="CD353" s="290"/>
      <c r="CE353" s="290"/>
      <c r="CF353" s="290"/>
      <c r="CG353" s="290"/>
      <c r="CH353" s="290"/>
      <c r="CI353" s="290"/>
      <c r="CJ353" s="290"/>
      <c r="CK353" s="290"/>
      <c r="CL353" s="290"/>
      <c r="CM353" s="290"/>
      <c r="CN353" s="290"/>
      <c r="CO353" s="290"/>
      <c r="CP353" s="290"/>
      <c r="CQ353" s="290"/>
      <c r="CR353" s="290"/>
      <c r="CS353" s="290"/>
      <c r="CT353" s="290"/>
      <c r="CU353" s="290"/>
      <c r="CV353" s="290"/>
      <c r="CW353" s="290"/>
      <c r="CX353" s="290"/>
      <c r="CY353" s="290"/>
      <c r="CZ353" s="290"/>
      <c r="DA353" s="290"/>
      <c r="DB353" s="290"/>
      <c r="DC353" s="290"/>
      <c r="DD353" s="290"/>
      <c r="DE353" s="290"/>
      <c r="DF353" s="290"/>
      <c r="DG353" s="290"/>
      <c r="DH353" s="290"/>
      <c r="DI353" s="290"/>
      <c r="DJ353" s="290"/>
      <c r="DK353" s="290"/>
      <c r="DL353" s="290"/>
      <c r="DM353" s="290"/>
      <c r="DN353" s="290"/>
      <c r="DO353" s="290"/>
      <c r="DP353" s="290"/>
      <c r="DQ353" s="290"/>
      <c r="DR353" s="290"/>
      <c r="DS353" s="290"/>
      <c r="DT353" s="290"/>
      <c r="DU353" s="290"/>
      <c r="DV353" s="290"/>
      <c r="DW353" s="290"/>
      <c r="DX353" s="290"/>
      <c r="DY353" s="290"/>
      <c r="DZ353" s="290"/>
      <c r="EA353" s="290"/>
      <c r="EB353" s="290"/>
      <c r="EC353" s="290"/>
      <c r="ED353" s="290"/>
      <c r="EE353" s="290"/>
      <c r="EF353" s="290"/>
      <c r="EG353" s="290"/>
      <c r="EH353" s="290"/>
      <c r="EI353" s="290"/>
      <c r="EJ353" s="290"/>
      <c r="EK353" s="290"/>
      <c r="EL353" s="290"/>
      <c r="EM353" s="290"/>
      <c r="EN353" s="290"/>
      <c r="EO353" s="290"/>
      <c r="EP353" s="290"/>
      <c r="EQ353" s="290"/>
      <c r="ER353" s="290"/>
      <c r="ES353" s="290"/>
      <c r="ET353" s="290"/>
      <c r="EU353" s="290"/>
      <c r="EV353" s="290"/>
      <c r="EW353" s="290"/>
      <c r="EX353" s="290"/>
      <c r="EY353" s="290"/>
      <c r="EZ353" s="290"/>
      <c r="FA353" s="290"/>
      <c r="FB353" s="290"/>
      <c r="FC353" s="290"/>
      <c r="FD353" s="290"/>
      <c r="FE353" s="290"/>
      <c r="FF353" s="290"/>
      <c r="FG353" s="290"/>
      <c r="FH353" s="290"/>
      <c r="FI353" s="290"/>
      <c r="FJ353" s="290"/>
      <c r="FK353" s="290"/>
      <c r="FL353" s="290"/>
      <c r="FM353" s="290"/>
      <c r="FN353" s="290"/>
      <c r="FO353" s="290"/>
      <c r="FP353" s="290"/>
      <c r="FQ353" s="290"/>
      <c r="FR353" s="290"/>
      <c r="FS353" s="290"/>
      <c r="FT353" s="290"/>
      <c r="FU353" s="290"/>
      <c r="FV353" s="290"/>
      <c r="FW353" s="290"/>
      <c r="FX353" s="290"/>
      <c r="FY353" s="290"/>
      <c r="FZ353" s="290"/>
      <c r="GA353" s="290"/>
      <c r="GB353" s="290"/>
      <c r="GC353" s="290"/>
      <c r="GD353" s="290"/>
      <c r="GE353" s="290"/>
      <c r="GF353" s="290"/>
      <c r="GG353" s="290"/>
      <c r="GH353" s="290"/>
      <c r="GI353" s="290"/>
      <c r="GJ353" s="290"/>
      <c r="GK353" s="290"/>
      <c r="GL353" s="290"/>
      <c r="GM353" s="290"/>
      <c r="GN353" s="290"/>
      <c r="GO353" s="290"/>
      <c r="GP353" s="290"/>
      <c r="GQ353" s="290"/>
      <c r="GR353" s="290"/>
      <c r="GS353" s="290"/>
      <c r="GT353" s="290"/>
      <c r="GU353" s="290"/>
      <c r="GV353" s="290"/>
      <c r="GW353" s="290"/>
      <c r="GX353" s="290"/>
      <c r="GY353" s="290"/>
      <c r="GZ353" s="290"/>
      <c r="HA353" s="290"/>
      <c r="HB353" s="290"/>
      <c r="HC353" s="290"/>
      <c r="HD353" s="290"/>
      <c r="HE353" s="290"/>
      <c r="HF353" s="290"/>
      <c r="HG353" s="290"/>
      <c r="HH353" s="290"/>
      <c r="HI353" s="290"/>
      <c r="HJ353" s="290"/>
      <c r="HK353" s="290"/>
      <c r="HL353" s="290"/>
      <c r="HM353" s="290"/>
      <c r="HN353" s="290"/>
      <c r="HO353" s="290"/>
      <c r="HP353" s="290"/>
      <c r="HQ353" s="290"/>
      <c r="HR353" s="290"/>
      <c r="HS353" s="290"/>
      <c r="HT353" s="290"/>
      <c r="HU353" s="290"/>
      <c r="HV353" s="290"/>
      <c r="HW353" s="290"/>
      <c r="HX353" s="290"/>
      <c r="HY353" s="290"/>
      <c r="HZ353" s="290"/>
      <c r="IA353" s="290"/>
      <c r="IB353" s="290"/>
      <c r="IC353" s="290"/>
      <c r="ID353" s="290"/>
      <c r="IE353" s="290"/>
      <c r="IF353" s="290"/>
      <c r="IG353" s="290"/>
      <c r="IH353" s="290"/>
      <c r="II353" s="290"/>
      <c r="IJ353" s="290"/>
      <c r="IK353" s="290"/>
      <c r="IL353" s="290"/>
      <c r="IM353" s="290"/>
      <c r="IN353" s="290"/>
      <c r="IO353" s="290"/>
      <c r="IP353" s="290"/>
      <c r="IQ353" s="290"/>
    </row>
    <row r="354" spans="1:251" x14ac:dyDescent="0.3">
      <c r="A354" s="269"/>
      <c r="B354" s="272"/>
      <c r="C354" s="275"/>
      <c r="D354" s="266"/>
      <c r="E354" s="266"/>
      <c r="F354" s="109" t="s">
        <v>234</v>
      </c>
      <c r="G354" s="287"/>
      <c r="H354" s="289"/>
      <c r="I354" s="290"/>
      <c r="J354" s="290"/>
      <c r="K354" s="290"/>
      <c r="L354" s="290"/>
      <c r="M354" s="290"/>
      <c r="N354" s="290"/>
      <c r="O354" s="290"/>
      <c r="P354" s="290"/>
      <c r="Q354" s="290"/>
      <c r="R354" s="290"/>
      <c r="S354" s="290"/>
      <c r="T354" s="290"/>
      <c r="U354" s="290"/>
      <c r="V354" s="290"/>
      <c r="W354" s="290"/>
      <c r="X354" s="290"/>
      <c r="Y354" s="290"/>
      <c r="Z354" s="290"/>
      <c r="AA354" s="290"/>
      <c r="AB354" s="290"/>
      <c r="AC354" s="290"/>
      <c r="AD354" s="290"/>
      <c r="AE354" s="290"/>
      <c r="AF354" s="290"/>
      <c r="AG354" s="290"/>
      <c r="AH354" s="290"/>
      <c r="AI354" s="290"/>
      <c r="AJ354" s="290"/>
      <c r="AK354" s="290"/>
      <c r="AL354" s="290"/>
      <c r="AM354" s="290"/>
      <c r="AN354" s="290"/>
      <c r="AO354" s="290"/>
      <c r="AP354" s="290"/>
      <c r="AQ354" s="290"/>
      <c r="AR354" s="290"/>
      <c r="AS354" s="290"/>
      <c r="AT354" s="290"/>
      <c r="AU354" s="290"/>
      <c r="AV354" s="290"/>
      <c r="AW354" s="290"/>
      <c r="AX354" s="290"/>
      <c r="AY354" s="290"/>
      <c r="AZ354" s="290"/>
      <c r="BA354" s="290"/>
      <c r="BB354" s="290"/>
      <c r="BC354" s="290"/>
      <c r="BD354" s="290"/>
      <c r="BE354" s="290"/>
      <c r="BF354" s="290"/>
      <c r="BG354" s="290"/>
      <c r="BH354" s="290"/>
      <c r="BI354" s="290"/>
      <c r="BJ354" s="290"/>
      <c r="BK354" s="290"/>
      <c r="BL354" s="290"/>
      <c r="BM354" s="290"/>
      <c r="BN354" s="290"/>
      <c r="BO354" s="290"/>
      <c r="BP354" s="290"/>
      <c r="BQ354" s="290"/>
      <c r="BR354" s="290"/>
      <c r="BS354" s="290"/>
      <c r="BT354" s="290"/>
      <c r="BU354" s="290"/>
      <c r="BV354" s="290"/>
      <c r="BW354" s="290"/>
      <c r="BX354" s="290"/>
      <c r="BY354" s="290"/>
      <c r="BZ354" s="290"/>
      <c r="CA354" s="290"/>
      <c r="CB354" s="290"/>
      <c r="CC354" s="290"/>
      <c r="CD354" s="290"/>
      <c r="CE354" s="290"/>
      <c r="CF354" s="290"/>
      <c r="CG354" s="290"/>
      <c r="CH354" s="290"/>
      <c r="CI354" s="290"/>
      <c r="CJ354" s="290"/>
      <c r="CK354" s="290"/>
      <c r="CL354" s="290"/>
      <c r="CM354" s="290"/>
      <c r="CN354" s="290"/>
      <c r="CO354" s="290"/>
      <c r="CP354" s="290"/>
      <c r="CQ354" s="290"/>
      <c r="CR354" s="290"/>
      <c r="CS354" s="290"/>
      <c r="CT354" s="290"/>
      <c r="CU354" s="290"/>
      <c r="CV354" s="290"/>
      <c r="CW354" s="290"/>
      <c r="CX354" s="290"/>
      <c r="CY354" s="290"/>
      <c r="CZ354" s="290"/>
      <c r="DA354" s="290"/>
      <c r="DB354" s="290"/>
      <c r="DC354" s="290"/>
      <c r="DD354" s="290"/>
      <c r="DE354" s="290"/>
      <c r="DF354" s="290"/>
      <c r="DG354" s="290"/>
      <c r="DH354" s="290"/>
      <c r="DI354" s="290"/>
      <c r="DJ354" s="290"/>
      <c r="DK354" s="290"/>
      <c r="DL354" s="290"/>
      <c r="DM354" s="290"/>
      <c r="DN354" s="290"/>
      <c r="DO354" s="290"/>
      <c r="DP354" s="290"/>
      <c r="DQ354" s="290"/>
      <c r="DR354" s="290"/>
      <c r="DS354" s="290"/>
      <c r="DT354" s="290"/>
      <c r="DU354" s="290"/>
      <c r="DV354" s="290"/>
      <c r="DW354" s="290"/>
      <c r="DX354" s="290"/>
      <c r="DY354" s="290"/>
      <c r="DZ354" s="290"/>
      <c r="EA354" s="290"/>
      <c r="EB354" s="290"/>
      <c r="EC354" s="290"/>
      <c r="ED354" s="290"/>
      <c r="EE354" s="290"/>
      <c r="EF354" s="290"/>
      <c r="EG354" s="290"/>
      <c r="EH354" s="290"/>
      <c r="EI354" s="290"/>
      <c r="EJ354" s="290"/>
      <c r="EK354" s="290"/>
      <c r="EL354" s="290"/>
      <c r="EM354" s="290"/>
      <c r="EN354" s="290"/>
      <c r="EO354" s="290"/>
      <c r="EP354" s="290"/>
      <c r="EQ354" s="290"/>
      <c r="ER354" s="290"/>
      <c r="ES354" s="290"/>
      <c r="ET354" s="290"/>
      <c r="EU354" s="290"/>
      <c r="EV354" s="290"/>
      <c r="EW354" s="290"/>
      <c r="EX354" s="290"/>
      <c r="EY354" s="290"/>
      <c r="EZ354" s="290"/>
      <c r="FA354" s="290"/>
      <c r="FB354" s="290"/>
      <c r="FC354" s="290"/>
      <c r="FD354" s="290"/>
      <c r="FE354" s="290"/>
      <c r="FF354" s="290"/>
      <c r="FG354" s="290"/>
      <c r="FH354" s="290"/>
      <c r="FI354" s="290"/>
      <c r="FJ354" s="290"/>
      <c r="FK354" s="290"/>
      <c r="FL354" s="290"/>
      <c r="FM354" s="290"/>
      <c r="FN354" s="290"/>
      <c r="FO354" s="290"/>
      <c r="FP354" s="290"/>
      <c r="FQ354" s="290"/>
      <c r="FR354" s="290"/>
      <c r="FS354" s="290"/>
      <c r="FT354" s="290"/>
      <c r="FU354" s="290"/>
      <c r="FV354" s="290"/>
      <c r="FW354" s="290"/>
      <c r="FX354" s="290"/>
      <c r="FY354" s="290"/>
      <c r="FZ354" s="290"/>
      <c r="GA354" s="290"/>
      <c r="GB354" s="290"/>
      <c r="GC354" s="290"/>
      <c r="GD354" s="290"/>
      <c r="GE354" s="290"/>
      <c r="GF354" s="290"/>
      <c r="GG354" s="290"/>
      <c r="GH354" s="290"/>
      <c r="GI354" s="290"/>
      <c r="GJ354" s="290"/>
      <c r="GK354" s="290"/>
      <c r="GL354" s="290"/>
      <c r="GM354" s="290"/>
      <c r="GN354" s="290"/>
      <c r="GO354" s="290"/>
      <c r="GP354" s="290"/>
      <c r="GQ354" s="290"/>
      <c r="GR354" s="290"/>
      <c r="GS354" s="290"/>
      <c r="GT354" s="290"/>
      <c r="GU354" s="290"/>
      <c r="GV354" s="290"/>
      <c r="GW354" s="290"/>
      <c r="GX354" s="290"/>
      <c r="GY354" s="290"/>
      <c r="GZ354" s="290"/>
      <c r="HA354" s="290"/>
      <c r="HB354" s="290"/>
      <c r="HC354" s="290"/>
      <c r="HD354" s="290"/>
      <c r="HE354" s="290"/>
      <c r="HF354" s="290"/>
      <c r="HG354" s="290"/>
      <c r="HH354" s="290"/>
      <c r="HI354" s="290"/>
      <c r="HJ354" s="290"/>
      <c r="HK354" s="290"/>
      <c r="HL354" s="290"/>
      <c r="HM354" s="290"/>
      <c r="HN354" s="290"/>
      <c r="HO354" s="290"/>
      <c r="HP354" s="290"/>
      <c r="HQ354" s="290"/>
      <c r="HR354" s="290"/>
      <c r="HS354" s="290"/>
      <c r="HT354" s="290"/>
      <c r="HU354" s="290"/>
      <c r="HV354" s="290"/>
      <c r="HW354" s="290"/>
      <c r="HX354" s="290"/>
      <c r="HY354" s="290"/>
      <c r="HZ354" s="290"/>
      <c r="IA354" s="290"/>
      <c r="IB354" s="290"/>
      <c r="IC354" s="290"/>
      <c r="ID354" s="290"/>
      <c r="IE354" s="290"/>
      <c r="IF354" s="290"/>
      <c r="IG354" s="290"/>
      <c r="IH354" s="290"/>
      <c r="II354" s="290"/>
      <c r="IJ354" s="290"/>
      <c r="IK354" s="290"/>
      <c r="IL354" s="290"/>
      <c r="IM354" s="290"/>
      <c r="IN354" s="290"/>
      <c r="IO354" s="290"/>
      <c r="IP354" s="290"/>
      <c r="IQ354" s="290"/>
    </row>
    <row r="355" spans="1:251" x14ac:dyDescent="0.3">
      <c r="A355" s="270"/>
      <c r="B355" s="273"/>
      <c r="C355" s="276"/>
      <c r="D355" s="267"/>
      <c r="E355" s="267"/>
      <c r="F355" s="110" t="s">
        <v>235</v>
      </c>
      <c r="G355" s="288"/>
      <c r="H355" s="289"/>
      <c r="I355" s="290"/>
      <c r="J355" s="290"/>
      <c r="K355" s="290"/>
      <c r="L355" s="290"/>
      <c r="M355" s="290"/>
      <c r="N355" s="290"/>
      <c r="O355" s="290"/>
      <c r="P355" s="290"/>
      <c r="Q355" s="290"/>
      <c r="R355" s="290"/>
      <c r="S355" s="290"/>
      <c r="T355" s="290"/>
      <c r="U355" s="290"/>
      <c r="V355" s="290"/>
      <c r="W355" s="290"/>
      <c r="X355" s="290"/>
      <c r="Y355" s="290"/>
      <c r="Z355" s="290"/>
      <c r="AA355" s="290"/>
      <c r="AB355" s="290"/>
      <c r="AC355" s="290"/>
      <c r="AD355" s="290"/>
      <c r="AE355" s="290"/>
      <c r="AF355" s="290"/>
      <c r="AG355" s="290"/>
      <c r="AH355" s="290"/>
      <c r="AI355" s="290"/>
      <c r="AJ355" s="290"/>
      <c r="AK355" s="290"/>
      <c r="AL355" s="290"/>
      <c r="AM355" s="290"/>
      <c r="AN355" s="290"/>
      <c r="AO355" s="290"/>
      <c r="AP355" s="290"/>
      <c r="AQ355" s="290"/>
      <c r="AR355" s="290"/>
      <c r="AS355" s="290"/>
      <c r="AT355" s="290"/>
      <c r="AU355" s="290"/>
      <c r="AV355" s="290"/>
      <c r="AW355" s="290"/>
      <c r="AX355" s="290"/>
      <c r="AY355" s="290"/>
      <c r="AZ355" s="290"/>
      <c r="BA355" s="290"/>
      <c r="BB355" s="290"/>
      <c r="BC355" s="290"/>
      <c r="BD355" s="290"/>
      <c r="BE355" s="290"/>
      <c r="BF355" s="290"/>
      <c r="BG355" s="290"/>
      <c r="BH355" s="290"/>
      <c r="BI355" s="290"/>
      <c r="BJ355" s="290"/>
      <c r="BK355" s="290"/>
      <c r="BL355" s="290"/>
      <c r="BM355" s="290"/>
      <c r="BN355" s="290"/>
      <c r="BO355" s="290"/>
      <c r="BP355" s="290"/>
      <c r="BQ355" s="290"/>
      <c r="BR355" s="290"/>
      <c r="BS355" s="290"/>
      <c r="BT355" s="290"/>
      <c r="BU355" s="290"/>
      <c r="BV355" s="290"/>
      <c r="BW355" s="290"/>
      <c r="BX355" s="290"/>
      <c r="BY355" s="290"/>
      <c r="BZ355" s="290"/>
      <c r="CA355" s="290"/>
      <c r="CB355" s="290"/>
      <c r="CC355" s="290"/>
      <c r="CD355" s="290"/>
      <c r="CE355" s="290"/>
      <c r="CF355" s="290"/>
      <c r="CG355" s="290"/>
      <c r="CH355" s="290"/>
      <c r="CI355" s="290"/>
      <c r="CJ355" s="290"/>
      <c r="CK355" s="290"/>
      <c r="CL355" s="290"/>
      <c r="CM355" s="290"/>
      <c r="CN355" s="290"/>
      <c r="CO355" s="290"/>
      <c r="CP355" s="290"/>
      <c r="CQ355" s="290"/>
      <c r="CR355" s="290"/>
      <c r="CS355" s="290"/>
      <c r="CT355" s="290"/>
      <c r="CU355" s="290"/>
      <c r="CV355" s="290"/>
      <c r="CW355" s="290"/>
      <c r="CX355" s="290"/>
      <c r="CY355" s="290"/>
      <c r="CZ355" s="290"/>
      <c r="DA355" s="290"/>
      <c r="DB355" s="290"/>
      <c r="DC355" s="290"/>
      <c r="DD355" s="290"/>
      <c r="DE355" s="290"/>
      <c r="DF355" s="290"/>
      <c r="DG355" s="290"/>
      <c r="DH355" s="290"/>
      <c r="DI355" s="290"/>
      <c r="DJ355" s="290"/>
      <c r="DK355" s="290"/>
      <c r="DL355" s="290"/>
      <c r="DM355" s="290"/>
      <c r="DN355" s="290"/>
      <c r="DO355" s="290"/>
      <c r="DP355" s="290"/>
      <c r="DQ355" s="290"/>
      <c r="DR355" s="290"/>
      <c r="DS355" s="290"/>
      <c r="DT355" s="290"/>
      <c r="DU355" s="290"/>
      <c r="DV355" s="290"/>
      <c r="DW355" s="290"/>
      <c r="DX355" s="290"/>
      <c r="DY355" s="290"/>
      <c r="DZ355" s="290"/>
      <c r="EA355" s="290"/>
      <c r="EB355" s="290"/>
      <c r="EC355" s="290"/>
      <c r="ED355" s="290"/>
      <c r="EE355" s="290"/>
      <c r="EF355" s="290"/>
      <c r="EG355" s="290"/>
      <c r="EH355" s="290"/>
      <c r="EI355" s="290"/>
      <c r="EJ355" s="290"/>
      <c r="EK355" s="290"/>
      <c r="EL355" s="290"/>
      <c r="EM355" s="290"/>
      <c r="EN355" s="290"/>
      <c r="EO355" s="290"/>
      <c r="EP355" s="290"/>
      <c r="EQ355" s="290"/>
      <c r="ER355" s="290"/>
      <c r="ES355" s="290"/>
      <c r="ET355" s="290"/>
      <c r="EU355" s="290"/>
      <c r="EV355" s="290"/>
      <c r="EW355" s="290"/>
      <c r="EX355" s="290"/>
      <c r="EY355" s="290"/>
      <c r="EZ355" s="290"/>
      <c r="FA355" s="290"/>
      <c r="FB355" s="290"/>
      <c r="FC355" s="290"/>
      <c r="FD355" s="290"/>
      <c r="FE355" s="290"/>
      <c r="FF355" s="290"/>
      <c r="FG355" s="290"/>
      <c r="FH355" s="290"/>
      <c r="FI355" s="290"/>
      <c r="FJ355" s="290"/>
      <c r="FK355" s="290"/>
      <c r="FL355" s="290"/>
      <c r="FM355" s="290"/>
      <c r="FN355" s="290"/>
      <c r="FO355" s="290"/>
      <c r="FP355" s="290"/>
      <c r="FQ355" s="290"/>
      <c r="FR355" s="290"/>
      <c r="FS355" s="290"/>
      <c r="FT355" s="290"/>
      <c r="FU355" s="290"/>
      <c r="FV355" s="290"/>
      <c r="FW355" s="290"/>
      <c r="FX355" s="290"/>
      <c r="FY355" s="290"/>
      <c r="FZ355" s="290"/>
      <c r="GA355" s="290"/>
      <c r="GB355" s="290"/>
      <c r="GC355" s="290"/>
      <c r="GD355" s="290"/>
      <c r="GE355" s="290"/>
      <c r="GF355" s="290"/>
      <c r="GG355" s="290"/>
      <c r="GH355" s="290"/>
      <c r="GI355" s="290"/>
      <c r="GJ355" s="290"/>
      <c r="GK355" s="290"/>
      <c r="GL355" s="290"/>
      <c r="GM355" s="290"/>
      <c r="GN355" s="290"/>
      <c r="GO355" s="290"/>
      <c r="GP355" s="290"/>
      <c r="GQ355" s="290"/>
      <c r="GR355" s="290"/>
      <c r="GS355" s="290"/>
      <c r="GT355" s="290"/>
      <c r="GU355" s="290"/>
      <c r="GV355" s="290"/>
      <c r="GW355" s="290"/>
      <c r="GX355" s="290"/>
      <c r="GY355" s="290"/>
      <c r="GZ355" s="290"/>
      <c r="HA355" s="290"/>
      <c r="HB355" s="290"/>
      <c r="HC355" s="290"/>
      <c r="HD355" s="290"/>
      <c r="HE355" s="290"/>
      <c r="HF355" s="290"/>
      <c r="HG355" s="290"/>
      <c r="HH355" s="290"/>
      <c r="HI355" s="290"/>
      <c r="HJ355" s="290"/>
      <c r="HK355" s="290"/>
      <c r="HL355" s="290"/>
      <c r="HM355" s="290"/>
      <c r="HN355" s="290"/>
      <c r="HO355" s="290"/>
      <c r="HP355" s="290"/>
      <c r="HQ355" s="290"/>
      <c r="HR355" s="290"/>
      <c r="HS355" s="290"/>
      <c r="HT355" s="290"/>
      <c r="HU355" s="290"/>
      <c r="HV355" s="290"/>
      <c r="HW355" s="290"/>
      <c r="HX355" s="290"/>
      <c r="HY355" s="290"/>
      <c r="HZ355" s="290"/>
      <c r="IA355" s="290"/>
      <c r="IB355" s="290"/>
      <c r="IC355" s="290"/>
      <c r="ID355" s="290"/>
      <c r="IE355" s="290"/>
      <c r="IF355" s="290"/>
      <c r="IG355" s="290"/>
      <c r="IH355" s="290"/>
      <c r="II355" s="290"/>
      <c r="IJ355" s="290"/>
      <c r="IK355" s="290"/>
      <c r="IL355" s="290"/>
      <c r="IM355" s="290"/>
      <c r="IN355" s="290"/>
      <c r="IO355" s="290"/>
      <c r="IP355" s="290"/>
      <c r="IQ355" s="290"/>
    </row>
    <row r="356" spans="1:251" x14ac:dyDescent="0.3">
      <c r="A356" s="268" t="s">
        <v>275</v>
      </c>
      <c r="B356" s="271" t="s">
        <v>48</v>
      </c>
      <c r="C356" s="274" t="s">
        <v>49</v>
      </c>
      <c r="D356" s="265" t="s">
        <v>37</v>
      </c>
      <c r="E356" s="265" t="s">
        <v>38</v>
      </c>
      <c r="F356" s="111" t="s">
        <v>236</v>
      </c>
      <c r="G356" s="286"/>
      <c r="H356" s="289"/>
      <c r="I356" s="290"/>
      <c r="J356" s="290"/>
      <c r="K356" s="290"/>
      <c r="L356" s="290"/>
      <c r="M356" s="290"/>
      <c r="N356" s="290"/>
      <c r="O356" s="290"/>
      <c r="P356" s="290"/>
      <c r="Q356" s="290"/>
      <c r="R356" s="290"/>
      <c r="S356" s="290"/>
      <c r="T356" s="290"/>
      <c r="U356" s="290"/>
      <c r="V356" s="290"/>
      <c r="W356" s="290"/>
      <c r="X356" s="290"/>
      <c r="Y356" s="290"/>
      <c r="Z356" s="290"/>
      <c r="AA356" s="290"/>
      <c r="AB356" s="290"/>
      <c r="AC356" s="290"/>
      <c r="AD356" s="290"/>
      <c r="AE356" s="290"/>
      <c r="AF356" s="290"/>
      <c r="AG356" s="290"/>
      <c r="AH356" s="290"/>
      <c r="AI356" s="290"/>
      <c r="AJ356" s="290"/>
      <c r="AK356" s="290"/>
      <c r="AL356" s="290"/>
      <c r="AM356" s="290"/>
      <c r="AN356" s="290"/>
      <c r="AO356" s="290"/>
      <c r="AP356" s="290"/>
      <c r="AQ356" s="290"/>
      <c r="AR356" s="290"/>
      <c r="AS356" s="290"/>
      <c r="AT356" s="290"/>
      <c r="AU356" s="290"/>
      <c r="AV356" s="290"/>
      <c r="AW356" s="290"/>
      <c r="AX356" s="290"/>
      <c r="AY356" s="290"/>
      <c r="AZ356" s="290"/>
      <c r="BA356" s="290"/>
      <c r="BB356" s="290"/>
      <c r="BC356" s="290"/>
      <c r="BD356" s="290"/>
      <c r="BE356" s="290"/>
      <c r="BF356" s="290"/>
      <c r="BG356" s="290"/>
      <c r="BH356" s="290"/>
      <c r="BI356" s="290"/>
      <c r="BJ356" s="290"/>
      <c r="BK356" s="290"/>
      <c r="BL356" s="290"/>
      <c r="BM356" s="290"/>
      <c r="BN356" s="290"/>
      <c r="BO356" s="290"/>
      <c r="BP356" s="290"/>
      <c r="BQ356" s="290"/>
      <c r="BR356" s="290"/>
      <c r="BS356" s="290"/>
      <c r="BT356" s="290"/>
      <c r="BU356" s="290"/>
      <c r="BV356" s="290"/>
      <c r="BW356" s="290"/>
      <c r="BX356" s="290"/>
      <c r="BY356" s="290"/>
      <c r="BZ356" s="290"/>
      <c r="CA356" s="290"/>
      <c r="CB356" s="290"/>
      <c r="CC356" s="290"/>
      <c r="CD356" s="290"/>
      <c r="CE356" s="290"/>
      <c r="CF356" s="290"/>
      <c r="CG356" s="290"/>
      <c r="CH356" s="290"/>
      <c r="CI356" s="290"/>
      <c r="CJ356" s="290"/>
      <c r="CK356" s="290"/>
      <c r="CL356" s="290"/>
      <c r="CM356" s="290"/>
      <c r="CN356" s="290"/>
      <c r="CO356" s="290"/>
      <c r="CP356" s="290"/>
      <c r="CQ356" s="290"/>
      <c r="CR356" s="290"/>
      <c r="CS356" s="290"/>
      <c r="CT356" s="290"/>
      <c r="CU356" s="290"/>
      <c r="CV356" s="290"/>
      <c r="CW356" s="290"/>
      <c r="CX356" s="290"/>
      <c r="CY356" s="290"/>
      <c r="CZ356" s="290"/>
      <c r="DA356" s="290"/>
      <c r="DB356" s="290"/>
      <c r="DC356" s="290"/>
      <c r="DD356" s="290"/>
      <c r="DE356" s="290"/>
      <c r="DF356" s="290"/>
      <c r="DG356" s="290"/>
      <c r="DH356" s="290"/>
      <c r="DI356" s="290"/>
      <c r="DJ356" s="290"/>
      <c r="DK356" s="290"/>
      <c r="DL356" s="290"/>
      <c r="DM356" s="290"/>
      <c r="DN356" s="290"/>
      <c r="DO356" s="290"/>
      <c r="DP356" s="290"/>
      <c r="DQ356" s="290"/>
      <c r="DR356" s="290"/>
      <c r="DS356" s="290"/>
      <c r="DT356" s="290"/>
      <c r="DU356" s="290"/>
      <c r="DV356" s="290"/>
      <c r="DW356" s="290"/>
      <c r="DX356" s="290"/>
      <c r="DY356" s="290"/>
      <c r="DZ356" s="290"/>
      <c r="EA356" s="290"/>
      <c r="EB356" s="290"/>
      <c r="EC356" s="290"/>
      <c r="ED356" s="290"/>
      <c r="EE356" s="290"/>
      <c r="EF356" s="290"/>
      <c r="EG356" s="290"/>
      <c r="EH356" s="290"/>
      <c r="EI356" s="290"/>
      <c r="EJ356" s="290"/>
      <c r="EK356" s="290"/>
      <c r="EL356" s="290"/>
      <c r="EM356" s="290"/>
      <c r="EN356" s="290"/>
      <c r="EO356" s="290"/>
      <c r="EP356" s="290"/>
      <c r="EQ356" s="290"/>
      <c r="ER356" s="290"/>
      <c r="ES356" s="290"/>
      <c r="ET356" s="290"/>
      <c r="EU356" s="290"/>
      <c r="EV356" s="290"/>
      <c r="EW356" s="290"/>
      <c r="EX356" s="290"/>
      <c r="EY356" s="290"/>
      <c r="EZ356" s="290"/>
      <c r="FA356" s="290"/>
      <c r="FB356" s="290"/>
      <c r="FC356" s="290"/>
      <c r="FD356" s="290"/>
      <c r="FE356" s="290"/>
      <c r="FF356" s="290"/>
      <c r="FG356" s="290"/>
      <c r="FH356" s="290"/>
      <c r="FI356" s="290"/>
      <c r="FJ356" s="290"/>
      <c r="FK356" s="290"/>
      <c r="FL356" s="290"/>
      <c r="FM356" s="290"/>
      <c r="FN356" s="290"/>
      <c r="FO356" s="290"/>
      <c r="FP356" s="290"/>
      <c r="FQ356" s="290"/>
      <c r="FR356" s="290"/>
      <c r="FS356" s="290"/>
      <c r="FT356" s="290"/>
      <c r="FU356" s="290"/>
      <c r="FV356" s="290"/>
      <c r="FW356" s="290"/>
      <c r="FX356" s="290"/>
      <c r="FY356" s="290"/>
      <c r="FZ356" s="290"/>
      <c r="GA356" s="290"/>
      <c r="GB356" s="290"/>
      <c r="GC356" s="290"/>
      <c r="GD356" s="290"/>
      <c r="GE356" s="290"/>
      <c r="GF356" s="290"/>
      <c r="GG356" s="290"/>
      <c r="GH356" s="290"/>
      <c r="GI356" s="290"/>
      <c r="GJ356" s="290"/>
      <c r="GK356" s="290"/>
      <c r="GL356" s="290"/>
      <c r="GM356" s="290"/>
      <c r="GN356" s="290"/>
      <c r="GO356" s="290"/>
      <c r="GP356" s="290"/>
      <c r="GQ356" s="290"/>
      <c r="GR356" s="290"/>
      <c r="GS356" s="290"/>
      <c r="GT356" s="290"/>
      <c r="GU356" s="290"/>
      <c r="GV356" s="290"/>
      <c r="GW356" s="290"/>
      <c r="GX356" s="290"/>
      <c r="GY356" s="290"/>
      <c r="GZ356" s="290"/>
      <c r="HA356" s="290"/>
      <c r="HB356" s="290"/>
      <c r="HC356" s="290"/>
      <c r="HD356" s="290"/>
      <c r="HE356" s="290"/>
      <c r="HF356" s="290"/>
      <c r="HG356" s="290"/>
      <c r="HH356" s="290"/>
      <c r="HI356" s="290"/>
      <c r="HJ356" s="290"/>
      <c r="HK356" s="290"/>
      <c r="HL356" s="290"/>
      <c r="HM356" s="290"/>
      <c r="HN356" s="290"/>
      <c r="HO356" s="290"/>
      <c r="HP356" s="290"/>
      <c r="HQ356" s="290"/>
      <c r="HR356" s="290"/>
      <c r="HS356" s="290"/>
      <c r="HT356" s="290"/>
      <c r="HU356" s="290"/>
      <c r="HV356" s="290"/>
      <c r="HW356" s="290"/>
      <c r="HX356" s="290"/>
      <c r="HY356" s="290"/>
      <c r="HZ356" s="290"/>
      <c r="IA356" s="290"/>
      <c r="IB356" s="290"/>
      <c r="IC356" s="290"/>
      <c r="ID356" s="290"/>
      <c r="IE356" s="290"/>
      <c r="IF356" s="290"/>
      <c r="IG356" s="290"/>
      <c r="IH356" s="290"/>
      <c r="II356" s="290"/>
      <c r="IJ356" s="290"/>
      <c r="IK356" s="290"/>
      <c r="IL356" s="290"/>
      <c r="IM356" s="290"/>
      <c r="IN356" s="290"/>
      <c r="IO356" s="290"/>
      <c r="IP356" s="290"/>
      <c r="IQ356" s="290"/>
    </row>
    <row r="357" spans="1:251" x14ac:dyDescent="0.3">
      <c r="A357" s="269"/>
      <c r="B357" s="272"/>
      <c r="C357" s="275"/>
      <c r="D357" s="266"/>
      <c r="E357" s="266"/>
      <c r="F357" s="112" t="s">
        <v>237</v>
      </c>
      <c r="G357" s="287"/>
      <c r="H357" s="289"/>
      <c r="I357" s="290"/>
      <c r="J357" s="290"/>
      <c r="K357" s="290"/>
      <c r="L357" s="290"/>
      <c r="M357" s="290"/>
      <c r="N357" s="290"/>
      <c r="O357" s="290"/>
      <c r="P357" s="290"/>
      <c r="Q357" s="290"/>
      <c r="R357" s="290"/>
      <c r="S357" s="290"/>
      <c r="T357" s="290"/>
      <c r="U357" s="290"/>
      <c r="V357" s="290"/>
      <c r="W357" s="290"/>
      <c r="X357" s="290"/>
      <c r="Y357" s="290"/>
      <c r="Z357" s="290"/>
      <c r="AA357" s="290"/>
      <c r="AB357" s="290"/>
      <c r="AC357" s="290"/>
      <c r="AD357" s="290"/>
      <c r="AE357" s="290"/>
      <c r="AF357" s="290"/>
      <c r="AG357" s="290"/>
      <c r="AH357" s="290"/>
      <c r="AI357" s="290"/>
      <c r="AJ357" s="290"/>
      <c r="AK357" s="290"/>
      <c r="AL357" s="290"/>
      <c r="AM357" s="290"/>
      <c r="AN357" s="290"/>
      <c r="AO357" s="290"/>
      <c r="AP357" s="290"/>
      <c r="AQ357" s="290"/>
      <c r="AR357" s="290"/>
      <c r="AS357" s="290"/>
      <c r="AT357" s="290"/>
      <c r="AU357" s="290"/>
      <c r="AV357" s="290"/>
      <c r="AW357" s="290"/>
      <c r="AX357" s="290"/>
      <c r="AY357" s="290"/>
      <c r="AZ357" s="290"/>
      <c r="BA357" s="290"/>
      <c r="BB357" s="290"/>
      <c r="BC357" s="290"/>
      <c r="BD357" s="290"/>
      <c r="BE357" s="290"/>
      <c r="BF357" s="290"/>
      <c r="BG357" s="290"/>
      <c r="BH357" s="290"/>
      <c r="BI357" s="290"/>
      <c r="BJ357" s="290"/>
      <c r="BK357" s="290"/>
      <c r="BL357" s="290"/>
      <c r="BM357" s="290"/>
      <c r="BN357" s="290"/>
      <c r="BO357" s="290"/>
      <c r="BP357" s="290"/>
      <c r="BQ357" s="290"/>
      <c r="BR357" s="290"/>
      <c r="BS357" s="290"/>
      <c r="BT357" s="290"/>
      <c r="BU357" s="290"/>
      <c r="BV357" s="290"/>
      <c r="BW357" s="290"/>
      <c r="BX357" s="290"/>
      <c r="BY357" s="290"/>
      <c r="BZ357" s="290"/>
      <c r="CA357" s="290"/>
      <c r="CB357" s="290"/>
      <c r="CC357" s="290"/>
      <c r="CD357" s="290"/>
      <c r="CE357" s="290"/>
      <c r="CF357" s="290"/>
      <c r="CG357" s="290"/>
      <c r="CH357" s="290"/>
      <c r="CI357" s="290"/>
      <c r="CJ357" s="290"/>
      <c r="CK357" s="290"/>
      <c r="CL357" s="290"/>
      <c r="CM357" s="290"/>
      <c r="CN357" s="290"/>
      <c r="CO357" s="290"/>
      <c r="CP357" s="290"/>
      <c r="CQ357" s="290"/>
      <c r="CR357" s="290"/>
      <c r="CS357" s="290"/>
      <c r="CT357" s="290"/>
      <c r="CU357" s="290"/>
      <c r="CV357" s="290"/>
      <c r="CW357" s="290"/>
      <c r="CX357" s="290"/>
      <c r="CY357" s="290"/>
      <c r="CZ357" s="290"/>
      <c r="DA357" s="290"/>
      <c r="DB357" s="290"/>
      <c r="DC357" s="290"/>
      <c r="DD357" s="290"/>
      <c r="DE357" s="290"/>
      <c r="DF357" s="290"/>
      <c r="DG357" s="290"/>
      <c r="DH357" s="290"/>
      <c r="DI357" s="290"/>
      <c r="DJ357" s="290"/>
      <c r="DK357" s="290"/>
      <c r="DL357" s="290"/>
      <c r="DM357" s="290"/>
      <c r="DN357" s="290"/>
      <c r="DO357" s="290"/>
      <c r="DP357" s="290"/>
      <c r="DQ357" s="290"/>
      <c r="DR357" s="290"/>
      <c r="DS357" s="290"/>
      <c r="DT357" s="290"/>
      <c r="DU357" s="290"/>
      <c r="DV357" s="290"/>
      <c r="DW357" s="290"/>
      <c r="DX357" s="290"/>
      <c r="DY357" s="290"/>
      <c r="DZ357" s="290"/>
      <c r="EA357" s="290"/>
      <c r="EB357" s="290"/>
      <c r="EC357" s="290"/>
      <c r="ED357" s="290"/>
      <c r="EE357" s="290"/>
      <c r="EF357" s="290"/>
      <c r="EG357" s="290"/>
      <c r="EH357" s="290"/>
      <c r="EI357" s="290"/>
      <c r="EJ357" s="290"/>
      <c r="EK357" s="290"/>
      <c r="EL357" s="290"/>
      <c r="EM357" s="290"/>
      <c r="EN357" s="290"/>
      <c r="EO357" s="290"/>
      <c r="EP357" s="290"/>
      <c r="EQ357" s="290"/>
      <c r="ER357" s="290"/>
      <c r="ES357" s="290"/>
      <c r="ET357" s="290"/>
      <c r="EU357" s="290"/>
      <c r="EV357" s="290"/>
      <c r="EW357" s="290"/>
      <c r="EX357" s="290"/>
      <c r="EY357" s="290"/>
      <c r="EZ357" s="290"/>
      <c r="FA357" s="290"/>
      <c r="FB357" s="290"/>
      <c r="FC357" s="290"/>
      <c r="FD357" s="290"/>
      <c r="FE357" s="290"/>
      <c r="FF357" s="290"/>
      <c r="FG357" s="290"/>
      <c r="FH357" s="290"/>
      <c r="FI357" s="290"/>
      <c r="FJ357" s="290"/>
      <c r="FK357" s="290"/>
      <c r="FL357" s="290"/>
      <c r="FM357" s="290"/>
      <c r="FN357" s="290"/>
      <c r="FO357" s="290"/>
      <c r="FP357" s="290"/>
      <c r="FQ357" s="290"/>
      <c r="FR357" s="290"/>
      <c r="FS357" s="290"/>
      <c r="FT357" s="290"/>
      <c r="FU357" s="290"/>
      <c r="FV357" s="290"/>
      <c r="FW357" s="290"/>
      <c r="FX357" s="290"/>
      <c r="FY357" s="290"/>
      <c r="FZ357" s="290"/>
      <c r="GA357" s="290"/>
      <c r="GB357" s="290"/>
      <c r="GC357" s="290"/>
      <c r="GD357" s="290"/>
      <c r="GE357" s="290"/>
      <c r="GF357" s="290"/>
      <c r="GG357" s="290"/>
      <c r="GH357" s="290"/>
      <c r="GI357" s="290"/>
      <c r="GJ357" s="290"/>
      <c r="GK357" s="290"/>
      <c r="GL357" s="290"/>
      <c r="GM357" s="290"/>
      <c r="GN357" s="290"/>
      <c r="GO357" s="290"/>
      <c r="GP357" s="290"/>
      <c r="GQ357" s="290"/>
      <c r="GR357" s="290"/>
      <c r="GS357" s="290"/>
      <c r="GT357" s="290"/>
      <c r="GU357" s="290"/>
      <c r="GV357" s="290"/>
      <c r="GW357" s="290"/>
      <c r="GX357" s="290"/>
      <c r="GY357" s="290"/>
      <c r="GZ357" s="290"/>
      <c r="HA357" s="290"/>
      <c r="HB357" s="290"/>
      <c r="HC357" s="290"/>
      <c r="HD357" s="290"/>
      <c r="HE357" s="290"/>
      <c r="HF357" s="290"/>
      <c r="HG357" s="290"/>
      <c r="HH357" s="290"/>
      <c r="HI357" s="290"/>
      <c r="HJ357" s="290"/>
      <c r="HK357" s="290"/>
      <c r="HL357" s="290"/>
      <c r="HM357" s="290"/>
      <c r="HN357" s="290"/>
      <c r="HO357" s="290"/>
      <c r="HP357" s="290"/>
      <c r="HQ357" s="290"/>
      <c r="HR357" s="290"/>
      <c r="HS357" s="290"/>
      <c r="HT357" s="290"/>
      <c r="HU357" s="290"/>
      <c r="HV357" s="290"/>
      <c r="HW357" s="290"/>
      <c r="HX357" s="290"/>
      <c r="HY357" s="290"/>
      <c r="HZ357" s="290"/>
      <c r="IA357" s="290"/>
      <c r="IB357" s="290"/>
      <c r="IC357" s="290"/>
      <c r="ID357" s="290"/>
      <c r="IE357" s="290"/>
      <c r="IF357" s="290"/>
      <c r="IG357" s="290"/>
      <c r="IH357" s="290"/>
      <c r="II357" s="290"/>
      <c r="IJ357" s="290"/>
      <c r="IK357" s="290"/>
      <c r="IL357" s="290"/>
      <c r="IM357" s="290"/>
      <c r="IN357" s="290"/>
      <c r="IO357" s="290"/>
      <c r="IP357" s="290"/>
      <c r="IQ357" s="290"/>
    </row>
    <row r="358" spans="1:251" x14ac:dyDescent="0.3">
      <c r="A358" s="270"/>
      <c r="B358" s="273"/>
      <c r="C358" s="276"/>
      <c r="D358" s="267"/>
      <c r="E358" s="267"/>
      <c r="F358" s="113" t="s">
        <v>238</v>
      </c>
      <c r="G358" s="288"/>
      <c r="H358" s="289"/>
      <c r="I358" s="290"/>
      <c r="J358" s="290"/>
      <c r="K358" s="290"/>
      <c r="L358" s="290"/>
      <c r="M358" s="290"/>
      <c r="N358" s="290"/>
      <c r="O358" s="290"/>
      <c r="P358" s="290"/>
      <c r="Q358" s="290"/>
      <c r="R358" s="290"/>
      <c r="S358" s="290"/>
      <c r="T358" s="290"/>
      <c r="U358" s="290"/>
      <c r="V358" s="290"/>
      <c r="W358" s="290"/>
      <c r="X358" s="290"/>
      <c r="Y358" s="290"/>
      <c r="Z358" s="290"/>
      <c r="AA358" s="290"/>
      <c r="AB358" s="290"/>
      <c r="AC358" s="290"/>
      <c r="AD358" s="290"/>
      <c r="AE358" s="290"/>
      <c r="AF358" s="290"/>
      <c r="AG358" s="290"/>
      <c r="AH358" s="290"/>
      <c r="AI358" s="290"/>
      <c r="AJ358" s="290"/>
      <c r="AK358" s="290"/>
      <c r="AL358" s="290"/>
      <c r="AM358" s="290"/>
      <c r="AN358" s="290"/>
      <c r="AO358" s="290"/>
      <c r="AP358" s="290"/>
      <c r="AQ358" s="290"/>
      <c r="AR358" s="290"/>
      <c r="AS358" s="290"/>
      <c r="AT358" s="290"/>
      <c r="AU358" s="290"/>
      <c r="AV358" s="290"/>
      <c r="AW358" s="290"/>
      <c r="AX358" s="290"/>
      <c r="AY358" s="290"/>
      <c r="AZ358" s="290"/>
      <c r="BA358" s="290"/>
      <c r="BB358" s="290"/>
      <c r="BC358" s="290"/>
      <c r="BD358" s="290"/>
      <c r="BE358" s="290"/>
      <c r="BF358" s="290"/>
      <c r="BG358" s="290"/>
      <c r="BH358" s="290"/>
      <c r="BI358" s="290"/>
      <c r="BJ358" s="290"/>
      <c r="BK358" s="290"/>
      <c r="BL358" s="290"/>
      <c r="BM358" s="290"/>
      <c r="BN358" s="290"/>
      <c r="BO358" s="290"/>
      <c r="BP358" s="290"/>
      <c r="BQ358" s="290"/>
      <c r="BR358" s="290"/>
      <c r="BS358" s="290"/>
      <c r="BT358" s="290"/>
      <c r="BU358" s="290"/>
      <c r="BV358" s="290"/>
      <c r="BW358" s="290"/>
      <c r="BX358" s="290"/>
      <c r="BY358" s="290"/>
      <c r="BZ358" s="290"/>
      <c r="CA358" s="290"/>
      <c r="CB358" s="290"/>
      <c r="CC358" s="290"/>
      <c r="CD358" s="290"/>
      <c r="CE358" s="290"/>
      <c r="CF358" s="290"/>
      <c r="CG358" s="290"/>
      <c r="CH358" s="290"/>
      <c r="CI358" s="290"/>
      <c r="CJ358" s="290"/>
      <c r="CK358" s="290"/>
      <c r="CL358" s="290"/>
      <c r="CM358" s="290"/>
      <c r="CN358" s="290"/>
      <c r="CO358" s="290"/>
      <c r="CP358" s="290"/>
      <c r="CQ358" s="290"/>
      <c r="CR358" s="290"/>
      <c r="CS358" s="290"/>
      <c r="CT358" s="290"/>
      <c r="CU358" s="290"/>
      <c r="CV358" s="290"/>
      <c r="CW358" s="290"/>
      <c r="CX358" s="290"/>
      <c r="CY358" s="290"/>
      <c r="CZ358" s="290"/>
      <c r="DA358" s="290"/>
      <c r="DB358" s="290"/>
      <c r="DC358" s="290"/>
      <c r="DD358" s="290"/>
      <c r="DE358" s="290"/>
      <c r="DF358" s="290"/>
      <c r="DG358" s="290"/>
      <c r="DH358" s="290"/>
      <c r="DI358" s="290"/>
      <c r="DJ358" s="290"/>
      <c r="DK358" s="290"/>
      <c r="DL358" s="290"/>
      <c r="DM358" s="290"/>
      <c r="DN358" s="290"/>
      <c r="DO358" s="290"/>
      <c r="DP358" s="290"/>
      <c r="DQ358" s="290"/>
      <c r="DR358" s="290"/>
      <c r="DS358" s="290"/>
      <c r="DT358" s="290"/>
      <c r="DU358" s="290"/>
      <c r="DV358" s="290"/>
      <c r="DW358" s="290"/>
      <c r="DX358" s="290"/>
      <c r="DY358" s="290"/>
      <c r="DZ358" s="290"/>
      <c r="EA358" s="290"/>
      <c r="EB358" s="290"/>
      <c r="EC358" s="290"/>
      <c r="ED358" s="290"/>
      <c r="EE358" s="290"/>
      <c r="EF358" s="290"/>
      <c r="EG358" s="290"/>
      <c r="EH358" s="290"/>
      <c r="EI358" s="290"/>
      <c r="EJ358" s="290"/>
      <c r="EK358" s="290"/>
      <c r="EL358" s="290"/>
      <c r="EM358" s="290"/>
      <c r="EN358" s="290"/>
      <c r="EO358" s="290"/>
      <c r="EP358" s="290"/>
      <c r="EQ358" s="290"/>
      <c r="ER358" s="290"/>
      <c r="ES358" s="290"/>
      <c r="ET358" s="290"/>
      <c r="EU358" s="290"/>
      <c r="EV358" s="290"/>
      <c r="EW358" s="290"/>
      <c r="EX358" s="290"/>
      <c r="EY358" s="290"/>
      <c r="EZ358" s="290"/>
      <c r="FA358" s="290"/>
      <c r="FB358" s="290"/>
      <c r="FC358" s="290"/>
      <c r="FD358" s="290"/>
      <c r="FE358" s="290"/>
      <c r="FF358" s="290"/>
      <c r="FG358" s="290"/>
      <c r="FH358" s="290"/>
      <c r="FI358" s="290"/>
      <c r="FJ358" s="290"/>
      <c r="FK358" s="290"/>
      <c r="FL358" s="290"/>
      <c r="FM358" s="290"/>
      <c r="FN358" s="290"/>
      <c r="FO358" s="290"/>
      <c r="FP358" s="290"/>
      <c r="FQ358" s="290"/>
      <c r="FR358" s="290"/>
      <c r="FS358" s="290"/>
      <c r="FT358" s="290"/>
      <c r="FU358" s="290"/>
      <c r="FV358" s="290"/>
      <c r="FW358" s="290"/>
      <c r="FX358" s="290"/>
      <c r="FY358" s="290"/>
      <c r="FZ358" s="290"/>
      <c r="GA358" s="290"/>
      <c r="GB358" s="290"/>
      <c r="GC358" s="290"/>
      <c r="GD358" s="290"/>
      <c r="GE358" s="290"/>
      <c r="GF358" s="290"/>
      <c r="GG358" s="290"/>
      <c r="GH358" s="290"/>
      <c r="GI358" s="290"/>
      <c r="GJ358" s="290"/>
      <c r="GK358" s="290"/>
      <c r="GL358" s="290"/>
      <c r="GM358" s="290"/>
      <c r="GN358" s="290"/>
      <c r="GO358" s="290"/>
      <c r="GP358" s="290"/>
      <c r="GQ358" s="290"/>
      <c r="GR358" s="290"/>
      <c r="GS358" s="290"/>
      <c r="GT358" s="290"/>
      <c r="GU358" s="290"/>
      <c r="GV358" s="290"/>
      <c r="GW358" s="290"/>
      <c r="GX358" s="290"/>
      <c r="GY358" s="290"/>
      <c r="GZ358" s="290"/>
      <c r="HA358" s="290"/>
      <c r="HB358" s="290"/>
      <c r="HC358" s="290"/>
      <c r="HD358" s="290"/>
      <c r="HE358" s="290"/>
      <c r="HF358" s="290"/>
      <c r="HG358" s="290"/>
      <c r="HH358" s="290"/>
      <c r="HI358" s="290"/>
      <c r="HJ358" s="290"/>
      <c r="HK358" s="290"/>
      <c r="HL358" s="290"/>
      <c r="HM358" s="290"/>
      <c r="HN358" s="290"/>
      <c r="HO358" s="290"/>
      <c r="HP358" s="290"/>
      <c r="HQ358" s="290"/>
      <c r="HR358" s="290"/>
      <c r="HS358" s="290"/>
      <c r="HT358" s="290"/>
      <c r="HU358" s="290"/>
      <c r="HV358" s="290"/>
      <c r="HW358" s="290"/>
      <c r="HX358" s="290"/>
      <c r="HY358" s="290"/>
      <c r="HZ358" s="290"/>
      <c r="IA358" s="290"/>
      <c r="IB358" s="290"/>
      <c r="IC358" s="290"/>
      <c r="ID358" s="290"/>
      <c r="IE358" s="290"/>
      <c r="IF358" s="290"/>
      <c r="IG358" s="290"/>
      <c r="IH358" s="290"/>
      <c r="II358" s="290"/>
      <c r="IJ358" s="290"/>
      <c r="IK358" s="290"/>
      <c r="IL358" s="290"/>
      <c r="IM358" s="290"/>
      <c r="IN358" s="290"/>
      <c r="IO358" s="290"/>
      <c r="IP358" s="290"/>
      <c r="IQ358" s="290"/>
    </row>
    <row r="359" spans="1:251" ht="39" x14ac:dyDescent="0.3">
      <c r="A359" s="239" t="s">
        <v>275</v>
      </c>
      <c r="B359" s="21" t="s">
        <v>1852</v>
      </c>
      <c r="C359" s="129" t="s">
        <v>49</v>
      </c>
      <c r="D359" s="166" t="s">
        <v>37</v>
      </c>
      <c r="E359" s="166" t="s">
        <v>38</v>
      </c>
      <c r="F359" s="100" t="s">
        <v>1854</v>
      </c>
      <c r="G359" s="240"/>
      <c r="H359" s="199"/>
      <c r="I359" s="183"/>
      <c r="J359" s="183"/>
      <c r="K359" s="183"/>
      <c r="L359" s="183"/>
      <c r="M359" s="183"/>
      <c r="N359" s="183"/>
      <c r="O359" s="183"/>
      <c r="P359" s="183"/>
      <c r="Q359" s="183"/>
      <c r="R359" s="183"/>
      <c r="S359" s="183"/>
      <c r="T359" s="183"/>
      <c r="U359" s="183"/>
      <c r="V359" s="183"/>
      <c r="W359" s="183"/>
      <c r="X359" s="183"/>
      <c r="Y359" s="183"/>
      <c r="Z359" s="183"/>
      <c r="AA359" s="183"/>
      <c r="AB359" s="183"/>
      <c r="AC359" s="183"/>
      <c r="AD359" s="183"/>
      <c r="AE359" s="183"/>
      <c r="AF359" s="183"/>
      <c r="AG359" s="183"/>
      <c r="AH359" s="183"/>
      <c r="AI359" s="183"/>
      <c r="AJ359" s="183"/>
      <c r="AK359" s="183"/>
      <c r="AL359" s="183"/>
      <c r="AM359" s="183"/>
      <c r="AN359" s="183"/>
      <c r="AO359" s="183"/>
      <c r="AP359" s="183"/>
      <c r="AQ359" s="183"/>
      <c r="AR359" s="183"/>
      <c r="AS359" s="183"/>
      <c r="AT359" s="183"/>
      <c r="AU359" s="183"/>
      <c r="AV359" s="183"/>
      <c r="AW359" s="183"/>
      <c r="AX359" s="183"/>
      <c r="AY359" s="183"/>
      <c r="AZ359" s="183"/>
      <c r="BA359" s="183"/>
      <c r="BB359" s="183"/>
      <c r="BC359" s="183"/>
      <c r="BD359" s="183"/>
      <c r="BE359" s="183"/>
      <c r="BF359" s="183"/>
      <c r="BG359" s="183"/>
      <c r="BH359" s="183"/>
      <c r="BI359" s="183"/>
      <c r="BJ359" s="183"/>
      <c r="BK359" s="183"/>
      <c r="BL359" s="183"/>
      <c r="BM359" s="183"/>
      <c r="BN359" s="183"/>
      <c r="BO359" s="183"/>
      <c r="BP359" s="183"/>
      <c r="BQ359" s="183"/>
      <c r="BR359" s="183"/>
      <c r="BS359" s="183"/>
      <c r="BT359" s="183"/>
      <c r="BU359" s="183"/>
      <c r="BV359" s="183"/>
      <c r="BW359" s="183"/>
      <c r="BX359" s="183"/>
      <c r="BY359" s="183"/>
      <c r="BZ359" s="183"/>
      <c r="CA359" s="183"/>
      <c r="CB359" s="183"/>
      <c r="CC359" s="183"/>
      <c r="CD359" s="183"/>
      <c r="CE359" s="183"/>
      <c r="CF359" s="183"/>
      <c r="CG359" s="183"/>
      <c r="CH359" s="183"/>
      <c r="CI359" s="183"/>
      <c r="CJ359" s="183"/>
      <c r="CK359" s="183"/>
      <c r="CL359" s="183"/>
      <c r="CM359" s="183"/>
      <c r="CN359" s="183"/>
      <c r="CO359" s="183"/>
      <c r="CP359" s="183"/>
      <c r="CQ359" s="183"/>
      <c r="CR359" s="183"/>
      <c r="CS359" s="183"/>
      <c r="CT359" s="183"/>
      <c r="CU359" s="183"/>
      <c r="CV359" s="183"/>
      <c r="CW359" s="183"/>
      <c r="CX359" s="183"/>
      <c r="CY359" s="183"/>
      <c r="CZ359" s="183"/>
      <c r="DA359" s="183"/>
      <c r="DB359" s="183"/>
      <c r="DC359" s="183"/>
      <c r="DD359" s="183"/>
      <c r="DE359" s="183"/>
      <c r="DF359" s="183"/>
      <c r="DG359" s="183"/>
      <c r="DH359" s="183"/>
      <c r="DI359" s="183"/>
      <c r="DJ359" s="183"/>
      <c r="DK359" s="183"/>
      <c r="DL359" s="183"/>
      <c r="DM359" s="183"/>
      <c r="DN359" s="183"/>
      <c r="DO359" s="183"/>
      <c r="DP359" s="183"/>
      <c r="DQ359" s="183"/>
      <c r="DR359" s="183"/>
      <c r="DS359" s="183"/>
      <c r="DT359" s="183"/>
      <c r="DU359" s="183"/>
      <c r="DV359" s="183"/>
      <c r="DW359" s="183"/>
      <c r="DX359" s="183"/>
      <c r="DY359" s="183"/>
      <c r="DZ359" s="183"/>
      <c r="EA359" s="183"/>
      <c r="EB359" s="183"/>
      <c r="EC359" s="183"/>
      <c r="ED359" s="183"/>
      <c r="EE359" s="183"/>
      <c r="EF359" s="183"/>
      <c r="EG359" s="183"/>
      <c r="EH359" s="183"/>
      <c r="EI359" s="183"/>
      <c r="EJ359" s="183"/>
      <c r="EK359" s="183"/>
      <c r="EL359" s="183"/>
      <c r="EM359" s="183"/>
      <c r="EN359" s="183"/>
      <c r="EO359" s="183"/>
      <c r="EP359" s="183"/>
      <c r="EQ359" s="183"/>
      <c r="ER359" s="183"/>
      <c r="ES359" s="183"/>
      <c r="ET359" s="183"/>
      <c r="EU359" s="183"/>
      <c r="EV359" s="183"/>
      <c r="EW359" s="183"/>
      <c r="EX359" s="183"/>
      <c r="EY359" s="183"/>
      <c r="EZ359" s="183"/>
      <c r="FA359" s="183"/>
      <c r="FB359" s="183"/>
      <c r="FC359" s="183"/>
      <c r="FD359" s="183"/>
      <c r="FE359" s="183"/>
      <c r="FF359" s="183"/>
      <c r="FG359" s="183"/>
      <c r="FH359" s="183"/>
      <c r="FI359" s="183"/>
      <c r="FJ359" s="183"/>
      <c r="FK359" s="183"/>
      <c r="FL359" s="183"/>
      <c r="FM359" s="183"/>
      <c r="FN359" s="183"/>
      <c r="FO359" s="183"/>
      <c r="FP359" s="183"/>
      <c r="FQ359" s="183"/>
      <c r="FR359" s="183"/>
      <c r="FS359" s="183"/>
      <c r="FT359" s="183"/>
      <c r="FU359" s="183"/>
      <c r="FV359" s="183"/>
      <c r="FW359" s="183"/>
      <c r="FX359" s="183"/>
      <c r="FY359" s="183"/>
      <c r="FZ359" s="183"/>
      <c r="GA359" s="183"/>
      <c r="GB359" s="183"/>
      <c r="GC359" s="183"/>
      <c r="GD359" s="183"/>
      <c r="GE359" s="183"/>
      <c r="GF359" s="183"/>
      <c r="GG359" s="183"/>
      <c r="GH359" s="183"/>
      <c r="GI359" s="183"/>
      <c r="GJ359" s="183"/>
      <c r="GK359" s="183"/>
      <c r="GL359" s="183"/>
      <c r="GM359" s="183"/>
      <c r="GN359" s="183"/>
      <c r="GO359" s="183"/>
      <c r="GP359" s="183"/>
      <c r="GQ359" s="183"/>
      <c r="GR359" s="183"/>
      <c r="GS359" s="183"/>
      <c r="GT359" s="183"/>
      <c r="GU359" s="183"/>
      <c r="GV359" s="183"/>
      <c r="GW359" s="183"/>
      <c r="GX359" s="183"/>
      <c r="GY359" s="183"/>
      <c r="GZ359" s="183"/>
      <c r="HA359" s="183"/>
      <c r="HB359" s="183"/>
      <c r="HC359" s="183"/>
      <c r="HD359" s="183"/>
      <c r="HE359" s="183"/>
      <c r="HF359" s="183"/>
      <c r="HG359" s="183"/>
      <c r="HH359" s="183"/>
      <c r="HI359" s="183"/>
      <c r="HJ359" s="183"/>
      <c r="HK359" s="183"/>
      <c r="HL359" s="183"/>
      <c r="HM359" s="183"/>
      <c r="HN359" s="183"/>
      <c r="HO359" s="183"/>
      <c r="HP359" s="183"/>
      <c r="HQ359" s="183"/>
      <c r="HR359" s="183"/>
      <c r="HS359" s="183"/>
      <c r="HT359" s="183"/>
      <c r="HU359" s="183"/>
      <c r="HV359" s="183"/>
      <c r="HW359" s="183"/>
      <c r="HX359" s="183"/>
      <c r="HY359" s="183"/>
      <c r="HZ359" s="183"/>
      <c r="IA359" s="183"/>
      <c r="IB359" s="183"/>
      <c r="IC359" s="183"/>
      <c r="ID359" s="183"/>
      <c r="IE359" s="183"/>
      <c r="IF359" s="183"/>
      <c r="IG359" s="183"/>
      <c r="IH359" s="183"/>
      <c r="II359" s="183"/>
      <c r="IJ359" s="183"/>
      <c r="IK359" s="183"/>
      <c r="IL359" s="183"/>
      <c r="IM359" s="183"/>
      <c r="IN359" s="183"/>
      <c r="IO359" s="183"/>
      <c r="IP359" s="183"/>
      <c r="IQ359" s="183"/>
    </row>
    <row r="360" spans="1:251" ht="39" x14ac:dyDescent="0.3">
      <c r="A360" s="83" t="s">
        <v>184</v>
      </c>
      <c r="B360" s="202" t="s">
        <v>276</v>
      </c>
      <c r="C360" s="191" t="s">
        <v>30</v>
      </c>
      <c r="D360" s="192" t="s">
        <v>31</v>
      </c>
      <c r="E360" s="192" t="s">
        <v>32</v>
      </c>
      <c r="F360" s="114" t="s">
        <v>33</v>
      </c>
      <c r="G360" s="191" t="s">
        <v>5</v>
      </c>
      <c r="H360" s="199"/>
      <c r="I360" s="183"/>
      <c r="J360" s="183"/>
      <c r="K360" s="183"/>
      <c r="L360" s="183"/>
      <c r="M360" s="183"/>
      <c r="N360" s="183"/>
      <c r="O360" s="183"/>
      <c r="P360" s="183"/>
      <c r="Q360" s="183"/>
      <c r="R360" s="183"/>
      <c r="S360" s="183"/>
      <c r="T360" s="183"/>
      <c r="U360" s="183"/>
      <c r="V360" s="183"/>
      <c r="W360" s="183"/>
      <c r="X360" s="183"/>
      <c r="Y360" s="183"/>
      <c r="Z360" s="183"/>
      <c r="AA360" s="183"/>
      <c r="AB360" s="183"/>
      <c r="AC360" s="183"/>
      <c r="AD360" s="183"/>
      <c r="AE360" s="183"/>
      <c r="AF360" s="183"/>
      <c r="AG360" s="183"/>
      <c r="AH360" s="183"/>
      <c r="AI360" s="183"/>
      <c r="AJ360" s="183"/>
      <c r="AK360" s="183"/>
      <c r="AL360" s="183"/>
      <c r="AM360" s="183"/>
      <c r="AN360" s="183"/>
      <c r="AO360" s="183"/>
      <c r="AP360" s="183"/>
      <c r="AQ360" s="183"/>
      <c r="AR360" s="183"/>
      <c r="AS360" s="183"/>
      <c r="AT360" s="183"/>
      <c r="AU360" s="183"/>
      <c r="AV360" s="183"/>
      <c r="AW360" s="183"/>
      <c r="AX360" s="183"/>
      <c r="AY360" s="183"/>
      <c r="AZ360" s="183"/>
      <c r="BA360" s="183"/>
      <c r="BB360" s="183"/>
      <c r="BC360" s="183"/>
      <c r="BD360" s="183"/>
      <c r="BE360" s="183"/>
      <c r="BF360" s="183"/>
      <c r="BG360" s="183"/>
      <c r="BH360" s="183"/>
      <c r="BI360" s="183"/>
      <c r="BJ360" s="183"/>
      <c r="BK360" s="183"/>
      <c r="BL360" s="183"/>
      <c r="BM360" s="183"/>
      <c r="BN360" s="183"/>
      <c r="BO360" s="183"/>
      <c r="BP360" s="183"/>
      <c r="BQ360" s="183"/>
      <c r="BR360" s="183"/>
      <c r="BS360" s="183"/>
      <c r="BT360" s="183"/>
      <c r="BU360" s="183"/>
      <c r="BV360" s="183"/>
      <c r="BW360" s="183"/>
      <c r="BX360" s="183"/>
      <c r="BY360" s="183"/>
      <c r="BZ360" s="183"/>
      <c r="CA360" s="183"/>
      <c r="CB360" s="183"/>
      <c r="CC360" s="183"/>
      <c r="CD360" s="183"/>
      <c r="CE360" s="183"/>
      <c r="CF360" s="183"/>
      <c r="CG360" s="183"/>
      <c r="CH360" s="183"/>
      <c r="CI360" s="183"/>
      <c r="CJ360" s="183"/>
      <c r="CK360" s="183"/>
      <c r="CL360" s="183"/>
      <c r="CM360" s="183"/>
      <c r="CN360" s="183"/>
      <c r="CO360" s="183"/>
      <c r="CP360" s="183"/>
      <c r="CQ360" s="183"/>
      <c r="CR360" s="183"/>
      <c r="CS360" s="183"/>
      <c r="CT360" s="183"/>
      <c r="CU360" s="183"/>
      <c r="CV360" s="183"/>
      <c r="CW360" s="183"/>
      <c r="CX360" s="183"/>
      <c r="CY360" s="183"/>
      <c r="CZ360" s="183"/>
      <c r="DA360" s="183"/>
      <c r="DB360" s="183"/>
      <c r="DC360" s="183"/>
      <c r="DD360" s="183"/>
      <c r="DE360" s="183"/>
      <c r="DF360" s="183"/>
      <c r="DG360" s="183"/>
      <c r="DH360" s="183"/>
      <c r="DI360" s="183"/>
      <c r="DJ360" s="183"/>
      <c r="DK360" s="183"/>
      <c r="DL360" s="183"/>
      <c r="DM360" s="183"/>
      <c r="DN360" s="183"/>
      <c r="DO360" s="183"/>
      <c r="DP360" s="183"/>
      <c r="DQ360" s="183"/>
      <c r="DR360" s="183"/>
      <c r="DS360" s="183"/>
      <c r="DT360" s="183"/>
      <c r="DU360" s="183"/>
      <c r="DV360" s="183"/>
      <c r="DW360" s="183"/>
      <c r="DX360" s="183"/>
      <c r="DY360" s="183"/>
      <c r="DZ360" s="183"/>
      <c r="EA360" s="183"/>
      <c r="EB360" s="183"/>
      <c r="EC360" s="183"/>
      <c r="ED360" s="183"/>
      <c r="EE360" s="183"/>
      <c r="EF360" s="183"/>
      <c r="EG360" s="183"/>
      <c r="EH360" s="183"/>
      <c r="EI360" s="183"/>
      <c r="EJ360" s="183"/>
      <c r="EK360" s="183"/>
      <c r="EL360" s="183"/>
      <c r="EM360" s="183"/>
      <c r="EN360" s="183"/>
      <c r="EO360" s="183"/>
      <c r="EP360" s="183"/>
      <c r="EQ360" s="183"/>
      <c r="ER360" s="183"/>
      <c r="ES360" s="183"/>
      <c r="ET360" s="183"/>
      <c r="EU360" s="183"/>
      <c r="EV360" s="183"/>
      <c r="EW360" s="183"/>
      <c r="EX360" s="183"/>
      <c r="EY360" s="183"/>
      <c r="EZ360" s="183"/>
      <c r="FA360" s="183"/>
      <c r="FB360" s="183"/>
      <c r="FC360" s="183"/>
      <c r="FD360" s="183"/>
      <c r="FE360" s="183"/>
      <c r="FF360" s="183"/>
      <c r="FG360" s="183"/>
      <c r="FH360" s="183"/>
      <c r="FI360" s="183"/>
      <c r="FJ360" s="183"/>
      <c r="FK360" s="183"/>
      <c r="FL360" s="183"/>
      <c r="FM360" s="183"/>
      <c r="FN360" s="183"/>
      <c r="FO360" s="183"/>
      <c r="FP360" s="183"/>
      <c r="FQ360" s="183"/>
      <c r="FR360" s="183"/>
      <c r="FS360" s="183"/>
      <c r="FT360" s="183"/>
      <c r="FU360" s="183"/>
      <c r="FV360" s="183"/>
      <c r="FW360" s="183"/>
      <c r="FX360" s="183"/>
      <c r="FY360" s="183"/>
      <c r="FZ360" s="183"/>
      <c r="GA360" s="183"/>
      <c r="GB360" s="183"/>
      <c r="GC360" s="183"/>
      <c r="GD360" s="183"/>
      <c r="GE360" s="183"/>
      <c r="GF360" s="183"/>
      <c r="GG360" s="183"/>
      <c r="GH360" s="183"/>
      <c r="GI360" s="183"/>
      <c r="GJ360" s="183"/>
      <c r="GK360" s="183"/>
      <c r="GL360" s="183"/>
      <c r="GM360" s="183"/>
      <c r="GN360" s="183"/>
      <c r="GO360" s="183"/>
      <c r="GP360" s="183"/>
      <c r="GQ360" s="183"/>
      <c r="GR360" s="183"/>
      <c r="GS360" s="183"/>
      <c r="GT360" s="183"/>
      <c r="GU360" s="183"/>
      <c r="GV360" s="183"/>
      <c r="GW360" s="183"/>
      <c r="GX360" s="183"/>
      <c r="GY360" s="183"/>
      <c r="GZ360" s="183"/>
      <c r="HA360" s="183"/>
      <c r="HB360" s="183"/>
      <c r="HC360" s="183"/>
      <c r="HD360" s="183"/>
      <c r="HE360" s="183"/>
      <c r="HF360" s="183"/>
      <c r="HG360" s="183"/>
      <c r="HH360" s="183"/>
      <c r="HI360" s="183"/>
      <c r="HJ360" s="183"/>
      <c r="HK360" s="183"/>
      <c r="HL360" s="183"/>
      <c r="HM360" s="183"/>
      <c r="HN360" s="183"/>
      <c r="HO360" s="183"/>
      <c r="HP360" s="183"/>
      <c r="HQ360" s="183"/>
      <c r="HR360" s="183"/>
      <c r="HS360" s="183"/>
      <c r="HT360" s="183"/>
      <c r="HU360" s="183"/>
      <c r="HV360" s="183"/>
      <c r="HW360" s="183"/>
      <c r="HX360" s="183"/>
      <c r="HY360" s="183"/>
      <c r="HZ360" s="183"/>
      <c r="IA360" s="183"/>
      <c r="IB360" s="183"/>
      <c r="IC360" s="183"/>
      <c r="ID360" s="183"/>
      <c r="IE360" s="183"/>
      <c r="IF360" s="183"/>
      <c r="IG360" s="183"/>
      <c r="IH360" s="183"/>
      <c r="II360" s="183"/>
      <c r="IJ360" s="183"/>
      <c r="IK360" s="183"/>
      <c r="IL360" s="183"/>
      <c r="IM360" s="183"/>
      <c r="IN360" s="183"/>
      <c r="IO360" s="183"/>
      <c r="IP360" s="183"/>
      <c r="IQ360" s="183"/>
    </row>
    <row r="361" spans="1:251" x14ac:dyDescent="0.3">
      <c r="A361" s="268" t="s">
        <v>277</v>
      </c>
      <c r="B361" s="271" t="s">
        <v>46</v>
      </c>
      <c r="C361" s="274" t="s">
        <v>36</v>
      </c>
      <c r="D361" s="265" t="s">
        <v>37</v>
      </c>
      <c r="E361" s="265" t="s">
        <v>38</v>
      </c>
      <c r="F361" s="108" t="s">
        <v>233</v>
      </c>
      <c r="G361" s="286"/>
      <c r="H361" s="289"/>
      <c r="I361" s="290"/>
      <c r="J361" s="290"/>
      <c r="K361" s="290"/>
      <c r="L361" s="290"/>
      <c r="M361" s="290"/>
      <c r="N361" s="290"/>
      <c r="O361" s="290"/>
      <c r="P361" s="290"/>
      <c r="Q361" s="290"/>
      <c r="R361" s="290"/>
      <c r="S361" s="290"/>
      <c r="T361" s="290"/>
      <c r="U361" s="290"/>
      <c r="V361" s="290"/>
      <c r="W361" s="290"/>
      <c r="X361" s="290"/>
      <c r="Y361" s="290"/>
      <c r="Z361" s="290"/>
      <c r="AA361" s="290"/>
      <c r="AB361" s="290"/>
      <c r="AC361" s="290"/>
      <c r="AD361" s="290"/>
      <c r="AE361" s="290"/>
      <c r="AF361" s="290"/>
      <c r="AG361" s="290"/>
      <c r="AH361" s="290"/>
      <c r="AI361" s="290"/>
      <c r="AJ361" s="290"/>
      <c r="AK361" s="290"/>
      <c r="AL361" s="290"/>
      <c r="AM361" s="290"/>
      <c r="AN361" s="290"/>
      <c r="AO361" s="290"/>
      <c r="AP361" s="290"/>
      <c r="AQ361" s="290"/>
      <c r="AR361" s="290"/>
      <c r="AS361" s="290"/>
      <c r="AT361" s="290"/>
      <c r="AU361" s="290"/>
      <c r="AV361" s="290"/>
      <c r="AW361" s="290"/>
      <c r="AX361" s="290"/>
      <c r="AY361" s="290"/>
      <c r="AZ361" s="290"/>
      <c r="BA361" s="290"/>
      <c r="BB361" s="290"/>
      <c r="BC361" s="290"/>
      <c r="BD361" s="290"/>
      <c r="BE361" s="290"/>
      <c r="BF361" s="290"/>
      <c r="BG361" s="290"/>
      <c r="BH361" s="290"/>
      <c r="BI361" s="290"/>
      <c r="BJ361" s="290"/>
      <c r="BK361" s="290"/>
      <c r="BL361" s="290"/>
      <c r="BM361" s="290"/>
      <c r="BN361" s="290"/>
      <c r="BO361" s="290"/>
      <c r="BP361" s="290"/>
      <c r="BQ361" s="290"/>
      <c r="BR361" s="290"/>
      <c r="BS361" s="290"/>
      <c r="BT361" s="290"/>
      <c r="BU361" s="290"/>
      <c r="BV361" s="290"/>
      <c r="BW361" s="290"/>
      <c r="BX361" s="290"/>
      <c r="BY361" s="290"/>
      <c r="BZ361" s="290"/>
      <c r="CA361" s="290"/>
      <c r="CB361" s="290"/>
      <c r="CC361" s="290"/>
      <c r="CD361" s="290"/>
      <c r="CE361" s="290"/>
      <c r="CF361" s="290"/>
      <c r="CG361" s="290"/>
      <c r="CH361" s="290"/>
      <c r="CI361" s="290"/>
      <c r="CJ361" s="290"/>
      <c r="CK361" s="290"/>
      <c r="CL361" s="290"/>
      <c r="CM361" s="290"/>
      <c r="CN361" s="290"/>
      <c r="CO361" s="290"/>
      <c r="CP361" s="290"/>
      <c r="CQ361" s="290"/>
      <c r="CR361" s="290"/>
      <c r="CS361" s="290"/>
      <c r="CT361" s="290"/>
      <c r="CU361" s="290"/>
      <c r="CV361" s="290"/>
      <c r="CW361" s="290"/>
      <c r="CX361" s="290"/>
      <c r="CY361" s="290"/>
      <c r="CZ361" s="290"/>
      <c r="DA361" s="290"/>
      <c r="DB361" s="290"/>
      <c r="DC361" s="290"/>
      <c r="DD361" s="290"/>
      <c r="DE361" s="290"/>
      <c r="DF361" s="290"/>
      <c r="DG361" s="290"/>
      <c r="DH361" s="290"/>
      <c r="DI361" s="290"/>
      <c r="DJ361" s="290"/>
      <c r="DK361" s="290"/>
      <c r="DL361" s="290"/>
      <c r="DM361" s="290"/>
      <c r="DN361" s="290"/>
      <c r="DO361" s="290"/>
      <c r="DP361" s="290"/>
      <c r="DQ361" s="290"/>
      <c r="DR361" s="290"/>
      <c r="DS361" s="290"/>
      <c r="DT361" s="290"/>
      <c r="DU361" s="290"/>
      <c r="DV361" s="290"/>
      <c r="DW361" s="290"/>
      <c r="DX361" s="290"/>
      <c r="DY361" s="290"/>
      <c r="DZ361" s="290"/>
      <c r="EA361" s="290"/>
      <c r="EB361" s="290"/>
      <c r="EC361" s="290"/>
      <c r="ED361" s="290"/>
      <c r="EE361" s="290"/>
      <c r="EF361" s="290"/>
      <c r="EG361" s="290"/>
      <c r="EH361" s="290"/>
      <c r="EI361" s="290"/>
      <c r="EJ361" s="290"/>
      <c r="EK361" s="290"/>
      <c r="EL361" s="290"/>
      <c r="EM361" s="290"/>
      <c r="EN361" s="290"/>
      <c r="EO361" s="290"/>
      <c r="EP361" s="290"/>
      <c r="EQ361" s="290"/>
      <c r="ER361" s="290"/>
      <c r="ES361" s="290"/>
      <c r="ET361" s="290"/>
      <c r="EU361" s="290"/>
      <c r="EV361" s="290"/>
      <c r="EW361" s="290"/>
      <c r="EX361" s="290"/>
      <c r="EY361" s="290"/>
      <c r="EZ361" s="290"/>
      <c r="FA361" s="290"/>
      <c r="FB361" s="290"/>
      <c r="FC361" s="290"/>
      <c r="FD361" s="290"/>
      <c r="FE361" s="290"/>
      <c r="FF361" s="290"/>
      <c r="FG361" s="290"/>
      <c r="FH361" s="290"/>
      <c r="FI361" s="290"/>
      <c r="FJ361" s="290"/>
      <c r="FK361" s="290"/>
      <c r="FL361" s="290"/>
      <c r="FM361" s="290"/>
      <c r="FN361" s="290"/>
      <c r="FO361" s="290"/>
      <c r="FP361" s="290"/>
      <c r="FQ361" s="290"/>
      <c r="FR361" s="290"/>
      <c r="FS361" s="290"/>
      <c r="FT361" s="290"/>
      <c r="FU361" s="290"/>
      <c r="FV361" s="290"/>
      <c r="FW361" s="290"/>
      <c r="FX361" s="290"/>
      <c r="FY361" s="290"/>
      <c r="FZ361" s="290"/>
      <c r="GA361" s="290"/>
      <c r="GB361" s="290"/>
      <c r="GC361" s="290"/>
      <c r="GD361" s="290"/>
      <c r="GE361" s="290"/>
      <c r="GF361" s="290"/>
      <c r="GG361" s="290"/>
      <c r="GH361" s="290"/>
      <c r="GI361" s="290"/>
      <c r="GJ361" s="290"/>
      <c r="GK361" s="290"/>
      <c r="GL361" s="290"/>
      <c r="GM361" s="290"/>
      <c r="GN361" s="290"/>
      <c r="GO361" s="290"/>
      <c r="GP361" s="290"/>
      <c r="GQ361" s="290"/>
      <c r="GR361" s="290"/>
      <c r="GS361" s="290"/>
      <c r="GT361" s="290"/>
      <c r="GU361" s="290"/>
      <c r="GV361" s="290"/>
      <c r="GW361" s="290"/>
      <c r="GX361" s="290"/>
      <c r="GY361" s="290"/>
      <c r="GZ361" s="290"/>
      <c r="HA361" s="290"/>
      <c r="HB361" s="290"/>
      <c r="HC361" s="290"/>
      <c r="HD361" s="290"/>
      <c r="HE361" s="290"/>
      <c r="HF361" s="290"/>
      <c r="HG361" s="290"/>
      <c r="HH361" s="290"/>
      <c r="HI361" s="290"/>
      <c r="HJ361" s="290"/>
      <c r="HK361" s="290"/>
      <c r="HL361" s="290"/>
      <c r="HM361" s="290"/>
      <c r="HN361" s="290"/>
      <c r="HO361" s="290"/>
      <c r="HP361" s="290"/>
      <c r="HQ361" s="290"/>
      <c r="HR361" s="290"/>
      <c r="HS361" s="290"/>
      <c r="HT361" s="290"/>
      <c r="HU361" s="290"/>
      <c r="HV361" s="290"/>
      <c r="HW361" s="290"/>
      <c r="HX361" s="290"/>
      <c r="HY361" s="290"/>
      <c r="HZ361" s="290"/>
      <c r="IA361" s="290"/>
      <c r="IB361" s="290"/>
      <c r="IC361" s="290"/>
      <c r="ID361" s="290"/>
      <c r="IE361" s="290"/>
      <c r="IF361" s="290"/>
      <c r="IG361" s="290"/>
      <c r="IH361" s="290"/>
      <c r="II361" s="290"/>
      <c r="IJ361" s="290"/>
      <c r="IK361" s="290"/>
      <c r="IL361" s="290"/>
      <c r="IM361" s="290"/>
      <c r="IN361" s="290"/>
      <c r="IO361" s="290"/>
      <c r="IP361" s="290"/>
      <c r="IQ361" s="290"/>
    </row>
    <row r="362" spans="1:251" x14ac:dyDescent="0.3">
      <c r="A362" s="269"/>
      <c r="B362" s="272"/>
      <c r="C362" s="275"/>
      <c r="D362" s="266"/>
      <c r="E362" s="266"/>
      <c r="F362" s="109" t="s">
        <v>234</v>
      </c>
      <c r="G362" s="287"/>
      <c r="H362" s="289"/>
      <c r="I362" s="290"/>
      <c r="J362" s="290"/>
      <c r="K362" s="290"/>
      <c r="L362" s="290"/>
      <c r="M362" s="290"/>
      <c r="N362" s="290"/>
      <c r="O362" s="290"/>
      <c r="P362" s="290"/>
      <c r="Q362" s="290"/>
      <c r="R362" s="290"/>
      <c r="S362" s="290"/>
      <c r="T362" s="290"/>
      <c r="U362" s="290"/>
      <c r="V362" s="290"/>
      <c r="W362" s="290"/>
      <c r="X362" s="290"/>
      <c r="Y362" s="290"/>
      <c r="Z362" s="290"/>
      <c r="AA362" s="290"/>
      <c r="AB362" s="290"/>
      <c r="AC362" s="290"/>
      <c r="AD362" s="290"/>
      <c r="AE362" s="290"/>
      <c r="AF362" s="290"/>
      <c r="AG362" s="290"/>
      <c r="AH362" s="290"/>
      <c r="AI362" s="290"/>
      <c r="AJ362" s="290"/>
      <c r="AK362" s="290"/>
      <c r="AL362" s="290"/>
      <c r="AM362" s="290"/>
      <c r="AN362" s="290"/>
      <c r="AO362" s="290"/>
      <c r="AP362" s="290"/>
      <c r="AQ362" s="290"/>
      <c r="AR362" s="290"/>
      <c r="AS362" s="290"/>
      <c r="AT362" s="290"/>
      <c r="AU362" s="290"/>
      <c r="AV362" s="290"/>
      <c r="AW362" s="290"/>
      <c r="AX362" s="290"/>
      <c r="AY362" s="290"/>
      <c r="AZ362" s="290"/>
      <c r="BA362" s="290"/>
      <c r="BB362" s="290"/>
      <c r="BC362" s="290"/>
      <c r="BD362" s="290"/>
      <c r="BE362" s="290"/>
      <c r="BF362" s="290"/>
      <c r="BG362" s="290"/>
      <c r="BH362" s="290"/>
      <c r="BI362" s="290"/>
      <c r="BJ362" s="290"/>
      <c r="BK362" s="290"/>
      <c r="BL362" s="290"/>
      <c r="BM362" s="290"/>
      <c r="BN362" s="290"/>
      <c r="BO362" s="290"/>
      <c r="BP362" s="290"/>
      <c r="BQ362" s="290"/>
      <c r="BR362" s="290"/>
      <c r="BS362" s="290"/>
      <c r="BT362" s="290"/>
      <c r="BU362" s="290"/>
      <c r="BV362" s="290"/>
      <c r="BW362" s="290"/>
      <c r="BX362" s="290"/>
      <c r="BY362" s="290"/>
      <c r="BZ362" s="290"/>
      <c r="CA362" s="290"/>
      <c r="CB362" s="290"/>
      <c r="CC362" s="290"/>
      <c r="CD362" s="290"/>
      <c r="CE362" s="290"/>
      <c r="CF362" s="290"/>
      <c r="CG362" s="290"/>
      <c r="CH362" s="290"/>
      <c r="CI362" s="290"/>
      <c r="CJ362" s="290"/>
      <c r="CK362" s="290"/>
      <c r="CL362" s="290"/>
      <c r="CM362" s="290"/>
      <c r="CN362" s="290"/>
      <c r="CO362" s="290"/>
      <c r="CP362" s="290"/>
      <c r="CQ362" s="290"/>
      <c r="CR362" s="290"/>
      <c r="CS362" s="290"/>
      <c r="CT362" s="290"/>
      <c r="CU362" s="290"/>
      <c r="CV362" s="290"/>
      <c r="CW362" s="290"/>
      <c r="CX362" s="290"/>
      <c r="CY362" s="290"/>
      <c r="CZ362" s="290"/>
      <c r="DA362" s="290"/>
      <c r="DB362" s="290"/>
      <c r="DC362" s="290"/>
      <c r="DD362" s="290"/>
      <c r="DE362" s="290"/>
      <c r="DF362" s="290"/>
      <c r="DG362" s="290"/>
      <c r="DH362" s="290"/>
      <c r="DI362" s="290"/>
      <c r="DJ362" s="290"/>
      <c r="DK362" s="290"/>
      <c r="DL362" s="290"/>
      <c r="DM362" s="290"/>
      <c r="DN362" s="290"/>
      <c r="DO362" s="290"/>
      <c r="DP362" s="290"/>
      <c r="DQ362" s="290"/>
      <c r="DR362" s="290"/>
      <c r="DS362" s="290"/>
      <c r="DT362" s="290"/>
      <c r="DU362" s="290"/>
      <c r="DV362" s="290"/>
      <c r="DW362" s="290"/>
      <c r="DX362" s="290"/>
      <c r="DY362" s="290"/>
      <c r="DZ362" s="290"/>
      <c r="EA362" s="290"/>
      <c r="EB362" s="290"/>
      <c r="EC362" s="290"/>
      <c r="ED362" s="290"/>
      <c r="EE362" s="290"/>
      <c r="EF362" s="290"/>
      <c r="EG362" s="290"/>
      <c r="EH362" s="290"/>
      <c r="EI362" s="290"/>
      <c r="EJ362" s="290"/>
      <c r="EK362" s="290"/>
      <c r="EL362" s="290"/>
      <c r="EM362" s="290"/>
      <c r="EN362" s="290"/>
      <c r="EO362" s="290"/>
      <c r="EP362" s="290"/>
      <c r="EQ362" s="290"/>
      <c r="ER362" s="290"/>
      <c r="ES362" s="290"/>
      <c r="ET362" s="290"/>
      <c r="EU362" s="290"/>
      <c r="EV362" s="290"/>
      <c r="EW362" s="290"/>
      <c r="EX362" s="290"/>
      <c r="EY362" s="290"/>
      <c r="EZ362" s="290"/>
      <c r="FA362" s="290"/>
      <c r="FB362" s="290"/>
      <c r="FC362" s="290"/>
      <c r="FD362" s="290"/>
      <c r="FE362" s="290"/>
      <c r="FF362" s="290"/>
      <c r="FG362" s="290"/>
      <c r="FH362" s="290"/>
      <c r="FI362" s="290"/>
      <c r="FJ362" s="290"/>
      <c r="FK362" s="290"/>
      <c r="FL362" s="290"/>
      <c r="FM362" s="290"/>
      <c r="FN362" s="290"/>
      <c r="FO362" s="290"/>
      <c r="FP362" s="290"/>
      <c r="FQ362" s="290"/>
      <c r="FR362" s="290"/>
      <c r="FS362" s="290"/>
      <c r="FT362" s="290"/>
      <c r="FU362" s="290"/>
      <c r="FV362" s="290"/>
      <c r="FW362" s="290"/>
      <c r="FX362" s="290"/>
      <c r="FY362" s="290"/>
      <c r="FZ362" s="290"/>
      <c r="GA362" s="290"/>
      <c r="GB362" s="290"/>
      <c r="GC362" s="290"/>
      <c r="GD362" s="290"/>
      <c r="GE362" s="290"/>
      <c r="GF362" s="290"/>
      <c r="GG362" s="290"/>
      <c r="GH362" s="290"/>
      <c r="GI362" s="290"/>
      <c r="GJ362" s="290"/>
      <c r="GK362" s="290"/>
      <c r="GL362" s="290"/>
      <c r="GM362" s="290"/>
      <c r="GN362" s="290"/>
      <c r="GO362" s="290"/>
      <c r="GP362" s="290"/>
      <c r="GQ362" s="290"/>
      <c r="GR362" s="290"/>
      <c r="GS362" s="290"/>
      <c r="GT362" s="290"/>
      <c r="GU362" s="290"/>
      <c r="GV362" s="290"/>
      <c r="GW362" s="290"/>
      <c r="GX362" s="290"/>
      <c r="GY362" s="290"/>
      <c r="GZ362" s="290"/>
      <c r="HA362" s="290"/>
      <c r="HB362" s="290"/>
      <c r="HC362" s="290"/>
      <c r="HD362" s="290"/>
      <c r="HE362" s="290"/>
      <c r="HF362" s="290"/>
      <c r="HG362" s="290"/>
      <c r="HH362" s="290"/>
      <c r="HI362" s="290"/>
      <c r="HJ362" s="290"/>
      <c r="HK362" s="290"/>
      <c r="HL362" s="290"/>
      <c r="HM362" s="290"/>
      <c r="HN362" s="290"/>
      <c r="HO362" s="290"/>
      <c r="HP362" s="290"/>
      <c r="HQ362" s="290"/>
      <c r="HR362" s="290"/>
      <c r="HS362" s="290"/>
      <c r="HT362" s="290"/>
      <c r="HU362" s="290"/>
      <c r="HV362" s="290"/>
      <c r="HW362" s="290"/>
      <c r="HX362" s="290"/>
      <c r="HY362" s="290"/>
      <c r="HZ362" s="290"/>
      <c r="IA362" s="290"/>
      <c r="IB362" s="290"/>
      <c r="IC362" s="290"/>
      <c r="ID362" s="290"/>
      <c r="IE362" s="290"/>
      <c r="IF362" s="290"/>
      <c r="IG362" s="290"/>
      <c r="IH362" s="290"/>
      <c r="II362" s="290"/>
      <c r="IJ362" s="290"/>
      <c r="IK362" s="290"/>
      <c r="IL362" s="290"/>
      <c r="IM362" s="290"/>
      <c r="IN362" s="290"/>
      <c r="IO362" s="290"/>
      <c r="IP362" s="290"/>
      <c r="IQ362" s="290"/>
    </row>
    <row r="363" spans="1:251" x14ac:dyDescent="0.3">
      <c r="A363" s="270"/>
      <c r="B363" s="273"/>
      <c r="C363" s="276"/>
      <c r="D363" s="267"/>
      <c r="E363" s="267"/>
      <c r="F363" s="110" t="s">
        <v>235</v>
      </c>
      <c r="G363" s="288"/>
      <c r="H363" s="289"/>
      <c r="I363" s="290"/>
      <c r="J363" s="290"/>
      <c r="K363" s="290"/>
      <c r="L363" s="290"/>
      <c r="M363" s="290"/>
      <c r="N363" s="290"/>
      <c r="O363" s="290"/>
      <c r="P363" s="290"/>
      <c r="Q363" s="290"/>
      <c r="R363" s="290"/>
      <c r="S363" s="290"/>
      <c r="T363" s="290"/>
      <c r="U363" s="290"/>
      <c r="V363" s="290"/>
      <c r="W363" s="290"/>
      <c r="X363" s="290"/>
      <c r="Y363" s="290"/>
      <c r="Z363" s="290"/>
      <c r="AA363" s="290"/>
      <c r="AB363" s="290"/>
      <c r="AC363" s="290"/>
      <c r="AD363" s="290"/>
      <c r="AE363" s="290"/>
      <c r="AF363" s="290"/>
      <c r="AG363" s="290"/>
      <c r="AH363" s="290"/>
      <c r="AI363" s="290"/>
      <c r="AJ363" s="290"/>
      <c r="AK363" s="290"/>
      <c r="AL363" s="290"/>
      <c r="AM363" s="290"/>
      <c r="AN363" s="290"/>
      <c r="AO363" s="290"/>
      <c r="AP363" s="290"/>
      <c r="AQ363" s="290"/>
      <c r="AR363" s="290"/>
      <c r="AS363" s="290"/>
      <c r="AT363" s="290"/>
      <c r="AU363" s="290"/>
      <c r="AV363" s="290"/>
      <c r="AW363" s="290"/>
      <c r="AX363" s="290"/>
      <c r="AY363" s="290"/>
      <c r="AZ363" s="290"/>
      <c r="BA363" s="290"/>
      <c r="BB363" s="290"/>
      <c r="BC363" s="290"/>
      <c r="BD363" s="290"/>
      <c r="BE363" s="290"/>
      <c r="BF363" s="290"/>
      <c r="BG363" s="290"/>
      <c r="BH363" s="290"/>
      <c r="BI363" s="290"/>
      <c r="BJ363" s="290"/>
      <c r="BK363" s="290"/>
      <c r="BL363" s="290"/>
      <c r="BM363" s="290"/>
      <c r="BN363" s="290"/>
      <c r="BO363" s="290"/>
      <c r="BP363" s="290"/>
      <c r="BQ363" s="290"/>
      <c r="BR363" s="290"/>
      <c r="BS363" s="290"/>
      <c r="BT363" s="290"/>
      <c r="BU363" s="290"/>
      <c r="BV363" s="290"/>
      <c r="BW363" s="290"/>
      <c r="BX363" s="290"/>
      <c r="BY363" s="290"/>
      <c r="BZ363" s="290"/>
      <c r="CA363" s="290"/>
      <c r="CB363" s="290"/>
      <c r="CC363" s="290"/>
      <c r="CD363" s="290"/>
      <c r="CE363" s="290"/>
      <c r="CF363" s="290"/>
      <c r="CG363" s="290"/>
      <c r="CH363" s="290"/>
      <c r="CI363" s="290"/>
      <c r="CJ363" s="290"/>
      <c r="CK363" s="290"/>
      <c r="CL363" s="290"/>
      <c r="CM363" s="290"/>
      <c r="CN363" s="290"/>
      <c r="CO363" s="290"/>
      <c r="CP363" s="290"/>
      <c r="CQ363" s="290"/>
      <c r="CR363" s="290"/>
      <c r="CS363" s="290"/>
      <c r="CT363" s="290"/>
      <c r="CU363" s="290"/>
      <c r="CV363" s="290"/>
      <c r="CW363" s="290"/>
      <c r="CX363" s="290"/>
      <c r="CY363" s="290"/>
      <c r="CZ363" s="290"/>
      <c r="DA363" s="290"/>
      <c r="DB363" s="290"/>
      <c r="DC363" s="290"/>
      <c r="DD363" s="290"/>
      <c r="DE363" s="290"/>
      <c r="DF363" s="290"/>
      <c r="DG363" s="290"/>
      <c r="DH363" s="290"/>
      <c r="DI363" s="290"/>
      <c r="DJ363" s="290"/>
      <c r="DK363" s="290"/>
      <c r="DL363" s="290"/>
      <c r="DM363" s="290"/>
      <c r="DN363" s="290"/>
      <c r="DO363" s="290"/>
      <c r="DP363" s="290"/>
      <c r="DQ363" s="290"/>
      <c r="DR363" s="290"/>
      <c r="DS363" s="290"/>
      <c r="DT363" s="290"/>
      <c r="DU363" s="290"/>
      <c r="DV363" s="290"/>
      <c r="DW363" s="290"/>
      <c r="DX363" s="290"/>
      <c r="DY363" s="290"/>
      <c r="DZ363" s="290"/>
      <c r="EA363" s="290"/>
      <c r="EB363" s="290"/>
      <c r="EC363" s="290"/>
      <c r="ED363" s="290"/>
      <c r="EE363" s="290"/>
      <c r="EF363" s="290"/>
      <c r="EG363" s="290"/>
      <c r="EH363" s="290"/>
      <c r="EI363" s="290"/>
      <c r="EJ363" s="290"/>
      <c r="EK363" s="290"/>
      <c r="EL363" s="290"/>
      <c r="EM363" s="290"/>
      <c r="EN363" s="290"/>
      <c r="EO363" s="290"/>
      <c r="EP363" s="290"/>
      <c r="EQ363" s="290"/>
      <c r="ER363" s="290"/>
      <c r="ES363" s="290"/>
      <c r="ET363" s="290"/>
      <c r="EU363" s="290"/>
      <c r="EV363" s="290"/>
      <c r="EW363" s="290"/>
      <c r="EX363" s="290"/>
      <c r="EY363" s="290"/>
      <c r="EZ363" s="290"/>
      <c r="FA363" s="290"/>
      <c r="FB363" s="290"/>
      <c r="FC363" s="290"/>
      <c r="FD363" s="290"/>
      <c r="FE363" s="290"/>
      <c r="FF363" s="290"/>
      <c r="FG363" s="290"/>
      <c r="FH363" s="290"/>
      <c r="FI363" s="290"/>
      <c r="FJ363" s="290"/>
      <c r="FK363" s="290"/>
      <c r="FL363" s="290"/>
      <c r="FM363" s="290"/>
      <c r="FN363" s="290"/>
      <c r="FO363" s="290"/>
      <c r="FP363" s="290"/>
      <c r="FQ363" s="290"/>
      <c r="FR363" s="290"/>
      <c r="FS363" s="290"/>
      <c r="FT363" s="290"/>
      <c r="FU363" s="290"/>
      <c r="FV363" s="290"/>
      <c r="FW363" s="290"/>
      <c r="FX363" s="290"/>
      <c r="FY363" s="290"/>
      <c r="FZ363" s="290"/>
      <c r="GA363" s="290"/>
      <c r="GB363" s="290"/>
      <c r="GC363" s="290"/>
      <c r="GD363" s="290"/>
      <c r="GE363" s="290"/>
      <c r="GF363" s="290"/>
      <c r="GG363" s="290"/>
      <c r="GH363" s="290"/>
      <c r="GI363" s="290"/>
      <c r="GJ363" s="290"/>
      <c r="GK363" s="290"/>
      <c r="GL363" s="290"/>
      <c r="GM363" s="290"/>
      <c r="GN363" s="290"/>
      <c r="GO363" s="290"/>
      <c r="GP363" s="290"/>
      <c r="GQ363" s="290"/>
      <c r="GR363" s="290"/>
      <c r="GS363" s="290"/>
      <c r="GT363" s="290"/>
      <c r="GU363" s="290"/>
      <c r="GV363" s="290"/>
      <c r="GW363" s="290"/>
      <c r="GX363" s="290"/>
      <c r="GY363" s="290"/>
      <c r="GZ363" s="290"/>
      <c r="HA363" s="290"/>
      <c r="HB363" s="290"/>
      <c r="HC363" s="290"/>
      <c r="HD363" s="290"/>
      <c r="HE363" s="290"/>
      <c r="HF363" s="290"/>
      <c r="HG363" s="290"/>
      <c r="HH363" s="290"/>
      <c r="HI363" s="290"/>
      <c r="HJ363" s="290"/>
      <c r="HK363" s="290"/>
      <c r="HL363" s="290"/>
      <c r="HM363" s="290"/>
      <c r="HN363" s="290"/>
      <c r="HO363" s="290"/>
      <c r="HP363" s="290"/>
      <c r="HQ363" s="290"/>
      <c r="HR363" s="290"/>
      <c r="HS363" s="290"/>
      <c r="HT363" s="290"/>
      <c r="HU363" s="290"/>
      <c r="HV363" s="290"/>
      <c r="HW363" s="290"/>
      <c r="HX363" s="290"/>
      <c r="HY363" s="290"/>
      <c r="HZ363" s="290"/>
      <c r="IA363" s="290"/>
      <c r="IB363" s="290"/>
      <c r="IC363" s="290"/>
      <c r="ID363" s="290"/>
      <c r="IE363" s="290"/>
      <c r="IF363" s="290"/>
      <c r="IG363" s="290"/>
      <c r="IH363" s="290"/>
      <c r="II363" s="290"/>
      <c r="IJ363" s="290"/>
      <c r="IK363" s="290"/>
      <c r="IL363" s="290"/>
      <c r="IM363" s="290"/>
      <c r="IN363" s="290"/>
      <c r="IO363" s="290"/>
      <c r="IP363" s="290"/>
      <c r="IQ363" s="290"/>
    </row>
    <row r="364" spans="1:251" x14ac:dyDescent="0.3">
      <c r="A364" s="268" t="s">
        <v>277</v>
      </c>
      <c r="B364" s="271" t="s">
        <v>48</v>
      </c>
      <c r="C364" s="274" t="s">
        <v>49</v>
      </c>
      <c r="D364" s="265" t="s">
        <v>37</v>
      </c>
      <c r="E364" s="265" t="s">
        <v>38</v>
      </c>
      <c r="F364" s="111" t="s">
        <v>236</v>
      </c>
      <c r="G364" s="286"/>
      <c r="H364" s="289"/>
      <c r="I364" s="290"/>
      <c r="J364" s="290"/>
      <c r="K364" s="290"/>
      <c r="L364" s="290"/>
      <c r="M364" s="290"/>
      <c r="N364" s="290"/>
      <c r="O364" s="290"/>
      <c r="P364" s="290"/>
      <c r="Q364" s="290"/>
      <c r="R364" s="290"/>
      <c r="S364" s="290"/>
      <c r="T364" s="290"/>
      <c r="U364" s="290"/>
      <c r="V364" s="290"/>
      <c r="W364" s="290"/>
      <c r="X364" s="290"/>
      <c r="Y364" s="290"/>
      <c r="Z364" s="290"/>
      <c r="AA364" s="290"/>
      <c r="AB364" s="290"/>
      <c r="AC364" s="290"/>
      <c r="AD364" s="290"/>
      <c r="AE364" s="290"/>
      <c r="AF364" s="290"/>
      <c r="AG364" s="290"/>
      <c r="AH364" s="290"/>
      <c r="AI364" s="290"/>
      <c r="AJ364" s="290"/>
      <c r="AK364" s="290"/>
      <c r="AL364" s="290"/>
      <c r="AM364" s="290"/>
      <c r="AN364" s="290"/>
      <c r="AO364" s="290"/>
      <c r="AP364" s="290"/>
      <c r="AQ364" s="290"/>
      <c r="AR364" s="290"/>
      <c r="AS364" s="290"/>
      <c r="AT364" s="290"/>
      <c r="AU364" s="290"/>
      <c r="AV364" s="290"/>
      <c r="AW364" s="290"/>
      <c r="AX364" s="290"/>
      <c r="AY364" s="290"/>
      <c r="AZ364" s="290"/>
      <c r="BA364" s="290"/>
      <c r="BB364" s="290"/>
      <c r="BC364" s="290"/>
      <c r="BD364" s="290"/>
      <c r="BE364" s="290"/>
      <c r="BF364" s="290"/>
      <c r="BG364" s="290"/>
      <c r="BH364" s="290"/>
      <c r="BI364" s="290"/>
      <c r="BJ364" s="290"/>
      <c r="BK364" s="290"/>
      <c r="BL364" s="290"/>
      <c r="BM364" s="290"/>
      <c r="BN364" s="290"/>
      <c r="BO364" s="290"/>
      <c r="BP364" s="290"/>
      <c r="BQ364" s="290"/>
      <c r="BR364" s="290"/>
      <c r="BS364" s="290"/>
      <c r="BT364" s="290"/>
      <c r="BU364" s="290"/>
      <c r="BV364" s="290"/>
      <c r="BW364" s="290"/>
      <c r="BX364" s="290"/>
      <c r="BY364" s="290"/>
      <c r="BZ364" s="290"/>
      <c r="CA364" s="290"/>
      <c r="CB364" s="290"/>
      <c r="CC364" s="290"/>
      <c r="CD364" s="290"/>
      <c r="CE364" s="290"/>
      <c r="CF364" s="290"/>
      <c r="CG364" s="290"/>
      <c r="CH364" s="290"/>
      <c r="CI364" s="290"/>
      <c r="CJ364" s="290"/>
      <c r="CK364" s="290"/>
      <c r="CL364" s="290"/>
      <c r="CM364" s="290"/>
      <c r="CN364" s="290"/>
      <c r="CO364" s="290"/>
      <c r="CP364" s="290"/>
      <c r="CQ364" s="290"/>
      <c r="CR364" s="290"/>
      <c r="CS364" s="290"/>
      <c r="CT364" s="290"/>
      <c r="CU364" s="290"/>
      <c r="CV364" s="290"/>
      <c r="CW364" s="290"/>
      <c r="CX364" s="290"/>
      <c r="CY364" s="290"/>
      <c r="CZ364" s="290"/>
      <c r="DA364" s="290"/>
      <c r="DB364" s="290"/>
      <c r="DC364" s="290"/>
      <c r="DD364" s="290"/>
      <c r="DE364" s="290"/>
      <c r="DF364" s="290"/>
      <c r="DG364" s="290"/>
      <c r="DH364" s="290"/>
      <c r="DI364" s="290"/>
      <c r="DJ364" s="290"/>
      <c r="DK364" s="290"/>
      <c r="DL364" s="290"/>
      <c r="DM364" s="290"/>
      <c r="DN364" s="290"/>
      <c r="DO364" s="290"/>
      <c r="DP364" s="290"/>
      <c r="DQ364" s="290"/>
      <c r="DR364" s="290"/>
      <c r="DS364" s="290"/>
      <c r="DT364" s="290"/>
      <c r="DU364" s="290"/>
      <c r="DV364" s="290"/>
      <c r="DW364" s="290"/>
      <c r="DX364" s="290"/>
      <c r="DY364" s="290"/>
      <c r="DZ364" s="290"/>
      <c r="EA364" s="290"/>
      <c r="EB364" s="290"/>
      <c r="EC364" s="290"/>
      <c r="ED364" s="290"/>
      <c r="EE364" s="290"/>
      <c r="EF364" s="290"/>
      <c r="EG364" s="290"/>
      <c r="EH364" s="290"/>
      <c r="EI364" s="290"/>
      <c r="EJ364" s="290"/>
      <c r="EK364" s="290"/>
      <c r="EL364" s="290"/>
      <c r="EM364" s="290"/>
      <c r="EN364" s="290"/>
      <c r="EO364" s="290"/>
      <c r="EP364" s="290"/>
      <c r="EQ364" s="290"/>
      <c r="ER364" s="290"/>
      <c r="ES364" s="290"/>
      <c r="ET364" s="290"/>
      <c r="EU364" s="290"/>
      <c r="EV364" s="290"/>
      <c r="EW364" s="290"/>
      <c r="EX364" s="290"/>
      <c r="EY364" s="290"/>
      <c r="EZ364" s="290"/>
      <c r="FA364" s="290"/>
      <c r="FB364" s="290"/>
      <c r="FC364" s="290"/>
      <c r="FD364" s="290"/>
      <c r="FE364" s="290"/>
      <c r="FF364" s="290"/>
      <c r="FG364" s="290"/>
      <c r="FH364" s="290"/>
      <c r="FI364" s="290"/>
      <c r="FJ364" s="290"/>
      <c r="FK364" s="290"/>
      <c r="FL364" s="290"/>
      <c r="FM364" s="290"/>
      <c r="FN364" s="290"/>
      <c r="FO364" s="290"/>
      <c r="FP364" s="290"/>
      <c r="FQ364" s="290"/>
      <c r="FR364" s="290"/>
      <c r="FS364" s="290"/>
      <c r="FT364" s="290"/>
      <c r="FU364" s="290"/>
      <c r="FV364" s="290"/>
      <c r="FW364" s="290"/>
      <c r="FX364" s="290"/>
      <c r="FY364" s="290"/>
      <c r="FZ364" s="290"/>
      <c r="GA364" s="290"/>
      <c r="GB364" s="290"/>
      <c r="GC364" s="290"/>
      <c r="GD364" s="290"/>
      <c r="GE364" s="290"/>
      <c r="GF364" s="290"/>
      <c r="GG364" s="290"/>
      <c r="GH364" s="290"/>
      <c r="GI364" s="290"/>
      <c r="GJ364" s="290"/>
      <c r="GK364" s="290"/>
      <c r="GL364" s="290"/>
      <c r="GM364" s="290"/>
      <c r="GN364" s="290"/>
      <c r="GO364" s="290"/>
      <c r="GP364" s="290"/>
      <c r="GQ364" s="290"/>
      <c r="GR364" s="290"/>
      <c r="GS364" s="290"/>
      <c r="GT364" s="290"/>
      <c r="GU364" s="290"/>
      <c r="GV364" s="290"/>
      <c r="GW364" s="290"/>
      <c r="GX364" s="290"/>
      <c r="GY364" s="290"/>
      <c r="GZ364" s="290"/>
      <c r="HA364" s="290"/>
      <c r="HB364" s="290"/>
      <c r="HC364" s="290"/>
      <c r="HD364" s="290"/>
      <c r="HE364" s="290"/>
      <c r="HF364" s="290"/>
      <c r="HG364" s="290"/>
      <c r="HH364" s="290"/>
      <c r="HI364" s="290"/>
      <c r="HJ364" s="290"/>
      <c r="HK364" s="290"/>
      <c r="HL364" s="290"/>
      <c r="HM364" s="290"/>
      <c r="HN364" s="290"/>
      <c r="HO364" s="290"/>
      <c r="HP364" s="290"/>
      <c r="HQ364" s="290"/>
      <c r="HR364" s="290"/>
      <c r="HS364" s="290"/>
      <c r="HT364" s="290"/>
      <c r="HU364" s="290"/>
      <c r="HV364" s="290"/>
      <c r="HW364" s="290"/>
      <c r="HX364" s="290"/>
      <c r="HY364" s="290"/>
      <c r="HZ364" s="290"/>
      <c r="IA364" s="290"/>
      <c r="IB364" s="290"/>
      <c r="IC364" s="290"/>
      <c r="ID364" s="290"/>
      <c r="IE364" s="290"/>
      <c r="IF364" s="290"/>
      <c r="IG364" s="290"/>
      <c r="IH364" s="290"/>
      <c r="II364" s="290"/>
      <c r="IJ364" s="290"/>
      <c r="IK364" s="290"/>
      <c r="IL364" s="290"/>
      <c r="IM364" s="290"/>
      <c r="IN364" s="290"/>
      <c r="IO364" s="290"/>
      <c r="IP364" s="290"/>
      <c r="IQ364" s="290"/>
    </row>
    <row r="365" spans="1:251" x14ac:dyDescent="0.3">
      <c r="A365" s="269"/>
      <c r="B365" s="272"/>
      <c r="C365" s="275"/>
      <c r="D365" s="266"/>
      <c r="E365" s="266"/>
      <c r="F365" s="112" t="s">
        <v>237</v>
      </c>
      <c r="G365" s="287"/>
      <c r="H365" s="289"/>
      <c r="I365" s="290"/>
      <c r="J365" s="290"/>
      <c r="K365" s="290"/>
      <c r="L365" s="290"/>
      <c r="M365" s="290"/>
      <c r="N365" s="290"/>
      <c r="O365" s="290"/>
      <c r="P365" s="290"/>
      <c r="Q365" s="290"/>
      <c r="R365" s="290"/>
      <c r="S365" s="290"/>
      <c r="T365" s="290"/>
      <c r="U365" s="290"/>
      <c r="V365" s="290"/>
      <c r="W365" s="290"/>
      <c r="X365" s="290"/>
      <c r="Y365" s="290"/>
      <c r="Z365" s="290"/>
      <c r="AA365" s="290"/>
      <c r="AB365" s="290"/>
      <c r="AC365" s="290"/>
      <c r="AD365" s="290"/>
      <c r="AE365" s="290"/>
      <c r="AF365" s="290"/>
      <c r="AG365" s="290"/>
      <c r="AH365" s="290"/>
      <c r="AI365" s="290"/>
      <c r="AJ365" s="290"/>
      <c r="AK365" s="290"/>
      <c r="AL365" s="290"/>
      <c r="AM365" s="290"/>
      <c r="AN365" s="290"/>
      <c r="AO365" s="290"/>
      <c r="AP365" s="290"/>
      <c r="AQ365" s="290"/>
      <c r="AR365" s="290"/>
      <c r="AS365" s="290"/>
      <c r="AT365" s="290"/>
      <c r="AU365" s="290"/>
      <c r="AV365" s="290"/>
      <c r="AW365" s="290"/>
      <c r="AX365" s="290"/>
      <c r="AY365" s="290"/>
      <c r="AZ365" s="290"/>
      <c r="BA365" s="290"/>
      <c r="BB365" s="290"/>
      <c r="BC365" s="290"/>
      <c r="BD365" s="290"/>
      <c r="BE365" s="290"/>
      <c r="BF365" s="290"/>
      <c r="BG365" s="290"/>
      <c r="BH365" s="290"/>
      <c r="BI365" s="290"/>
      <c r="BJ365" s="290"/>
      <c r="BK365" s="290"/>
      <c r="BL365" s="290"/>
      <c r="BM365" s="290"/>
      <c r="BN365" s="290"/>
      <c r="BO365" s="290"/>
      <c r="BP365" s="290"/>
      <c r="BQ365" s="290"/>
      <c r="BR365" s="290"/>
      <c r="BS365" s="290"/>
      <c r="BT365" s="290"/>
      <c r="BU365" s="290"/>
      <c r="BV365" s="290"/>
      <c r="BW365" s="290"/>
      <c r="BX365" s="290"/>
      <c r="BY365" s="290"/>
      <c r="BZ365" s="290"/>
      <c r="CA365" s="290"/>
      <c r="CB365" s="290"/>
      <c r="CC365" s="290"/>
      <c r="CD365" s="290"/>
      <c r="CE365" s="290"/>
      <c r="CF365" s="290"/>
      <c r="CG365" s="290"/>
      <c r="CH365" s="290"/>
      <c r="CI365" s="290"/>
      <c r="CJ365" s="290"/>
      <c r="CK365" s="290"/>
      <c r="CL365" s="290"/>
      <c r="CM365" s="290"/>
      <c r="CN365" s="290"/>
      <c r="CO365" s="290"/>
      <c r="CP365" s="290"/>
      <c r="CQ365" s="290"/>
      <c r="CR365" s="290"/>
      <c r="CS365" s="290"/>
      <c r="CT365" s="290"/>
      <c r="CU365" s="290"/>
      <c r="CV365" s="290"/>
      <c r="CW365" s="290"/>
      <c r="CX365" s="290"/>
      <c r="CY365" s="290"/>
      <c r="CZ365" s="290"/>
      <c r="DA365" s="290"/>
      <c r="DB365" s="290"/>
      <c r="DC365" s="290"/>
      <c r="DD365" s="290"/>
      <c r="DE365" s="290"/>
      <c r="DF365" s="290"/>
      <c r="DG365" s="290"/>
      <c r="DH365" s="290"/>
      <c r="DI365" s="290"/>
      <c r="DJ365" s="290"/>
      <c r="DK365" s="290"/>
      <c r="DL365" s="290"/>
      <c r="DM365" s="290"/>
      <c r="DN365" s="290"/>
      <c r="DO365" s="290"/>
      <c r="DP365" s="290"/>
      <c r="DQ365" s="290"/>
      <c r="DR365" s="290"/>
      <c r="DS365" s="290"/>
      <c r="DT365" s="290"/>
      <c r="DU365" s="290"/>
      <c r="DV365" s="290"/>
      <c r="DW365" s="290"/>
      <c r="DX365" s="290"/>
      <c r="DY365" s="290"/>
      <c r="DZ365" s="290"/>
      <c r="EA365" s="290"/>
      <c r="EB365" s="290"/>
      <c r="EC365" s="290"/>
      <c r="ED365" s="290"/>
      <c r="EE365" s="290"/>
      <c r="EF365" s="290"/>
      <c r="EG365" s="290"/>
      <c r="EH365" s="290"/>
      <c r="EI365" s="290"/>
      <c r="EJ365" s="290"/>
      <c r="EK365" s="290"/>
      <c r="EL365" s="290"/>
      <c r="EM365" s="290"/>
      <c r="EN365" s="290"/>
      <c r="EO365" s="290"/>
      <c r="EP365" s="290"/>
      <c r="EQ365" s="290"/>
      <c r="ER365" s="290"/>
      <c r="ES365" s="290"/>
      <c r="ET365" s="290"/>
      <c r="EU365" s="290"/>
      <c r="EV365" s="290"/>
      <c r="EW365" s="290"/>
      <c r="EX365" s="290"/>
      <c r="EY365" s="290"/>
      <c r="EZ365" s="290"/>
      <c r="FA365" s="290"/>
      <c r="FB365" s="290"/>
      <c r="FC365" s="290"/>
      <c r="FD365" s="290"/>
      <c r="FE365" s="290"/>
      <c r="FF365" s="290"/>
      <c r="FG365" s="290"/>
      <c r="FH365" s="290"/>
      <c r="FI365" s="290"/>
      <c r="FJ365" s="290"/>
      <c r="FK365" s="290"/>
      <c r="FL365" s="290"/>
      <c r="FM365" s="290"/>
      <c r="FN365" s="290"/>
      <c r="FO365" s="290"/>
      <c r="FP365" s="290"/>
      <c r="FQ365" s="290"/>
      <c r="FR365" s="290"/>
      <c r="FS365" s="290"/>
      <c r="FT365" s="290"/>
      <c r="FU365" s="290"/>
      <c r="FV365" s="290"/>
      <c r="FW365" s="290"/>
      <c r="FX365" s="290"/>
      <c r="FY365" s="290"/>
      <c r="FZ365" s="290"/>
      <c r="GA365" s="290"/>
      <c r="GB365" s="290"/>
      <c r="GC365" s="290"/>
      <c r="GD365" s="290"/>
      <c r="GE365" s="290"/>
      <c r="GF365" s="290"/>
      <c r="GG365" s="290"/>
      <c r="GH365" s="290"/>
      <c r="GI365" s="290"/>
      <c r="GJ365" s="290"/>
      <c r="GK365" s="290"/>
      <c r="GL365" s="290"/>
      <c r="GM365" s="290"/>
      <c r="GN365" s="290"/>
      <c r="GO365" s="290"/>
      <c r="GP365" s="290"/>
      <c r="GQ365" s="290"/>
      <c r="GR365" s="290"/>
      <c r="GS365" s="290"/>
      <c r="GT365" s="290"/>
      <c r="GU365" s="290"/>
      <c r="GV365" s="290"/>
      <c r="GW365" s="290"/>
      <c r="GX365" s="290"/>
      <c r="GY365" s="290"/>
      <c r="GZ365" s="290"/>
      <c r="HA365" s="290"/>
      <c r="HB365" s="290"/>
      <c r="HC365" s="290"/>
      <c r="HD365" s="290"/>
      <c r="HE365" s="290"/>
      <c r="HF365" s="290"/>
      <c r="HG365" s="290"/>
      <c r="HH365" s="290"/>
      <c r="HI365" s="290"/>
      <c r="HJ365" s="290"/>
      <c r="HK365" s="290"/>
      <c r="HL365" s="290"/>
      <c r="HM365" s="290"/>
      <c r="HN365" s="290"/>
      <c r="HO365" s="290"/>
      <c r="HP365" s="290"/>
      <c r="HQ365" s="290"/>
      <c r="HR365" s="290"/>
      <c r="HS365" s="290"/>
      <c r="HT365" s="290"/>
      <c r="HU365" s="290"/>
      <c r="HV365" s="290"/>
      <c r="HW365" s="290"/>
      <c r="HX365" s="290"/>
      <c r="HY365" s="290"/>
      <c r="HZ365" s="290"/>
      <c r="IA365" s="290"/>
      <c r="IB365" s="290"/>
      <c r="IC365" s="290"/>
      <c r="ID365" s="290"/>
      <c r="IE365" s="290"/>
      <c r="IF365" s="290"/>
      <c r="IG365" s="290"/>
      <c r="IH365" s="290"/>
      <c r="II365" s="290"/>
      <c r="IJ365" s="290"/>
      <c r="IK365" s="290"/>
      <c r="IL365" s="290"/>
      <c r="IM365" s="290"/>
      <c r="IN365" s="290"/>
      <c r="IO365" s="290"/>
      <c r="IP365" s="290"/>
      <c r="IQ365" s="290"/>
    </row>
    <row r="366" spans="1:251" x14ac:dyDescent="0.3">
      <c r="A366" s="270"/>
      <c r="B366" s="273"/>
      <c r="C366" s="276"/>
      <c r="D366" s="267"/>
      <c r="E366" s="267"/>
      <c r="F366" s="113" t="s">
        <v>238</v>
      </c>
      <c r="G366" s="288"/>
      <c r="H366" s="289"/>
      <c r="I366" s="290"/>
      <c r="J366" s="290"/>
      <c r="K366" s="290"/>
      <c r="L366" s="290"/>
      <c r="M366" s="290"/>
      <c r="N366" s="290"/>
      <c r="O366" s="290"/>
      <c r="P366" s="290"/>
      <c r="Q366" s="290"/>
      <c r="R366" s="290"/>
      <c r="S366" s="290"/>
      <c r="T366" s="290"/>
      <c r="U366" s="290"/>
      <c r="V366" s="290"/>
      <c r="W366" s="290"/>
      <c r="X366" s="290"/>
      <c r="Y366" s="290"/>
      <c r="Z366" s="290"/>
      <c r="AA366" s="290"/>
      <c r="AB366" s="290"/>
      <c r="AC366" s="290"/>
      <c r="AD366" s="290"/>
      <c r="AE366" s="290"/>
      <c r="AF366" s="290"/>
      <c r="AG366" s="290"/>
      <c r="AH366" s="290"/>
      <c r="AI366" s="290"/>
      <c r="AJ366" s="290"/>
      <c r="AK366" s="290"/>
      <c r="AL366" s="290"/>
      <c r="AM366" s="290"/>
      <c r="AN366" s="290"/>
      <c r="AO366" s="290"/>
      <c r="AP366" s="290"/>
      <c r="AQ366" s="290"/>
      <c r="AR366" s="290"/>
      <c r="AS366" s="290"/>
      <c r="AT366" s="290"/>
      <c r="AU366" s="290"/>
      <c r="AV366" s="290"/>
      <c r="AW366" s="290"/>
      <c r="AX366" s="290"/>
      <c r="AY366" s="290"/>
      <c r="AZ366" s="290"/>
      <c r="BA366" s="290"/>
      <c r="BB366" s="290"/>
      <c r="BC366" s="290"/>
      <c r="BD366" s="290"/>
      <c r="BE366" s="290"/>
      <c r="BF366" s="290"/>
      <c r="BG366" s="290"/>
      <c r="BH366" s="290"/>
      <c r="BI366" s="290"/>
      <c r="BJ366" s="290"/>
      <c r="BK366" s="290"/>
      <c r="BL366" s="290"/>
      <c r="BM366" s="290"/>
      <c r="BN366" s="290"/>
      <c r="BO366" s="290"/>
      <c r="BP366" s="290"/>
      <c r="BQ366" s="290"/>
      <c r="BR366" s="290"/>
      <c r="BS366" s="290"/>
      <c r="BT366" s="290"/>
      <c r="BU366" s="290"/>
      <c r="BV366" s="290"/>
      <c r="BW366" s="290"/>
      <c r="BX366" s="290"/>
      <c r="BY366" s="290"/>
      <c r="BZ366" s="290"/>
      <c r="CA366" s="290"/>
      <c r="CB366" s="290"/>
      <c r="CC366" s="290"/>
      <c r="CD366" s="290"/>
      <c r="CE366" s="290"/>
      <c r="CF366" s="290"/>
      <c r="CG366" s="290"/>
      <c r="CH366" s="290"/>
      <c r="CI366" s="290"/>
      <c r="CJ366" s="290"/>
      <c r="CK366" s="290"/>
      <c r="CL366" s="290"/>
      <c r="CM366" s="290"/>
      <c r="CN366" s="290"/>
      <c r="CO366" s="290"/>
      <c r="CP366" s="290"/>
      <c r="CQ366" s="290"/>
      <c r="CR366" s="290"/>
      <c r="CS366" s="290"/>
      <c r="CT366" s="290"/>
      <c r="CU366" s="290"/>
      <c r="CV366" s="290"/>
      <c r="CW366" s="290"/>
      <c r="CX366" s="290"/>
      <c r="CY366" s="290"/>
      <c r="CZ366" s="290"/>
      <c r="DA366" s="290"/>
      <c r="DB366" s="290"/>
      <c r="DC366" s="290"/>
      <c r="DD366" s="290"/>
      <c r="DE366" s="290"/>
      <c r="DF366" s="290"/>
      <c r="DG366" s="290"/>
      <c r="DH366" s="290"/>
      <c r="DI366" s="290"/>
      <c r="DJ366" s="290"/>
      <c r="DK366" s="290"/>
      <c r="DL366" s="290"/>
      <c r="DM366" s="290"/>
      <c r="DN366" s="290"/>
      <c r="DO366" s="290"/>
      <c r="DP366" s="290"/>
      <c r="DQ366" s="290"/>
      <c r="DR366" s="290"/>
      <c r="DS366" s="290"/>
      <c r="DT366" s="290"/>
      <c r="DU366" s="290"/>
      <c r="DV366" s="290"/>
      <c r="DW366" s="290"/>
      <c r="DX366" s="290"/>
      <c r="DY366" s="290"/>
      <c r="DZ366" s="290"/>
      <c r="EA366" s="290"/>
      <c r="EB366" s="290"/>
      <c r="EC366" s="290"/>
      <c r="ED366" s="290"/>
      <c r="EE366" s="290"/>
      <c r="EF366" s="290"/>
      <c r="EG366" s="290"/>
      <c r="EH366" s="290"/>
      <c r="EI366" s="290"/>
      <c r="EJ366" s="290"/>
      <c r="EK366" s="290"/>
      <c r="EL366" s="290"/>
      <c r="EM366" s="290"/>
      <c r="EN366" s="290"/>
      <c r="EO366" s="290"/>
      <c r="EP366" s="290"/>
      <c r="EQ366" s="290"/>
      <c r="ER366" s="290"/>
      <c r="ES366" s="290"/>
      <c r="ET366" s="290"/>
      <c r="EU366" s="290"/>
      <c r="EV366" s="290"/>
      <c r="EW366" s="290"/>
      <c r="EX366" s="290"/>
      <c r="EY366" s="290"/>
      <c r="EZ366" s="290"/>
      <c r="FA366" s="290"/>
      <c r="FB366" s="290"/>
      <c r="FC366" s="290"/>
      <c r="FD366" s="290"/>
      <c r="FE366" s="290"/>
      <c r="FF366" s="290"/>
      <c r="FG366" s="290"/>
      <c r="FH366" s="290"/>
      <c r="FI366" s="290"/>
      <c r="FJ366" s="290"/>
      <c r="FK366" s="290"/>
      <c r="FL366" s="290"/>
      <c r="FM366" s="290"/>
      <c r="FN366" s="290"/>
      <c r="FO366" s="290"/>
      <c r="FP366" s="290"/>
      <c r="FQ366" s="290"/>
      <c r="FR366" s="290"/>
      <c r="FS366" s="290"/>
      <c r="FT366" s="290"/>
      <c r="FU366" s="290"/>
      <c r="FV366" s="290"/>
      <c r="FW366" s="290"/>
      <c r="FX366" s="290"/>
      <c r="FY366" s="290"/>
      <c r="FZ366" s="290"/>
      <c r="GA366" s="290"/>
      <c r="GB366" s="290"/>
      <c r="GC366" s="290"/>
      <c r="GD366" s="290"/>
      <c r="GE366" s="290"/>
      <c r="GF366" s="290"/>
      <c r="GG366" s="290"/>
      <c r="GH366" s="290"/>
      <c r="GI366" s="290"/>
      <c r="GJ366" s="290"/>
      <c r="GK366" s="290"/>
      <c r="GL366" s="290"/>
      <c r="GM366" s="290"/>
      <c r="GN366" s="290"/>
      <c r="GO366" s="290"/>
      <c r="GP366" s="290"/>
      <c r="GQ366" s="290"/>
      <c r="GR366" s="290"/>
      <c r="GS366" s="290"/>
      <c r="GT366" s="290"/>
      <c r="GU366" s="290"/>
      <c r="GV366" s="290"/>
      <c r="GW366" s="290"/>
      <c r="GX366" s="290"/>
      <c r="GY366" s="290"/>
      <c r="GZ366" s="290"/>
      <c r="HA366" s="290"/>
      <c r="HB366" s="290"/>
      <c r="HC366" s="290"/>
      <c r="HD366" s="290"/>
      <c r="HE366" s="290"/>
      <c r="HF366" s="290"/>
      <c r="HG366" s="290"/>
      <c r="HH366" s="290"/>
      <c r="HI366" s="290"/>
      <c r="HJ366" s="290"/>
      <c r="HK366" s="290"/>
      <c r="HL366" s="290"/>
      <c r="HM366" s="290"/>
      <c r="HN366" s="290"/>
      <c r="HO366" s="290"/>
      <c r="HP366" s="290"/>
      <c r="HQ366" s="290"/>
      <c r="HR366" s="290"/>
      <c r="HS366" s="290"/>
      <c r="HT366" s="290"/>
      <c r="HU366" s="290"/>
      <c r="HV366" s="290"/>
      <c r="HW366" s="290"/>
      <c r="HX366" s="290"/>
      <c r="HY366" s="290"/>
      <c r="HZ366" s="290"/>
      <c r="IA366" s="290"/>
      <c r="IB366" s="290"/>
      <c r="IC366" s="290"/>
      <c r="ID366" s="290"/>
      <c r="IE366" s="290"/>
      <c r="IF366" s="290"/>
      <c r="IG366" s="290"/>
      <c r="IH366" s="290"/>
      <c r="II366" s="290"/>
      <c r="IJ366" s="290"/>
      <c r="IK366" s="290"/>
      <c r="IL366" s="290"/>
      <c r="IM366" s="290"/>
      <c r="IN366" s="290"/>
      <c r="IO366" s="290"/>
      <c r="IP366" s="290"/>
      <c r="IQ366" s="290"/>
    </row>
    <row r="367" spans="1:251" ht="39" x14ac:dyDescent="0.3">
      <c r="A367" s="239" t="s">
        <v>277</v>
      </c>
      <c r="B367" s="21" t="s">
        <v>1852</v>
      </c>
      <c r="C367" s="129" t="s">
        <v>49</v>
      </c>
      <c r="D367" s="166" t="s">
        <v>37</v>
      </c>
      <c r="E367" s="166" t="s">
        <v>38</v>
      </c>
      <c r="F367" s="100" t="s">
        <v>1854</v>
      </c>
      <c r="G367" s="240"/>
      <c r="H367" s="199"/>
      <c r="I367" s="183"/>
      <c r="J367" s="183"/>
      <c r="K367" s="183"/>
      <c r="L367" s="183"/>
      <c r="M367" s="183"/>
      <c r="N367" s="183"/>
      <c r="O367" s="183"/>
      <c r="P367" s="183"/>
      <c r="Q367" s="183"/>
      <c r="R367" s="183"/>
      <c r="S367" s="183"/>
      <c r="T367" s="183"/>
      <c r="U367" s="183"/>
      <c r="V367" s="183"/>
      <c r="W367" s="183"/>
      <c r="X367" s="183"/>
      <c r="Y367" s="183"/>
      <c r="Z367" s="183"/>
      <c r="AA367" s="183"/>
      <c r="AB367" s="183"/>
      <c r="AC367" s="183"/>
      <c r="AD367" s="183"/>
      <c r="AE367" s="183"/>
      <c r="AF367" s="183"/>
      <c r="AG367" s="183"/>
      <c r="AH367" s="183"/>
      <c r="AI367" s="183"/>
      <c r="AJ367" s="183"/>
      <c r="AK367" s="183"/>
      <c r="AL367" s="183"/>
      <c r="AM367" s="183"/>
      <c r="AN367" s="183"/>
      <c r="AO367" s="183"/>
      <c r="AP367" s="183"/>
      <c r="AQ367" s="183"/>
      <c r="AR367" s="183"/>
      <c r="AS367" s="183"/>
      <c r="AT367" s="183"/>
      <c r="AU367" s="183"/>
      <c r="AV367" s="183"/>
      <c r="AW367" s="183"/>
      <c r="AX367" s="183"/>
      <c r="AY367" s="183"/>
      <c r="AZ367" s="183"/>
      <c r="BA367" s="183"/>
      <c r="BB367" s="183"/>
      <c r="BC367" s="183"/>
      <c r="BD367" s="183"/>
      <c r="BE367" s="183"/>
      <c r="BF367" s="183"/>
      <c r="BG367" s="183"/>
      <c r="BH367" s="183"/>
      <c r="BI367" s="183"/>
      <c r="BJ367" s="183"/>
      <c r="BK367" s="183"/>
      <c r="BL367" s="183"/>
      <c r="BM367" s="183"/>
      <c r="BN367" s="183"/>
      <c r="BO367" s="183"/>
      <c r="BP367" s="183"/>
      <c r="BQ367" s="183"/>
      <c r="BR367" s="183"/>
      <c r="BS367" s="183"/>
      <c r="BT367" s="183"/>
      <c r="BU367" s="183"/>
      <c r="BV367" s="183"/>
      <c r="BW367" s="183"/>
      <c r="BX367" s="183"/>
      <c r="BY367" s="183"/>
      <c r="BZ367" s="183"/>
      <c r="CA367" s="183"/>
      <c r="CB367" s="183"/>
      <c r="CC367" s="183"/>
      <c r="CD367" s="183"/>
      <c r="CE367" s="183"/>
      <c r="CF367" s="183"/>
      <c r="CG367" s="183"/>
      <c r="CH367" s="183"/>
      <c r="CI367" s="183"/>
      <c r="CJ367" s="183"/>
      <c r="CK367" s="183"/>
      <c r="CL367" s="183"/>
      <c r="CM367" s="183"/>
      <c r="CN367" s="183"/>
      <c r="CO367" s="183"/>
      <c r="CP367" s="183"/>
      <c r="CQ367" s="183"/>
      <c r="CR367" s="183"/>
      <c r="CS367" s="183"/>
      <c r="CT367" s="183"/>
      <c r="CU367" s="183"/>
      <c r="CV367" s="183"/>
      <c r="CW367" s="183"/>
      <c r="CX367" s="183"/>
      <c r="CY367" s="183"/>
      <c r="CZ367" s="183"/>
      <c r="DA367" s="183"/>
      <c r="DB367" s="183"/>
      <c r="DC367" s="183"/>
      <c r="DD367" s="183"/>
      <c r="DE367" s="183"/>
      <c r="DF367" s="183"/>
      <c r="DG367" s="183"/>
      <c r="DH367" s="183"/>
      <c r="DI367" s="183"/>
      <c r="DJ367" s="183"/>
      <c r="DK367" s="183"/>
      <c r="DL367" s="183"/>
      <c r="DM367" s="183"/>
      <c r="DN367" s="183"/>
      <c r="DO367" s="183"/>
      <c r="DP367" s="183"/>
      <c r="DQ367" s="183"/>
      <c r="DR367" s="183"/>
      <c r="DS367" s="183"/>
      <c r="DT367" s="183"/>
      <c r="DU367" s="183"/>
      <c r="DV367" s="183"/>
      <c r="DW367" s="183"/>
      <c r="DX367" s="183"/>
      <c r="DY367" s="183"/>
      <c r="DZ367" s="183"/>
      <c r="EA367" s="183"/>
      <c r="EB367" s="183"/>
      <c r="EC367" s="183"/>
      <c r="ED367" s="183"/>
      <c r="EE367" s="183"/>
      <c r="EF367" s="183"/>
      <c r="EG367" s="183"/>
      <c r="EH367" s="183"/>
      <c r="EI367" s="183"/>
      <c r="EJ367" s="183"/>
      <c r="EK367" s="183"/>
      <c r="EL367" s="183"/>
      <c r="EM367" s="183"/>
      <c r="EN367" s="183"/>
      <c r="EO367" s="183"/>
      <c r="EP367" s="183"/>
      <c r="EQ367" s="183"/>
      <c r="ER367" s="183"/>
      <c r="ES367" s="183"/>
      <c r="ET367" s="183"/>
      <c r="EU367" s="183"/>
      <c r="EV367" s="183"/>
      <c r="EW367" s="183"/>
      <c r="EX367" s="183"/>
      <c r="EY367" s="183"/>
      <c r="EZ367" s="183"/>
      <c r="FA367" s="183"/>
      <c r="FB367" s="183"/>
      <c r="FC367" s="183"/>
      <c r="FD367" s="183"/>
      <c r="FE367" s="183"/>
      <c r="FF367" s="183"/>
      <c r="FG367" s="183"/>
      <c r="FH367" s="183"/>
      <c r="FI367" s="183"/>
      <c r="FJ367" s="183"/>
      <c r="FK367" s="183"/>
      <c r="FL367" s="183"/>
      <c r="FM367" s="183"/>
      <c r="FN367" s="183"/>
      <c r="FO367" s="183"/>
      <c r="FP367" s="183"/>
      <c r="FQ367" s="183"/>
      <c r="FR367" s="183"/>
      <c r="FS367" s="183"/>
      <c r="FT367" s="183"/>
      <c r="FU367" s="183"/>
      <c r="FV367" s="183"/>
      <c r="FW367" s="183"/>
      <c r="FX367" s="183"/>
      <c r="FY367" s="183"/>
      <c r="FZ367" s="183"/>
      <c r="GA367" s="183"/>
      <c r="GB367" s="183"/>
      <c r="GC367" s="183"/>
      <c r="GD367" s="183"/>
      <c r="GE367" s="183"/>
      <c r="GF367" s="183"/>
      <c r="GG367" s="183"/>
      <c r="GH367" s="183"/>
      <c r="GI367" s="183"/>
      <c r="GJ367" s="183"/>
      <c r="GK367" s="183"/>
      <c r="GL367" s="183"/>
      <c r="GM367" s="183"/>
      <c r="GN367" s="183"/>
      <c r="GO367" s="183"/>
      <c r="GP367" s="183"/>
      <c r="GQ367" s="183"/>
      <c r="GR367" s="183"/>
      <c r="GS367" s="183"/>
      <c r="GT367" s="183"/>
      <c r="GU367" s="183"/>
      <c r="GV367" s="183"/>
      <c r="GW367" s="183"/>
      <c r="GX367" s="183"/>
      <c r="GY367" s="183"/>
      <c r="GZ367" s="183"/>
      <c r="HA367" s="183"/>
      <c r="HB367" s="183"/>
      <c r="HC367" s="183"/>
      <c r="HD367" s="183"/>
      <c r="HE367" s="183"/>
      <c r="HF367" s="183"/>
      <c r="HG367" s="183"/>
      <c r="HH367" s="183"/>
      <c r="HI367" s="183"/>
      <c r="HJ367" s="183"/>
      <c r="HK367" s="183"/>
      <c r="HL367" s="183"/>
      <c r="HM367" s="183"/>
      <c r="HN367" s="183"/>
      <c r="HO367" s="183"/>
      <c r="HP367" s="183"/>
      <c r="HQ367" s="183"/>
      <c r="HR367" s="183"/>
      <c r="HS367" s="183"/>
      <c r="HT367" s="183"/>
      <c r="HU367" s="183"/>
      <c r="HV367" s="183"/>
      <c r="HW367" s="183"/>
      <c r="HX367" s="183"/>
      <c r="HY367" s="183"/>
      <c r="HZ367" s="183"/>
      <c r="IA367" s="183"/>
      <c r="IB367" s="183"/>
      <c r="IC367" s="183"/>
      <c r="ID367" s="183"/>
      <c r="IE367" s="183"/>
      <c r="IF367" s="183"/>
      <c r="IG367" s="183"/>
      <c r="IH367" s="183"/>
      <c r="II367" s="183"/>
      <c r="IJ367" s="183"/>
      <c r="IK367" s="183"/>
      <c r="IL367" s="183"/>
      <c r="IM367" s="183"/>
      <c r="IN367" s="183"/>
      <c r="IO367" s="183"/>
      <c r="IP367" s="183"/>
      <c r="IQ367" s="183"/>
    </row>
    <row r="368" spans="1:251" ht="55.5" x14ac:dyDescent="0.3">
      <c r="A368" s="83" t="s">
        <v>184</v>
      </c>
      <c r="B368" s="196" t="s">
        <v>278</v>
      </c>
      <c r="C368" s="191" t="s">
        <v>30</v>
      </c>
      <c r="D368" s="192" t="s">
        <v>31</v>
      </c>
      <c r="E368" s="192" t="s">
        <v>32</v>
      </c>
      <c r="F368" s="114" t="s">
        <v>33</v>
      </c>
      <c r="G368" s="191" t="s">
        <v>5</v>
      </c>
      <c r="H368" s="199"/>
      <c r="I368" s="183"/>
      <c r="J368" s="183"/>
      <c r="K368" s="183"/>
      <c r="L368" s="183"/>
      <c r="M368" s="183"/>
      <c r="N368" s="183"/>
      <c r="O368" s="183"/>
      <c r="P368" s="183"/>
      <c r="Q368" s="183"/>
      <c r="R368" s="183"/>
      <c r="S368" s="183"/>
      <c r="T368" s="183"/>
      <c r="U368" s="183"/>
      <c r="V368" s="183"/>
      <c r="W368" s="183"/>
      <c r="X368" s="183"/>
      <c r="Y368" s="183"/>
      <c r="Z368" s="183"/>
      <c r="AA368" s="183"/>
      <c r="AB368" s="183"/>
      <c r="AC368" s="183"/>
      <c r="AD368" s="183"/>
      <c r="AE368" s="183"/>
      <c r="AF368" s="183"/>
      <c r="AG368" s="183"/>
      <c r="AH368" s="183"/>
      <c r="AI368" s="183"/>
      <c r="AJ368" s="183"/>
      <c r="AK368" s="183"/>
      <c r="AL368" s="183"/>
      <c r="AM368" s="183"/>
      <c r="AN368" s="183"/>
      <c r="AO368" s="183"/>
      <c r="AP368" s="183"/>
      <c r="AQ368" s="183"/>
      <c r="AR368" s="183"/>
      <c r="AS368" s="183"/>
      <c r="AT368" s="183"/>
      <c r="AU368" s="183"/>
      <c r="AV368" s="183"/>
      <c r="AW368" s="183"/>
      <c r="AX368" s="183"/>
      <c r="AY368" s="183"/>
      <c r="AZ368" s="183"/>
      <c r="BA368" s="183"/>
      <c r="BB368" s="183"/>
      <c r="BC368" s="183"/>
      <c r="BD368" s="183"/>
      <c r="BE368" s="183"/>
      <c r="BF368" s="183"/>
      <c r="BG368" s="183"/>
      <c r="BH368" s="183"/>
      <c r="BI368" s="183"/>
      <c r="BJ368" s="183"/>
      <c r="BK368" s="183"/>
      <c r="BL368" s="183"/>
      <c r="BM368" s="183"/>
      <c r="BN368" s="183"/>
      <c r="BO368" s="183"/>
      <c r="BP368" s="183"/>
      <c r="BQ368" s="183"/>
      <c r="BR368" s="183"/>
      <c r="BS368" s="183"/>
      <c r="BT368" s="183"/>
      <c r="BU368" s="183"/>
      <c r="BV368" s="183"/>
      <c r="BW368" s="183"/>
      <c r="BX368" s="183"/>
      <c r="BY368" s="183"/>
      <c r="BZ368" s="183"/>
      <c r="CA368" s="183"/>
      <c r="CB368" s="183"/>
      <c r="CC368" s="183"/>
      <c r="CD368" s="183"/>
      <c r="CE368" s="183"/>
      <c r="CF368" s="183"/>
      <c r="CG368" s="183"/>
      <c r="CH368" s="183"/>
      <c r="CI368" s="183"/>
      <c r="CJ368" s="183"/>
      <c r="CK368" s="183"/>
      <c r="CL368" s="183"/>
      <c r="CM368" s="183"/>
      <c r="CN368" s="183"/>
      <c r="CO368" s="183"/>
      <c r="CP368" s="183"/>
      <c r="CQ368" s="183"/>
      <c r="CR368" s="183"/>
      <c r="CS368" s="183"/>
      <c r="CT368" s="183"/>
      <c r="CU368" s="183"/>
      <c r="CV368" s="183"/>
      <c r="CW368" s="183"/>
      <c r="CX368" s="183"/>
      <c r="CY368" s="183"/>
      <c r="CZ368" s="183"/>
      <c r="DA368" s="183"/>
      <c r="DB368" s="183"/>
      <c r="DC368" s="183"/>
      <c r="DD368" s="183"/>
      <c r="DE368" s="183"/>
      <c r="DF368" s="183"/>
      <c r="DG368" s="183"/>
      <c r="DH368" s="183"/>
      <c r="DI368" s="183"/>
      <c r="DJ368" s="183"/>
      <c r="DK368" s="183"/>
      <c r="DL368" s="183"/>
      <c r="DM368" s="183"/>
      <c r="DN368" s="183"/>
      <c r="DO368" s="183"/>
      <c r="DP368" s="183"/>
      <c r="DQ368" s="183"/>
      <c r="DR368" s="183"/>
      <c r="DS368" s="183"/>
      <c r="DT368" s="183"/>
      <c r="DU368" s="183"/>
      <c r="DV368" s="183"/>
      <c r="DW368" s="183"/>
      <c r="DX368" s="183"/>
      <c r="DY368" s="183"/>
      <c r="DZ368" s="183"/>
      <c r="EA368" s="183"/>
      <c r="EB368" s="183"/>
      <c r="EC368" s="183"/>
      <c r="ED368" s="183"/>
      <c r="EE368" s="183"/>
      <c r="EF368" s="183"/>
      <c r="EG368" s="183"/>
      <c r="EH368" s="183"/>
      <c r="EI368" s="183"/>
      <c r="EJ368" s="183"/>
      <c r="EK368" s="183"/>
      <c r="EL368" s="183"/>
      <c r="EM368" s="183"/>
      <c r="EN368" s="183"/>
      <c r="EO368" s="183"/>
      <c r="EP368" s="183"/>
      <c r="EQ368" s="183"/>
      <c r="ER368" s="183"/>
      <c r="ES368" s="183"/>
      <c r="ET368" s="183"/>
      <c r="EU368" s="183"/>
      <c r="EV368" s="183"/>
      <c r="EW368" s="183"/>
      <c r="EX368" s="183"/>
      <c r="EY368" s="183"/>
      <c r="EZ368" s="183"/>
      <c r="FA368" s="183"/>
      <c r="FB368" s="183"/>
      <c r="FC368" s="183"/>
      <c r="FD368" s="183"/>
      <c r="FE368" s="183"/>
      <c r="FF368" s="183"/>
      <c r="FG368" s="183"/>
      <c r="FH368" s="183"/>
      <c r="FI368" s="183"/>
      <c r="FJ368" s="183"/>
      <c r="FK368" s="183"/>
      <c r="FL368" s="183"/>
      <c r="FM368" s="183"/>
      <c r="FN368" s="183"/>
      <c r="FO368" s="183"/>
      <c r="FP368" s="183"/>
      <c r="FQ368" s="183"/>
      <c r="FR368" s="183"/>
      <c r="FS368" s="183"/>
      <c r="FT368" s="183"/>
      <c r="FU368" s="183"/>
      <c r="FV368" s="183"/>
      <c r="FW368" s="183"/>
      <c r="FX368" s="183"/>
      <c r="FY368" s="183"/>
      <c r="FZ368" s="183"/>
      <c r="GA368" s="183"/>
      <c r="GB368" s="183"/>
      <c r="GC368" s="183"/>
      <c r="GD368" s="183"/>
      <c r="GE368" s="183"/>
      <c r="GF368" s="183"/>
      <c r="GG368" s="183"/>
      <c r="GH368" s="183"/>
      <c r="GI368" s="183"/>
      <c r="GJ368" s="183"/>
      <c r="GK368" s="183"/>
      <c r="GL368" s="183"/>
      <c r="GM368" s="183"/>
      <c r="GN368" s="183"/>
      <c r="GO368" s="183"/>
      <c r="GP368" s="183"/>
      <c r="GQ368" s="183"/>
      <c r="GR368" s="183"/>
      <c r="GS368" s="183"/>
      <c r="GT368" s="183"/>
      <c r="GU368" s="183"/>
      <c r="GV368" s="183"/>
      <c r="GW368" s="183"/>
      <c r="GX368" s="183"/>
      <c r="GY368" s="183"/>
      <c r="GZ368" s="183"/>
      <c r="HA368" s="183"/>
      <c r="HB368" s="183"/>
      <c r="HC368" s="183"/>
      <c r="HD368" s="183"/>
      <c r="HE368" s="183"/>
      <c r="HF368" s="183"/>
      <c r="HG368" s="183"/>
      <c r="HH368" s="183"/>
      <c r="HI368" s="183"/>
      <c r="HJ368" s="183"/>
      <c r="HK368" s="183"/>
      <c r="HL368" s="183"/>
      <c r="HM368" s="183"/>
      <c r="HN368" s="183"/>
      <c r="HO368" s="183"/>
      <c r="HP368" s="183"/>
      <c r="HQ368" s="183"/>
      <c r="HR368" s="183"/>
      <c r="HS368" s="183"/>
      <c r="HT368" s="183"/>
      <c r="HU368" s="183"/>
      <c r="HV368" s="183"/>
      <c r="HW368" s="183"/>
      <c r="HX368" s="183"/>
      <c r="HY368" s="183"/>
      <c r="HZ368" s="183"/>
      <c r="IA368" s="183"/>
      <c r="IB368" s="183"/>
      <c r="IC368" s="183"/>
      <c r="ID368" s="183"/>
      <c r="IE368" s="183"/>
      <c r="IF368" s="183"/>
      <c r="IG368" s="183"/>
      <c r="IH368" s="183"/>
      <c r="II368" s="183"/>
      <c r="IJ368" s="183"/>
      <c r="IK368" s="183"/>
      <c r="IL368" s="183"/>
      <c r="IM368" s="183"/>
      <c r="IN368" s="183"/>
      <c r="IO368" s="183"/>
      <c r="IP368" s="183"/>
      <c r="IQ368" s="183"/>
    </row>
    <row r="369" spans="1:251" x14ac:dyDescent="0.3">
      <c r="A369" s="268" t="s">
        <v>279</v>
      </c>
      <c r="B369" s="271" t="s">
        <v>46</v>
      </c>
      <c r="C369" s="274" t="s">
        <v>36</v>
      </c>
      <c r="D369" s="265" t="s">
        <v>37</v>
      </c>
      <c r="E369" s="265" t="s">
        <v>38</v>
      </c>
      <c r="F369" s="108" t="s">
        <v>233</v>
      </c>
      <c r="G369" s="286"/>
      <c r="H369" s="289"/>
      <c r="I369" s="290"/>
      <c r="J369" s="290"/>
      <c r="K369" s="290"/>
      <c r="L369" s="290"/>
      <c r="M369" s="290"/>
      <c r="N369" s="290"/>
      <c r="O369" s="290"/>
      <c r="P369" s="290"/>
      <c r="Q369" s="290"/>
      <c r="R369" s="290"/>
      <c r="S369" s="290"/>
      <c r="T369" s="290"/>
      <c r="U369" s="290"/>
      <c r="V369" s="290"/>
      <c r="W369" s="290"/>
      <c r="X369" s="290"/>
      <c r="Y369" s="290"/>
      <c r="Z369" s="290"/>
      <c r="AA369" s="290"/>
      <c r="AB369" s="290"/>
      <c r="AC369" s="290"/>
      <c r="AD369" s="290"/>
      <c r="AE369" s="290"/>
      <c r="AF369" s="290"/>
      <c r="AG369" s="290"/>
      <c r="AH369" s="290"/>
      <c r="AI369" s="290"/>
      <c r="AJ369" s="290"/>
      <c r="AK369" s="290"/>
      <c r="AL369" s="290"/>
      <c r="AM369" s="290"/>
      <c r="AN369" s="290"/>
      <c r="AO369" s="290"/>
      <c r="AP369" s="290"/>
      <c r="AQ369" s="290"/>
      <c r="AR369" s="290"/>
      <c r="AS369" s="290"/>
      <c r="AT369" s="290"/>
      <c r="AU369" s="290"/>
      <c r="AV369" s="290"/>
      <c r="AW369" s="290"/>
      <c r="AX369" s="290"/>
      <c r="AY369" s="290"/>
      <c r="AZ369" s="290"/>
      <c r="BA369" s="290"/>
      <c r="BB369" s="290"/>
      <c r="BC369" s="290"/>
      <c r="BD369" s="290"/>
      <c r="BE369" s="290"/>
      <c r="BF369" s="290"/>
      <c r="BG369" s="290"/>
      <c r="BH369" s="290"/>
      <c r="BI369" s="290"/>
      <c r="BJ369" s="290"/>
      <c r="BK369" s="290"/>
      <c r="BL369" s="290"/>
      <c r="BM369" s="290"/>
      <c r="BN369" s="290"/>
      <c r="BO369" s="290"/>
      <c r="BP369" s="290"/>
      <c r="BQ369" s="290"/>
      <c r="BR369" s="290"/>
      <c r="BS369" s="290"/>
      <c r="BT369" s="290"/>
      <c r="BU369" s="290"/>
      <c r="BV369" s="290"/>
      <c r="BW369" s="290"/>
      <c r="BX369" s="290"/>
      <c r="BY369" s="290"/>
      <c r="BZ369" s="290"/>
      <c r="CA369" s="290"/>
      <c r="CB369" s="290"/>
      <c r="CC369" s="290"/>
      <c r="CD369" s="290"/>
      <c r="CE369" s="290"/>
      <c r="CF369" s="290"/>
      <c r="CG369" s="290"/>
      <c r="CH369" s="290"/>
      <c r="CI369" s="290"/>
      <c r="CJ369" s="290"/>
      <c r="CK369" s="290"/>
      <c r="CL369" s="290"/>
      <c r="CM369" s="290"/>
      <c r="CN369" s="290"/>
      <c r="CO369" s="290"/>
      <c r="CP369" s="290"/>
      <c r="CQ369" s="290"/>
      <c r="CR369" s="290"/>
      <c r="CS369" s="290"/>
      <c r="CT369" s="290"/>
      <c r="CU369" s="290"/>
      <c r="CV369" s="290"/>
      <c r="CW369" s="290"/>
      <c r="CX369" s="290"/>
      <c r="CY369" s="290"/>
      <c r="CZ369" s="290"/>
      <c r="DA369" s="290"/>
      <c r="DB369" s="290"/>
      <c r="DC369" s="290"/>
      <c r="DD369" s="290"/>
      <c r="DE369" s="290"/>
      <c r="DF369" s="290"/>
      <c r="DG369" s="290"/>
      <c r="DH369" s="290"/>
      <c r="DI369" s="290"/>
      <c r="DJ369" s="290"/>
      <c r="DK369" s="290"/>
      <c r="DL369" s="290"/>
      <c r="DM369" s="290"/>
      <c r="DN369" s="290"/>
      <c r="DO369" s="290"/>
      <c r="DP369" s="290"/>
      <c r="DQ369" s="290"/>
      <c r="DR369" s="290"/>
      <c r="DS369" s="290"/>
      <c r="DT369" s="290"/>
      <c r="DU369" s="290"/>
      <c r="DV369" s="290"/>
      <c r="DW369" s="290"/>
      <c r="DX369" s="290"/>
      <c r="DY369" s="290"/>
      <c r="DZ369" s="290"/>
      <c r="EA369" s="290"/>
      <c r="EB369" s="290"/>
      <c r="EC369" s="290"/>
      <c r="ED369" s="290"/>
      <c r="EE369" s="290"/>
      <c r="EF369" s="290"/>
      <c r="EG369" s="290"/>
      <c r="EH369" s="290"/>
      <c r="EI369" s="290"/>
      <c r="EJ369" s="290"/>
      <c r="EK369" s="290"/>
      <c r="EL369" s="290"/>
      <c r="EM369" s="290"/>
      <c r="EN369" s="290"/>
      <c r="EO369" s="290"/>
      <c r="EP369" s="290"/>
      <c r="EQ369" s="290"/>
      <c r="ER369" s="290"/>
      <c r="ES369" s="290"/>
      <c r="ET369" s="290"/>
      <c r="EU369" s="290"/>
      <c r="EV369" s="290"/>
      <c r="EW369" s="290"/>
      <c r="EX369" s="290"/>
      <c r="EY369" s="290"/>
      <c r="EZ369" s="290"/>
      <c r="FA369" s="290"/>
      <c r="FB369" s="290"/>
      <c r="FC369" s="290"/>
      <c r="FD369" s="290"/>
      <c r="FE369" s="290"/>
      <c r="FF369" s="290"/>
      <c r="FG369" s="290"/>
      <c r="FH369" s="290"/>
      <c r="FI369" s="290"/>
      <c r="FJ369" s="290"/>
      <c r="FK369" s="290"/>
      <c r="FL369" s="290"/>
      <c r="FM369" s="290"/>
      <c r="FN369" s="290"/>
      <c r="FO369" s="290"/>
      <c r="FP369" s="290"/>
      <c r="FQ369" s="290"/>
      <c r="FR369" s="290"/>
      <c r="FS369" s="290"/>
      <c r="FT369" s="290"/>
      <c r="FU369" s="290"/>
      <c r="FV369" s="290"/>
      <c r="FW369" s="290"/>
      <c r="FX369" s="290"/>
      <c r="FY369" s="290"/>
      <c r="FZ369" s="290"/>
      <c r="GA369" s="290"/>
      <c r="GB369" s="290"/>
      <c r="GC369" s="290"/>
      <c r="GD369" s="290"/>
      <c r="GE369" s="290"/>
      <c r="GF369" s="290"/>
      <c r="GG369" s="290"/>
      <c r="GH369" s="290"/>
      <c r="GI369" s="290"/>
      <c r="GJ369" s="290"/>
      <c r="GK369" s="290"/>
      <c r="GL369" s="290"/>
      <c r="GM369" s="290"/>
      <c r="GN369" s="290"/>
      <c r="GO369" s="290"/>
      <c r="GP369" s="290"/>
      <c r="GQ369" s="290"/>
      <c r="GR369" s="290"/>
      <c r="GS369" s="290"/>
      <c r="GT369" s="290"/>
      <c r="GU369" s="290"/>
      <c r="GV369" s="290"/>
      <c r="GW369" s="290"/>
      <c r="GX369" s="290"/>
      <c r="GY369" s="290"/>
      <c r="GZ369" s="290"/>
      <c r="HA369" s="290"/>
      <c r="HB369" s="290"/>
      <c r="HC369" s="290"/>
      <c r="HD369" s="290"/>
      <c r="HE369" s="290"/>
      <c r="HF369" s="290"/>
      <c r="HG369" s="290"/>
      <c r="HH369" s="290"/>
      <c r="HI369" s="290"/>
      <c r="HJ369" s="290"/>
      <c r="HK369" s="290"/>
      <c r="HL369" s="290"/>
      <c r="HM369" s="290"/>
      <c r="HN369" s="290"/>
      <c r="HO369" s="290"/>
      <c r="HP369" s="290"/>
      <c r="HQ369" s="290"/>
      <c r="HR369" s="290"/>
      <c r="HS369" s="290"/>
      <c r="HT369" s="290"/>
      <c r="HU369" s="290"/>
      <c r="HV369" s="290"/>
      <c r="HW369" s="290"/>
      <c r="HX369" s="290"/>
      <c r="HY369" s="290"/>
      <c r="HZ369" s="290"/>
      <c r="IA369" s="290"/>
      <c r="IB369" s="290"/>
      <c r="IC369" s="290"/>
      <c r="ID369" s="290"/>
      <c r="IE369" s="290"/>
      <c r="IF369" s="290"/>
      <c r="IG369" s="290"/>
      <c r="IH369" s="290"/>
      <c r="II369" s="290"/>
      <c r="IJ369" s="290"/>
      <c r="IK369" s="290"/>
      <c r="IL369" s="290"/>
      <c r="IM369" s="290"/>
      <c r="IN369" s="290"/>
      <c r="IO369" s="290"/>
      <c r="IP369" s="290"/>
      <c r="IQ369" s="290"/>
    </row>
    <row r="370" spans="1:251" x14ac:dyDescent="0.3">
      <c r="A370" s="269"/>
      <c r="B370" s="272"/>
      <c r="C370" s="275"/>
      <c r="D370" s="266"/>
      <c r="E370" s="266"/>
      <c r="F370" s="109" t="s">
        <v>234</v>
      </c>
      <c r="G370" s="287"/>
      <c r="H370" s="289"/>
      <c r="I370" s="290"/>
      <c r="J370" s="290"/>
      <c r="K370" s="290"/>
      <c r="L370" s="290"/>
      <c r="M370" s="290"/>
      <c r="N370" s="290"/>
      <c r="O370" s="290"/>
      <c r="P370" s="290"/>
      <c r="Q370" s="290"/>
      <c r="R370" s="290"/>
      <c r="S370" s="290"/>
      <c r="T370" s="290"/>
      <c r="U370" s="290"/>
      <c r="V370" s="290"/>
      <c r="W370" s="290"/>
      <c r="X370" s="290"/>
      <c r="Y370" s="290"/>
      <c r="Z370" s="290"/>
      <c r="AA370" s="290"/>
      <c r="AB370" s="290"/>
      <c r="AC370" s="290"/>
      <c r="AD370" s="290"/>
      <c r="AE370" s="290"/>
      <c r="AF370" s="290"/>
      <c r="AG370" s="290"/>
      <c r="AH370" s="290"/>
      <c r="AI370" s="290"/>
      <c r="AJ370" s="290"/>
      <c r="AK370" s="290"/>
      <c r="AL370" s="290"/>
      <c r="AM370" s="290"/>
      <c r="AN370" s="290"/>
      <c r="AO370" s="290"/>
      <c r="AP370" s="290"/>
      <c r="AQ370" s="290"/>
      <c r="AR370" s="290"/>
      <c r="AS370" s="290"/>
      <c r="AT370" s="290"/>
      <c r="AU370" s="290"/>
      <c r="AV370" s="290"/>
      <c r="AW370" s="290"/>
      <c r="AX370" s="290"/>
      <c r="AY370" s="290"/>
      <c r="AZ370" s="290"/>
      <c r="BA370" s="290"/>
      <c r="BB370" s="290"/>
      <c r="BC370" s="290"/>
      <c r="BD370" s="290"/>
      <c r="BE370" s="290"/>
      <c r="BF370" s="290"/>
      <c r="BG370" s="290"/>
      <c r="BH370" s="290"/>
      <c r="BI370" s="290"/>
      <c r="BJ370" s="290"/>
      <c r="BK370" s="290"/>
      <c r="BL370" s="290"/>
      <c r="BM370" s="290"/>
      <c r="BN370" s="290"/>
      <c r="BO370" s="290"/>
      <c r="BP370" s="290"/>
      <c r="BQ370" s="290"/>
      <c r="BR370" s="290"/>
      <c r="BS370" s="290"/>
      <c r="BT370" s="290"/>
      <c r="BU370" s="290"/>
      <c r="BV370" s="290"/>
      <c r="BW370" s="290"/>
      <c r="BX370" s="290"/>
      <c r="BY370" s="290"/>
      <c r="BZ370" s="290"/>
      <c r="CA370" s="290"/>
      <c r="CB370" s="290"/>
      <c r="CC370" s="290"/>
      <c r="CD370" s="290"/>
      <c r="CE370" s="290"/>
      <c r="CF370" s="290"/>
      <c r="CG370" s="290"/>
      <c r="CH370" s="290"/>
      <c r="CI370" s="290"/>
      <c r="CJ370" s="290"/>
      <c r="CK370" s="290"/>
      <c r="CL370" s="290"/>
      <c r="CM370" s="290"/>
      <c r="CN370" s="290"/>
      <c r="CO370" s="290"/>
      <c r="CP370" s="290"/>
      <c r="CQ370" s="290"/>
      <c r="CR370" s="290"/>
      <c r="CS370" s="290"/>
      <c r="CT370" s="290"/>
      <c r="CU370" s="290"/>
      <c r="CV370" s="290"/>
      <c r="CW370" s="290"/>
      <c r="CX370" s="290"/>
      <c r="CY370" s="290"/>
      <c r="CZ370" s="290"/>
      <c r="DA370" s="290"/>
      <c r="DB370" s="290"/>
      <c r="DC370" s="290"/>
      <c r="DD370" s="290"/>
      <c r="DE370" s="290"/>
      <c r="DF370" s="290"/>
      <c r="DG370" s="290"/>
      <c r="DH370" s="290"/>
      <c r="DI370" s="290"/>
      <c r="DJ370" s="290"/>
      <c r="DK370" s="290"/>
      <c r="DL370" s="290"/>
      <c r="DM370" s="290"/>
      <c r="DN370" s="290"/>
      <c r="DO370" s="290"/>
      <c r="DP370" s="290"/>
      <c r="DQ370" s="290"/>
      <c r="DR370" s="290"/>
      <c r="DS370" s="290"/>
      <c r="DT370" s="290"/>
      <c r="DU370" s="290"/>
      <c r="DV370" s="290"/>
      <c r="DW370" s="290"/>
      <c r="DX370" s="290"/>
      <c r="DY370" s="290"/>
      <c r="DZ370" s="290"/>
      <c r="EA370" s="290"/>
      <c r="EB370" s="290"/>
      <c r="EC370" s="290"/>
      <c r="ED370" s="290"/>
      <c r="EE370" s="290"/>
      <c r="EF370" s="290"/>
      <c r="EG370" s="290"/>
      <c r="EH370" s="290"/>
      <c r="EI370" s="290"/>
      <c r="EJ370" s="290"/>
      <c r="EK370" s="290"/>
      <c r="EL370" s="290"/>
      <c r="EM370" s="290"/>
      <c r="EN370" s="290"/>
      <c r="EO370" s="290"/>
      <c r="EP370" s="290"/>
      <c r="EQ370" s="290"/>
      <c r="ER370" s="290"/>
      <c r="ES370" s="290"/>
      <c r="ET370" s="290"/>
      <c r="EU370" s="290"/>
      <c r="EV370" s="290"/>
      <c r="EW370" s="290"/>
      <c r="EX370" s="290"/>
      <c r="EY370" s="290"/>
      <c r="EZ370" s="290"/>
      <c r="FA370" s="290"/>
      <c r="FB370" s="290"/>
      <c r="FC370" s="290"/>
      <c r="FD370" s="290"/>
      <c r="FE370" s="290"/>
      <c r="FF370" s="290"/>
      <c r="FG370" s="290"/>
      <c r="FH370" s="290"/>
      <c r="FI370" s="290"/>
      <c r="FJ370" s="290"/>
      <c r="FK370" s="290"/>
      <c r="FL370" s="290"/>
      <c r="FM370" s="290"/>
      <c r="FN370" s="290"/>
      <c r="FO370" s="290"/>
      <c r="FP370" s="290"/>
      <c r="FQ370" s="290"/>
      <c r="FR370" s="290"/>
      <c r="FS370" s="290"/>
      <c r="FT370" s="290"/>
      <c r="FU370" s="290"/>
      <c r="FV370" s="290"/>
      <c r="FW370" s="290"/>
      <c r="FX370" s="290"/>
      <c r="FY370" s="290"/>
      <c r="FZ370" s="290"/>
      <c r="GA370" s="290"/>
      <c r="GB370" s="290"/>
      <c r="GC370" s="290"/>
      <c r="GD370" s="290"/>
      <c r="GE370" s="290"/>
      <c r="GF370" s="290"/>
      <c r="GG370" s="290"/>
      <c r="GH370" s="290"/>
      <c r="GI370" s="290"/>
      <c r="GJ370" s="290"/>
      <c r="GK370" s="290"/>
      <c r="GL370" s="290"/>
      <c r="GM370" s="290"/>
      <c r="GN370" s="290"/>
      <c r="GO370" s="290"/>
      <c r="GP370" s="290"/>
      <c r="GQ370" s="290"/>
      <c r="GR370" s="290"/>
      <c r="GS370" s="290"/>
      <c r="GT370" s="290"/>
      <c r="GU370" s="290"/>
      <c r="GV370" s="290"/>
      <c r="GW370" s="290"/>
      <c r="GX370" s="290"/>
      <c r="GY370" s="290"/>
      <c r="GZ370" s="290"/>
      <c r="HA370" s="290"/>
      <c r="HB370" s="290"/>
      <c r="HC370" s="290"/>
      <c r="HD370" s="290"/>
      <c r="HE370" s="290"/>
      <c r="HF370" s="290"/>
      <c r="HG370" s="290"/>
      <c r="HH370" s="290"/>
      <c r="HI370" s="290"/>
      <c r="HJ370" s="290"/>
      <c r="HK370" s="290"/>
      <c r="HL370" s="290"/>
      <c r="HM370" s="290"/>
      <c r="HN370" s="290"/>
      <c r="HO370" s="290"/>
      <c r="HP370" s="290"/>
      <c r="HQ370" s="290"/>
      <c r="HR370" s="290"/>
      <c r="HS370" s="290"/>
      <c r="HT370" s="290"/>
      <c r="HU370" s="290"/>
      <c r="HV370" s="290"/>
      <c r="HW370" s="290"/>
      <c r="HX370" s="290"/>
      <c r="HY370" s="290"/>
      <c r="HZ370" s="290"/>
      <c r="IA370" s="290"/>
      <c r="IB370" s="290"/>
      <c r="IC370" s="290"/>
      <c r="ID370" s="290"/>
      <c r="IE370" s="290"/>
      <c r="IF370" s="290"/>
      <c r="IG370" s="290"/>
      <c r="IH370" s="290"/>
      <c r="II370" s="290"/>
      <c r="IJ370" s="290"/>
      <c r="IK370" s="290"/>
      <c r="IL370" s="290"/>
      <c r="IM370" s="290"/>
      <c r="IN370" s="290"/>
      <c r="IO370" s="290"/>
      <c r="IP370" s="290"/>
      <c r="IQ370" s="290"/>
    </row>
    <row r="371" spans="1:251" x14ac:dyDescent="0.3">
      <c r="A371" s="270"/>
      <c r="B371" s="273"/>
      <c r="C371" s="276"/>
      <c r="D371" s="267"/>
      <c r="E371" s="267"/>
      <c r="F371" s="110" t="s">
        <v>235</v>
      </c>
      <c r="G371" s="288"/>
      <c r="H371" s="289"/>
      <c r="I371" s="290"/>
      <c r="J371" s="290"/>
      <c r="K371" s="290"/>
      <c r="L371" s="290"/>
      <c r="M371" s="290"/>
      <c r="N371" s="290"/>
      <c r="O371" s="290"/>
      <c r="P371" s="290"/>
      <c r="Q371" s="290"/>
      <c r="R371" s="290"/>
      <c r="S371" s="290"/>
      <c r="T371" s="290"/>
      <c r="U371" s="290"/>
      <c r="V371" s="290"/>
      <c r="W371" s="290"/>
      <c r="X371" s="290"/>
      <c r="Y371" s="290"/>
      <c r="Z371" s="290"/>
      <c r="AA371" s="290"/>
      <c r="AB371" s="290"/>
      <c r="AC371" s="290"/>
      <c r="AD371" s="290"/>
      <c r="AE371" s="290"/>
      <c r="AF371" s="290"/>
      <c r="AG371" s="290"/>
      <c r="AH371" s="290"/>
      <c r="AI371" s="290"/>
      <c r="AJ371" s="290"/>
      <c r="AK371" s="290"/>
      <c r="AL371" s="290"/>
      <c r="AM371" s="290"/>
      <c r="AN371" s="290"/>
      <c r="AO371" s="290"/>
      <c r="AP371" s="290"/>
      <c r="AQ371" s="290"/>
      <c r="AR371" s="290"/>
      <c r="AS371" s="290"/>
      <c r="AT371" s="290"/>
      <c r="AU371" s="290"/>
      <c r="AV371" s="290"/>
      <c r="AW371" s="290"/>
      <c r="AX371" s="290"/>
      <c r="AY371" s="290"/>
      <c r="AZ371" s="290"/>
      <c r="BA371" s="290"/>
      <c r="BB371" s="290"/>
      <c r="BC371" s="290"/>
      <c r="BD371" s="290"/>
      <c r="BE371" s="290"/>
      <c r="BF371" s="290"/>
      <c r="BG371" s="290"/>
      <c r="BH371" s="290"/>
      <c r="BI371" s="290"/>
      <c r="BJ371" s="290"/>
      <c r="BK371" s="290"/>
      <c r="BL371" s="290"/>
      <c r="BM371" s="290"/>
      <c r="BN371" s="290"/>
      <c r="BO371" s="290"/>
      <c r="BP371" s="290"/>
      <c r="BQ371" s="290"/>
      <c r="BR371" s="290"/>
      <c r="BS371" s="290"/>
      <c r="BT371" s="290"/>
      <c r="BU371" s="290"/>
      <c r="BV371" s="290"/>
      <c r="BW371" s="290"/>
      <c r="BX371" s="290"/>
      <c r="BY371" s="290"/>
      <c r="BZ371" s="290"/>
      <c r="CA371" s="290"/>
      <c r="CB371" s="290"/>
      <c r="CC371" s="290"/>
      <c r="CD371" s="290"/>
      <c r="CE371" s="290"/>
      <c r="CF371" s="290"/>
      <c r="CG371" s="290"/>
      <c r="CH371" s="290"/>
      <c r="CI371" s="290"/>
      <c r="CJ371" s="290"/>
      <c r="CK371" s="290"/>
      <c r="CL371" s="290"/>
      <c r="CM371" s="290"/>
      <c r="CN371" s="290"/>
      <c r="CO371" s="290"/>
      <c r="CP371" s="290"/>
      <c r="CQ371" s="290"/>
      <c r="CR371" s="290"/>
      <c r="CS371" s="290"/>
      <c r="CT371" s="290"/>
      <c r="CU371" s="290"/>
      <c r="CV371" s="290"/>
      <c r="CW371" s="290"/>
      <c r="CX371" s="290"/>
      <c r="CY371" s="290"/>
      <c r="CZ371" s="290"/>
      <c r="DA371" s="290"/>
      <c r="DB371" s="290"/>
      <c r="DC371" s="290"/>
      <c r="DD371" s="290"/>
      <c r="DE371" s="290"/>
      <c r="DF371" s="290"/>
      <c r="DG371" s="290"/>
      <c r="DH371" s="290"/>
      <c r="DI371" s="290"/>
      <c r="DJ371" s="290"/>
      <c r="DK371" s="290"/>
      <c r="DL371" s="290"/>
      <c r="DM371" s="290"/>
      <c r="DN371" s="290"/>
      <c r="DO371" s="290"/>
      <c r="DP371" s="290"/>
      <c r="DQ371" s="290"/>
      <c r="DR371" s="290"/>
      <c r="DS371" s="290"/>
      <c r="DT371" s="290"/>
      <c r="DU371" s="290"/>
      <c r="DV371" s="290"/>
      <c r="DW371" s="290"/>
      <c r="DX371" s="290"/>
      <c r="DY371" s="290"/>
      <c r="DZ371" s="290"/>
      <c r="EA371" s="290"/>
      <c r="EB371" s="290"/>
      <c r="EC371" s="290"/>
      <c r="ED371" s="290"/>
      <c r="EE371" s="290"/>
      <c r="EF371" s="290"/>
      <c r="EG371" s="290"/>
      <c r="EH371" s="290"/>
      <c r="EI371" s="290"/>
      <c r="EJ371" s="290"/>
      <c r="EK371" s="290"/>
      <c r="EL371" s="290"/>
      <c r="EM371" s="290"/>
      <c r="EN371" s="290"/>
      <c r="EO371" s="290"/>
      <c r="EP371" s="290"/>
      <c r="EQ371" s="290"/>
      <c r="ER371" s="290"/>
      <c r="ES371" s="290"/>
      <c r="ET371" s="290"/>
      <c r="EU371" s="290"/>
      <c r="EV371" s="290"/>
      <c r="EW371" s="290"/>
      <c r="EX371" s="290"/>
      <c r="EY371" s="290"/>
      <c r="EZ371" s="290"/>
      <c r="FA371" s="290"/>
      <c r="FB371" s="290"/>
      <c r="FC371" s="290"/>
      <c r="FD371" s="290"/>
      <c r="FE371" s="290"/>
      <c r="FF371" s="290"/>
      <c r="FG371" s="290"/>
      <c r="FH371" s="290"/>
      <c r="FI371" s="290"/>
      <c r="FJ371" s="290"/>
      <c r="FK371" s="290"/>
      <c r="FL371" s="290"/>
      <c r="FM371" s="290"/>
      <c r="FN371" s="290"/>
      <c r="FO371" s="290"/>
      <c r="FP371" s="290"/>
      <c r="FQ371" s="290"/>
      <c r="FR371" s="290"/>
      <c r="FS371" s="290"/>
      <c r="FT371" s="290"/>
      <c r="FU371" s="290"/>
      <c r="FV371" s="290"/>
      <c r="FW371" s="290"/>
      <c r="FX371" s="290"/>
      <c r="FY371" s="290"/>
      <c r="FZ371" s="290"/>
      <c r="GA371" s="290"/>
      <c r="GB371" s="290"/>
      <c r="GC371" s="290"/>
      <c r="GD371" s="290"/>
      <c r="GE371" s="290"/>
      <c r="GF371" s="290"/>
      <c r="GG371" s="290"/>
      <c r="GH371" s="290"/>
      <c r="GI371" s="290"/>
      <c r="GJ371" s="290"/>
      <c r="GK371" s="290"/>
      <c r="GL371" s="290"/>
      <c r="GM371" s="290"/>
      <c r="GN371" s="290"/>
      <c r="GO371" s="290"/>
      <c r="GP371" s="290"/>
      <c r="GQ371" s="290"/>
      <c r="GR371" s="290"/>
      <c r="GS371" s="290"/>
      <c r="GT371" s="290"/>
      <c r="GU371" s="290"/>
      <c r="GV371" s="290"/>
      <c r="GW371" s="290"/>
      <c r="GX371" s="290"/>
      <c r="GY371" s="290"/>
      <c r="GZ371" s="290"/>
      <c r="HA371" s="290"/>
      <c r="HB371" s="290"/>
      <c r="HC371" s="290"/>
      <c r="HD371" s="290"/>
      <c r="HE371" s="290"/>
      <c r="HF371" s="290"/>
      <c r="HG371" s="290"/>
      <c r="HH371" s="290"/>
      <c r="HI371" s="290"/>
      <c r="HJ371" s="290"/>
      <c r="HK371" s="290"/>
      <c r="HL371" s="290"/>
      <c r="HM371" s="290"/>
      <c r="HN371" s="290"/>
      <c r="HO371" s="290"/>
      <c r="HP371" s="290"/>
      <c r="HQ371" s="290"/>
      <c r="HR371" s="290"/>
      <c r="HS371" s="290"/>
      <c r="HT371" s="290"/>
      <c r="HU371" s="290"/>
      <c r="HV371" s="290"/>
      <c r="HW371" s="290"/>
      <c r="HX371" s="290"/>
      <c r="HY371" s="290"/>
      <c r="HZ371" s="290"/>
      <c r="IA371" s="290"/>
      <c r="IB371" s="290"/>
      <c r="IC371" s="290"/>
      <c r="ID371" s="290"/>
      <c r="IE371" s="290"/>
      <c r="IF371" s="290"/>
      <c r="IG371" s="290"/>
      <c r="IH371" s="290"/>
      <c r="II371" s="290"/>
      <c r="IJ371" s="290"/>
      <c r="IK371" s="290"/>
      <c r="IL371" s="290"/>
      <c r="IM371" s="290"/>
      <c r="IN371" s="290"/>
      <c r="IO371" s="290"/>
      <c r="IP371" s="290"/>
      <c r="IQ371" s="290"/>
    </row>
    <row r="372" spans="1:251" x14ac:dyDescent="0.3">
      <c r="A372" s="268" t="s">
        <v>279</v>
      </c>
      <c r="B372" s="271" t="s">
        <v>48</v>
      </c>
      <c r="C372" s="274" t="s">
        <v>49</v>
      </c>
      <c r="D372" s="265" t="s">
        <v>37</v>
      </c>
      <c r="E372" s="265" t="s">
        <v>38</v>
      </c>
      <c r="F372" s="111" t="s">
        <v>236</v>
      </c>
      <c r="G372" s="286"/>
      <c r="H372" s="289"/>
      <c r="I372" s="290"/>
      <c r="J372" s="290"/>
      <c r="K372" s="290"/>
      <c r="L372" s="290"/>
      <c r="M372" s="290"/>
      <c r="N372" s="290"/>
      <c r="O372" s="290"/>
      <c r="P372" s="290"/>
      <c r="Q372" s="290"/>
      <c r="R372" s="290"/>
      <c r="S372" s="290"/>
      <c r="T372" s="290"/>
      <c r="U372" s="290"/>
      <c r="V372" s="290"/>
      <c r="W372" s="290"/>
      <c r="X372" s="290"/>
      <c r="Y372" s="290"/>
      <c r="Z372" s="290"/>
      <c r="AA372" s="290"/>
      <c r="AB372" s="290"/>
      <c r="AC372" s="290"/>
      <c r="AD372" s="290"/>
      <c r="AE372" s="290"/>
      <c r="AF372" s="290"/>
      <c r="AG372" s="290"/>
      <c r="AH372" s="290"/>
      <c r="AI372" s="290"/>
      <c r="AJ372" s="290"/>
      <c r="AK372" s="290"/>
      <c r="AL372" s="290"/>
      <c r="AM372" s="290"/>
      <c r="AN372" s="290"/>
      <c r="AO372" s="290"/>
      <c r="AP372" s="290"/>
      <c r="AQ372" s="290"/>
      <c r="AR372" s="290"/>
      <c r="AS372" s="290"/>
      <c r="AT372" s="290"/>
      <c r="AU372" s="290"/>
      <c r="AV372" s="290"/>
      <c r="AW372" s="290"/>
      <c r="AX372" s="290"/>
      <c r="AY372" s="290"/>
      <c r="AZ372" s="290"/>
      <c r="BA372" s="290"/>
      <c r="BB372" s="290"/>
      <c r="BC372" s="290"/>
      <c r="BD372" s="290"/>
      <c r="BE372" s="290"/>
      <c r="BF372" s="290"/>
      <c r="BG372" s="290"/>
      <c r="BH372" s="290"/>
      <c r="BI372" s="290"/>
      <c r="BJ372" s="290"/>
      <c r="BK372" s="290"/>
      <c r="BL372" s="290"/>
      <c r="BM372" s="290"/>
      <c r="BN372" s="290"/>
      <c r="BO372" s="290"/>
      <c r="BP372" s="290"/>
      <c r="BQ372" s="290"/>
      <c r="BR372" s="290"/>
      <c r="BS372" s="290"/>
      <c r="BT372" s="290"/>
      <c r="BU372" s="290"/>
      <c r="BV372" s="290"/>
      <c r="BW372" s="290"/>
      <c r="BX372" s="290"/>
      <c r="BY372" s="290"/>
      <c r="BZ372" s="290"/>
      <c r="CA372" s="290"/>
      <c r="CB372" s="290"/>
      <c r="CC372" s="290"/>
      <c r="CD372" s="290"/>
      <c r="CE372" s="290"/>
      <c r="CF372" s="290"/>
      <c r="CG372" s="290"/>
      <c r="CH372" s="290"/>
      <c r="CI372" s="290"/>
      <c r="CJ372" s="290"/>
      <c r="CK372" s="290"/>
      <c r="CL372" s="290"/>
      <c r="CM372" s="290"/>
      <c r="CN372" s="290"/>
      <c r="CO372" s="290"/>
      <c r="CP372" s="290"/>
      <c r="CQ372" s="290"/>
      <c r="CR372" s="290"/>
      <c r="CS372" s="290"/>
      <c r="CT372" s="290"/>
      <c r="CU372" s="290"/>
      <c r="CV372" s="290"/>
      <c r="CW372" s="290"/>
      <c r="CX372" s="290"/>
      <c r="CY372" s="290"/>
      <c r="CZ372" s="290"/>
      <c r="DA372" s="290"/>
      <c r="DB372" s="290"/>
      <c r="DC372" s="290"/>
      <c r="DD372" s="290"/>
      <c r="DE372" s="290"/>
      <c r="DF372" s="290"/>
      <c r="DG372" s="290"/>
      <c r="DH372" s="290"/>
      <c r="DI372" s="290"/>
      <c r="DJ372" s="290"/>
      <c r="DK372" s="290"/>
      <c r="DL372" s="290"/>
      <c r="DM372" s="290"/>
      <c r="DN372" s="290"/>
      <c r="DO372" s="290"/>
      <c r="DP372" s="290"/>
      <c r="DQ372" s="290"/>
      <c r="DR372" s="290"/>
      <c r="DS372" s="290"/>
      <c r="DT372" s="290"/>
      <c r="DU372" s="290"/>
      <c r="DV372" s="290"/>
      <c r="DW372" s="290"/>
      <c r="DX372" s="290"/>
      <c r="DY372" s="290"/>
      <c r="DZ372" s="290"/>
      <c r="EA372" s="290"/>
      <c r="EB372" s="290"/>
      <c r="EC372" s="290"/>
      <c r="ED372" s="290"/>
      <c r="EE372" s="290"/>
      <c r="EF372" s="290"/>
      <c r="EG372" s="290"/>
      <c r="EH372" s="290"/>
      <c r="EI372" s="290"/>
      <c r="EJ372" s="290"/>
      <c r="EK372" s="290"/>
      <c r="EL372" s="290"/>
      <c r="EM372" s="290"/>
      <c r="EN372" s="290"/>
      <c r="EO372" s="290"/>
      <c r="EP372" s="290"/>
      <c r="EQ372" s="290"/>
      <c r="ER372" s="290"/>
      <c r="ES372" s="290"/>
      <c r="ET372" s="290"/>
      <c r="EU372" s="290"/>
      <c r="EV372" s="290"/>
      <c r="EW372" s="290"/>
      <c r="EX372" s="290"/>
      <c r="EY372" s="290"/>
      <c r="EZ372" s="290"/>
      <c r="FA372" s="290"/>
      <c r="FB372" s="290"/>
      <c r="FC372" s="290"/>
      <c r="FD372" s="290"/>
      <c r="FE372" s="290"/>
      <c r="FF372" s="290"/>
      <c r="FG372" s="290"/>
      <c r="FH372" s="290"/>
      <c r="FI372" s="290"/>
      <c r="FJ372" s="290"/>
      <c r="FK372" s="290"/>
      <c r="FL372" s="290"/>
      <c r="FM372" s="290"/>
      <c r="FN372" s="290"/>
      <c r="FO372" s="290"/>
      <c r="FP372" s="290"/>
      <c r="FQ372" s="290"/>
      <c r="FR372" s="290"/>
      <c r="FS372" s="290"/>
      <c r="FT372" s="290"/>
      <c r="FU372" s="290"/>
      <c r="FV372" s="290"/>
      <c r="FW372" s="290"/>
      <c r="FX372" s="290"/>
      <c r="FY372" s="290"/>
      <c r="FZ372" s="290"/>
      <c r="GA372" s="290"/>
      <c r="GB372" s="290"/>
      <c r="GC372" s="290"/>
      <c r="GD372" s="290"/>
      <c r="GE372" s="290"/>
      <c r="GF372" s="290"/>
      <c r="GG372" s="290"/>
      <c r="GH372" s="290"/>
      <c r="GI372" s="290"/>
      <c r="GJ372" s="290"/>
      <c r="GK372" s="290"/>
      <c r="GL372" s="290"/>
      <c r="GM372" s="290"/>
      <c r="GN372" s="290"/>
      <c r="GO372" s="290"/>
      <c r="GP372" s="290"/>
      <c r="GQ372" s="290"/>
      <c r="GR372" s="290"/>
      <c r="GS372" s="290"/>
      <c r="GT372" s="290"/>
      <c r="GU372" s="290"/>
      <c r="GV372" s="290"/>
      <c r="GW372" s="290"/>
      <c r="GX372" s="290"/>
      <c r="GY372" s="290"/>
      <c r="GZ372" s="290"/>
      <c r="HA372" s="290"/>
      <c r="HB372" s="290"/>
      <c r="HC372" s="290"/>
      <c r="HD372" s="290"/>
      <c r="HE372" s="290"/>
      <c r="HF372" s="290"/>
      <c r="HG372" s="290"/>
      <c r="HH372" s="290"/>
      <c r="HI372" s="290"/>
      <c r="HJ372" s="290"/>
      <c r="HK372" s="290"/>
      <c r="HL372" s="290"/>
      <c r="HM372" s="290"/>
      <c r="HN372" s="290"/>
      <c r="HO372" s="290"/>
      <c r="HP372" s="290"/>
      <c r="HQ372" s="290"/>
      <c r="HR372" s="290"/>
      <c r="HS372" s="290"/>
      <c r="HT372" s="290"/>
      <c r="HU372" s="290"/>
      <c r="HV372" s="290"/>
      <c r="HW372" s="290"/>
      <c r="HX372" s="290"/>
      <c r="HY372" s="290"/>
      <c r="HZ372" s="290"/>
      <c r="IA372" s="290"/>
      <c r="IB372" s="290"/>
      <c r="IC372" s="290"/>
      <c r="ID372" s="290"/>
      <c r="IE372" s="290"/>
      <c r="IF372" s="290"/>
      <c r="IG372" s="290"/>
      <c r="IH372" s="290"/>
      <c r="II372" s="290"/>
      <c r="IJ372" s="290"/>
      <c r="IK372" s="290"/>
      <c r="IL372" s="290"/>
      <c r="IM372" s="290"/>
      <c r="IN372" s="290"/>
      <c r="IO372" s="290"/>
      <c r="IP372" s="290"/>
      <c r="IQ372" s="290"/>
    </row>
    <row r="373" spans="1:251" x14ac:dyDescent="0.3">
      <c r="A373" s="269"/>
      <c r="B373" s="272"/>
      <c r="C373" s="275"/>
      <c r="D373" s="266"/>
      <c r="E373" s="266"/>
      <c r="F373" s="112" t="s">
        <v>237</v>
      </c>
      <c r="G373" s="287"/>
      <c r="H373" s="289"/>
      <c r="I373" s="290"/>
      <c r="J373" s="290"/>
      <c r="K373" s="290"/>
      <c r="L373" s="290"/>
      <c r="M373" s="290"/>
      <c r="N373" s="290"/>
      <c r="O373" s="290"/>
      <c r="P373" s="290"/>
      <c r="Q373" s="290"/>
      <c r="R373" s="290"/>
      <c r="S373" s="290"/>
      <c r="T373" s="290"/>
      <c r="U373" s="290"/>
      <c r="V373" s="290"/>
      <c r="W373" s="290"/>
      <c r="X373" s="290"/>
      <c r="Y373" s="290"/>
      <c r="Z373" s="290"/>
      <c r="AA373" s="290"/>
      <c r="AB373" s="290"/>
      <c r="AC373" s="290"/>
      <c r="AD373" s="290"/>
      <c r="AE373" s="290"/>
      <c r="AF373" s="290"/>
      <c r="AG373" s="290"/>
      <c r="AH373" s="290"/>
      <c r="AI373" s="290"/>
      <c r="AJ373" s="290"/>
      <c r="AK373" s="290"/>
      <c r="AL373" s="290"/>
      <c r="AM373" s="290"/>
      <c r="AN373" s="290"/>
      <c r="AO373" s="290"/>
      <c r="AP373" s="290"/>
      <c r="AQ373" s="290"/>
      <c r="AR373" s="290"/>
      <c r="AS373" s="290"/>
      <c r="AT373" s="290"/>
      <c r="AU373" s="290"/>
      <c r="AV373" s="290"/>
      <c r="AW373" s="290"/>
      <c r="AX373" s="290"/>
      <c r="AY373" s="290"/>
      <c r="AZ373" s="290"/>
      <c r="BA373" s="290"/>
      <c r="BB373" s="290"/>
      <c r="BC373" s="290"/>
      <c r="BD373" s="290"/>
      <c r="BE373" s="290"/>
      <c r="BF373" s="290"/>
      <c r="BG373" s="290"/>
      <c r="BH373" s="290"/>
      <c r="BI373" s="290"/>
      <c r="BJ373" s="290"/>
      <c r="BK373" s="290"/>
      <c r="BL373" s="290"/>
      <c r="BM373" s="290"/>
      <c r="BN373" s="290"/>
      <c r="BO373" s="290"/>
      <c r="BP373" s="290"/>
      <c r="BQ373" s="290"/>
      <c r="BR373" s="290"/>
      <c r="BS373" s="290"/>
      <c r="BT373" s="290"/>
      <c r="BU373" s="290"/>
      <c r="BV373" s="290"/>
      <c r="BW373" s="290"/>
      <c r="BX373" s="290"/>
      <c r="BY373" s="290"/>
      <c r="BZ373" s="290"/>
      <c r="CA373" s="290"/>
      <c r="CB373" s="290"/>
      <c r="CC373" s="290"/>
      <c r="CD373" s="290"/>
      <c r="CE373" s="290"/>
      <c r="CF373" s="290"/>
      <c r="CG373" s="290"/>
      <c r="CH373" s="290"/>
      <c r="CI373" s="290"/>
      <c r="CJ373" s="290"/>
      <c r="CK373" s="290"/>
      <c r="CL373" s="290"/>
      <c r="CM373" s="290"/>
      <c r="CN373" s="290"/>
      <c r="CO373" s="290"/>
      <c r="CP373" s="290"/>
      <c r="CQ373" s="290"/>
      <c r="CR373" s="290"/>
      <c r="CS373" s="290"/>
      <c r="CT373" s="290"/>
      <c r="CU373" s="290"/>
      <c r="CV373" s="290"/>
      <c r="CW373" s="290"/>
      <c r="CX373" s="290"/>
      <c r="CY373" s="290"/>
      <c r="CZ373" s="290"/>
      <c r="DA373" s="290"/>
      <c r="DB373" s="290"/>
      <c r="DC373" s="290"/>
      <c r="DD373" s="290"/>
      <c r="DE373" s="290"/>
      <c r="DF373" s="290"/>
      <c r="DG373" s="290"/>
      <c r="DH373" s="290"/>
      <c r="DI373" s="290"/>
      <c r="DJ373" s="290"/>
      <c r="DK373" s="290"/>
      <c r="DL373" s="290"/>
      <c r="DM373" s="290"/>
      <c r="DN373" s="290"/>
      <c r="DO373" s="290"/>
      <c r="DP373" s="290"/>
      <c r="DQ373" s="290"/>
      <c r="DR373" s="290"/>
      <c r="DS373" s="290"/>
      <c r="DT373" s="290"/>
      <c r="DU373" s="290"/>
      <c r="DV373" s="290"/>
      <c r="DW373" s="290"/>
      <c r="DX373" s="290"/>
      <c r="DY373" s="290"/>
      <c r="DZ373" s="290"/>
      <c r="EA373" s="290"/>
      <c r="EB373" s="290"/>
      <c r="EC373" s="290"/>
      <c r="ED373" s="290"/>
      <c r="EE373" s="290"/>
      <c r="EF373" s="290"/>
      <c r="EG373" s="290"/>
      <c r="EH373" s="290"/>
      <c r="EI373" s="290"/>
      <c r="EJ373" s="290"/>
      <c r="EK373" s="290"/>
      <c r="EL373" s="290"/>
      <c r="EM373" s="290"/>
      <c r="EN373" s="290"/>
      <c r="EO373" s="290"/>
      <c r="EP373" s="290"/>
      <c r="EQ373" s="290"/>
      <c r="ER373" s="290"/>
      <c r="ES373" s="290"/>
      <c r="ET373" s="290"/>
      <c r="EU373" s="290"/>
      <c r="EV373" s="290"/>
      <c r="EW373" s="290"/>
      <c r="EX373" s="290"/>
      <c r="EY373" s="290"/>
      <c r="EZ373" s="290"/>
      <c r="FA373" s="290"/>
      <c r="FB373" s="290"/>
      <c r="FC373" s="290"/>
      <c r="FD373" s="290"/>
      <c r="FE373" s="290"/>
      <c r="FF373" s="290"/>
      <c r="FG373" s="290"/>
      <c r="FH373" s="290"/>
      <c r="FI373" s="290"/>
      <c r="FJ373" s="290"/>
      <c r="FK373" s="290"/>
      <c r="FL373" s="290"/>
      <c r="FM373" s="290"/>
      <c r="FN373" s="290"/>
      <c r="FO373" s="290"/>
      <c r="FP373" s="290"/>
      <c r="FQ373" s="290"/>
      <c r="FR373" s="290"/>
      <c r="FS373" s="290"/>
      <c r="FT373" s="290"/>
      <c r="FU373" s="290"/>
      <c r="FV373" s="290"/>
      <c r="FW373" s="290"/>
      <c r="FX373" s="290"/>
      <c r="FY373" s="290"/>
      <c r="FZ373" s="290"/>
      <c r="GA373" s="290"/>
      <c r="GB373" s="290"/>
      <c r="GC373" s="290"/>
      <c r="GD373" s="290"/>
      <c r="GE373" s="290"/>
      <c r="GF373" s="290"/>
      <c r="GG373" s="290"/>
      <c r="GH373" s="290"/>
      <c r="GI373" s="290"/>
      <c r="GJ373" s="290"/>
      <c r="GK373" s="290"/>
      <c r="GL373" s="290"/>
      <c r="GM373" s="290"/>
      <c r="GN373" s="290"/>
      <c r="GO373" s="290"/>
      <c r="GP373" s="290"/>
      <c r="GQ373" s="290"/>
      <c r="GR373" s="290"/>
      <c r="GS373" s="290"/>
      <c r="GT373" s="290"/>
      <c r="GU373" s="290"/>
      <c r="GV373" s="290"/>
      <c r="GW373" s="290"/>
      <c r="GX373" s="290"/>
      <c r="GY373" s="290"/>
      <c r="GZ373" s="290"/>
      <c r="HA373" s="290"/>
      <c r="HB373" s="290"/>
      <c r="HC373" s="290"/>
      <c r="HD373" s="290"/>
      <c r="HE373" s="290"/>
      <c r="HF373" s="290"/>
      <c r="HG373" s="290"/>
      <c r="HH373" s="290"/>
      <c r="HI373" s="290"/>
      <c r="HJ373" s="290"/>
      <c r="HK373" s="290"/>
      <c r="HL373" s="290"/>
      <c r="HM373" s="290"/>
      <c r="HN373" s="290"/>
      <c r="HO373" s="290"/>
      <c r="HP373" s="290"/>
      <c r="HQ373" s="290"/>
      <c r="HR373" s="290"/>
      <c r="HS373" s="290"/>
      <c r="HT373" s="290"/>
      <c r="HU373" s="290"/>
      <c r="HV373" s="290"/>
      <c r="HW373" s="290"/>
      <c r="HX373" s="290"/>
      <c r="HY373" s="290"/>
      <c r="HZ373" s="290"/>
      <c r="IA373" s="290"/>
      <c r="IB373" s="290"/>
      <c r="IC373" s="290"/>
      <c r="ID373" s="290"/>
      <c r="IE373" s="290"/>
      <c r="IF373" s="290"/>
      <c r="IG373" s="290"/>
      <c r="IH373" s="290"/>
      <c r="II373" s="290"/>
      <c r="IJ373" s="290"/>
      <c r="IK373" s="290"/>
      <c r="IL373" s="290"/>
      <c r="IM373" s="290"/>
      <c r="IN373" s="290"/>
      <c r="IO373" s="290"/>
      <c r="IP373" s="290"/>
      <c r="IQ373" s="290"/>
    </row>
    <row r="374" spans="1:251" x14ac:dyDescent="0.3">
      <c r="A374" s="270"/>
      <c r="B374" s="273"/>
      <c r="C374" s="276"/>
      <c r="D374" s="267"/>
      <c r="E374" s="267"/>
      <c r="F374" s="113" t="s">
        <v>238</v>
      </c>
      <c r="G374" s="288"/>
      <c r="H374" s="289"/>
      <c r="I374" s="290"/>
      <c r="J374" s="290"/>
      <c r="K374" s="290"/>
      <c r="L374" s="290"/>
      <c r="M374" s="290"/>
      <c r="N374" s="290"/>
      <c r="O374" s="290"/>
      <c r="P374" s="290"/>
      <c r="Q374" s="290"/>
      <c r="R374" s="290"/>
      <c r="S374" s="290"/>
      <c r="T374" s="290"/>
      <c r="U374" s="290"/>
      <c r="V374" s="290"/>
      <c r="W374" s="290"/>
      <c r="X374" s="290"/>
      <c r="Y374" s="290"/>
      <c r="Z374" s="290"/>
      <c r="AA374" s="290"/>
      <c r="AB374" s="290"/>
      <c r="AC374" s="290"/>
      <c r="AD374" s="290"/>
      <c r="AE374" s="290"/>
      <c r="AF374" s="290"/>
      <c r="AG374" s="290"/>
      <c r="AH374" s="290"/>
      <c r="AI374" s="290"/>
      <c r="AJ374" s="290"/>
      <c r="AK374" s="290"/>
      <c r="AL374" s="290"/>
      <c r="AM374" s="290"/>
      <c r="AN374" s="290"/>
      <c r="AO374" s="290"/>
      <c r="AP374" s="290"/>
      <c r="AQ374" s="290"/>
      <c r="AR374" s="290"/>
      <c r="AS374" s="290"/>
      <c r="AT374" s="290"/>
      <c r="AU374" s="290"/>
      <c r="AV374" s="290"/>
      <c r="AW374" s="290"/>
      <c r="AX374" s="290"/>
      <c r="AY374" s="290"/>
      <c r="AZ374" s="290"/>
      <c r="BA374" s="290"/>
      <c r="BB374" s="290"/>
      <c r="BC374" s="290"/>
      <c r="BD374" s="290"/>
      <c r="BE374" s="290"/>
      <c r="BF374" s="290"/>
      <c r="BG374" s="290"/>
      <c r="BH374" s="290"/>
      <c r="BI374" s="290"/>
      <c r="BJ374" s="290"/>
      <c r="BK374" s="290"/>
      <c r="BL374" s="290"/>
      <c r="BM374" s="290"/>
      <c r="BN374" s="290"/>
      <c r="BO374" s="290"/>
      <c r="BP374" s="290"/>
      <c r="BQ374" s="290"/>
      <c r="BR374" s="290"/>
      <c r="BS374" s="290"/>
      <c r="BT374" s="290"/>
      <c r="BU374" s="290"/>
      <c r="BV374" s="290"/>
      <c r="BW374" s="290"/>
      <c r="BX374" s="290"/>
      <c r="BY374" s="290"/>
      <c r="BZ374" s="290"/>
      <c r="CA374" s="290"/>
      <c r="CB374" s="290"/>
      <c r="CC374" s="290"/>
      <c r="CD374" s="290"/>
      <c r="CE374" s="290"/>
      <c r="CF374" s="290"/>
      <c r="CG374" s="290"/>
      <c r="CH374" s="290"/>
      <c r="CI374" s="290"/>
      <c r="CJ374" s="290"/>
      <c r="CK374" s="290"/>
      <c r="CL374" s="290"/>
      <c r="CM374" s="290"/>
      <c r="CN374" s="290"/>
      <c r="CO374" s="290"/>
      <c r="CP374" s="290"/>
      <c r="CQ374" s="290"/>
      <c r="CR374" s="290"/>
      <c r="CS374" s="290"/>
      <c r="CT374" s="290"/>
      <c r="CU374" s="290"/>
      <c r="CV374" s="290"/>
      <c r="CW374" s="290"/>
      <c r="CX374" s="290"/>
      <c r="CY374" s="290"/>
      <c r="CZ374" s="290"/>
      <c r="DA374" s="290"/>
      <c r="DB374" s="290"/>
      <c r="DC374" s="290"/>
      <c r="DD374" s="290"/>
      <c r="DE374" s="290"/>
      <c r="DF374" s="290"/>
      <c r="DG374" s="290"/>
      <c r="DH374" s="290"/>
      <c r="DI374" s="290"/>
      <c r="DJ374" s="290"/>
      <c r="DK374" s="290"/>
      <c r="DL374" s="290"/>
      <c r="DM374" s="290"/>
      <c r="DN374" s="290"/>
      <c r="DO374" s="290"/>
      <c r="DP374" s="290"/>
      <c r="DQ374" s="290"/>
      <c r="DR374" s="290"/>
      <c r="DS374" s="290"/>
      <c r="DT374" s="290"/>
      <c r="DU374" s="290"/>
      <c r="DV374" s="290"/>
      <c r="DW374" s="290"/>
      <c r="DX374" s="290"/>
      <c r="DY374" s="290"/>
      <c r="DZ374" s="290"/>
      <c r="EA374" s="290"/>
      <c r="EB374" s="290"/>
      <c r="EC374" s="290"/>
      <c r="ED374" s="290"/>
      <c r="EE374" s="290"/>
      <c r="EF374" s="290"/>
      <c r="EG374" s="290"/>
      <c r="EH374" s="290"/>
      <c r="EI374" s="290"/>
      <c r="EJ374" s="290"/>
      <c r="EK374" s="290"/>
      <c r="EL374" s="290"/>
      <c r="EM374" s="290"/>
      <c r="EN374" s="290"/>
      <c r="EO374" s="290"/>
      <c r="EP374" s="290"/>
      <c r="EQ374" s="290"/>
      <c r="ER374" s="290"/>
      <c r="ES374" s="290"/>
      <c r="ET374" s="290"/>
      <c r="EU374" s="290"/>
      <c r="EV374" s="290"/>
      <c r="EW374" s="290"/>
      <c r="EX374" s="290"/>
      <c r="EY374" s="290"/>
      <c r="EZ374" s="290"/>
      <c r="FA374" s="290"/>
      <c r="FB374" s="290"/>
      <c r="FC374" s="290"/>
      <c r="FD374" s="290"/>
      <c r="FE374" s="290"/>
      <c r="FF374" s="290"/>
      <c r="FG374" s="290"/>
      <c r="FH374" s="290"/>
      <c r="FI374" s="290"/>
      <c r="FJ374" s="290"/>
      <c r="FK374" s="290"/>
      <c r="FL374" s="290"/>
      <c r="FM374" s="290"/>
      <c r="FN374" s="290"/>
      <c r="FO374" s="290"/>
      <c r="FP374" s="290"/>
      <c r="FQ374" s="290"/>
      <c r="FR374" s="290"/>
      <c r="FS374" s="290"/>
      <c r="FT374" s="290"/>
      <c r="FU374" s="290"/>
      <c r="FV374" s="290"/>
      <c r="FW374" s="290"/>
      <c r="FX374" s="290"/>
      <c r="FY374" s="290"/>
      <c r="FZ374" s="290"/>
      <c r="GA374" s="290"/>
      <c r="GB374" s="290"/>
      <c r="GC374" s="290"/>
      <c r="GD374" s="290"/>
      <c r="GE374" s="290"/>
      <c r="GF374" s="290"/>
      <c r="GG374" s="290"/>
      <c r="GH374" s="290"/>
      <c r="GI374" s="290"/>
      <c r="GJ374" s="290"/>
      <c r="GK374" s="290"/>
      <c r="GL374" s="290"/>
      <c r="GM374" s="290"/>
      <c r="GN374" s="290"/>
      <c r="GO374" s="290"/>
      <c r="GP374" s="290"/>
      <c r="GQ374" s="290"/>
      <c r="GR374" s="290"/>
      <c r="GS374" s="290"/>
      <c r="GT374" s="290"/>
      <c r="GU374" s="290"/>
      <c r="GV374" s="290"/>
      <c r="GW374" s="290"/>
      <c r="GX374" s="290"/>
      <c r="GY374" s="290"/>
      <c r="GZ374" s="290"/>
      <c r="HA374" s="290"/>
      <c r="HB374" s="290"/>
      <c r="HC374" s="290"/>
      <c r="HD374" s="290"/>
      <c r="HE374" s="290"/>
      <c r="HF374" s="290"/>
      <c r="HG374" s="290"/>
      <c r="HH374" s="290"/>
      <c r="HI374" s="290"/>
      <c r="HJ374" s="290"/>
      <c r="HK374" s="290"/>
      <c r="HL374" s="290"/>
      <c r="HM374" s="290"/>
      <c r="HN374" s="290"/>
      <c r="HO374" s="290"/>
      <c r="HP374" s="290"/>
      <c r="HQ374" s="290"/>
      <c r="HR374" s="290"/>
      <c r="HS374" s="290"/>
      <c r="HT374" s="290"/>
      <c r="HU374" s="290"/>
      <c r="HV374" s="290"/>
      <c r="HW374" s="290"/>
      <c r="HX374" s="290"/>
      <c r="HY374" s="290"/>
      <c r="HZ374" s="290"/>
      <c r="IA374" s="290"/>
      <c r="IB374" s="290"/>
      <c r="IC374" s="290"/>
      <c r="ID374" s="290"/>
      <c r="IE374" s="290"/>
      <c r="IF374" s="290"/>
      <c r="IG374" s="290"/>
      <c r="IH374" s="290"/>
      <c r="II374" s="290"/>
      <c r="IJ374" s="290"/>
      <c r="IK374" s="290"/>
      <c r="IL374" s="290"/>
      <c r="IM374" s="290"/>
      <c r="IN374" s="290"/>
      <c r="IO374" s="290"/>
      <c r="IP374" s="290"/>
      <c r="IQ374" s="290"/>
    </row>
    <row r="375" spans="1:251" ht="39" x14ac:dyDescent="0.3">
      <c r="A375" s="239" t="s">
        <v>279</v>
      </c>
      <c r="B375" s="21" t="s">
        <v>1852</v>
      </c>
      <c r="C375" s="129" t="s">
        <v>49</v>
      </c>
      <c r="D375" s="166" t="s">
        <v>37</v>
      </c>
      <c r="E375" s="166" t="s">
        <v>38</v>
      </c>
      <c r="F375" s="100" t="s">
        <v>1854</v>
      </c>
      <c r="G375" s="183"/>
      <c r="H375" s="183"/>
      <c r="I375" s="183"/>
      <c r="J375" s="183"/>
      <c r="K375" s="183"/>
      <c r="L375" s="183"/>
      <c r="M375" s="183"/>
      <c r="N375" s="183"/>
      <c r="O375" s="183"/>
      <c r="P375" s="183"/>
      <c r="Q375" s="183"/>
      <c r="R375" s="183"/>
      <c r="S375" s="183"/>
      <c r="T375" s="183"/>
      <c r="U375" s="183"/>
      <c r="V375" s="183"/>
      <c r="W375" s="183"/>
      <c r="X375" s="183"/>
      <c r="Y375" s="183"/>
      <c r="Z375" s="183"/>
      <c r="AA375" s="183"/>
      <c r="AB375" s="183"/>
      <c r="AC375" s="183"/>
      <c r="AD375" s="183"/>
      <c r="AE375" s="183"/>
      <c r="AF375" s="183"/>
      <c r="AG375" s="183"/>
      <c r="AH375" s="183"/>
      <c r="AI375" s="183"/>
      <c r="AJ375" s="183"/>
      <c r="AK375" s="183"/>
      <c r="AL375" s="183"/>
      <c r="AM375" s="183"/>
      <c r="AN375" s="183"/>
      <c r="AO375" s="183"/>
      <c r="AP375" s="183"/>
      <c r="AQ375" s="183"/>
      <c r="AR375" s="183"/>
      <c r="AS375" s="183"/>
      <c r="AT375" s="183"/>
      <c r="AU375" s="183"/>
      <c r="AV375" s="183"/>
      <c r="AW375" s="183"/>
      <c r="AX375" s="183"/>
      <c r="AY375" s="183"/>
      <c r="AZ375" s="183"/>
      <c r="BA375" s="183"/>
      <c r="BB375" s="183"/>
      <c r="BC375" s="183"/>
      <c r="BD375" s="183"/>
      <c r="BE375" s="183"/>
      <c r="BF375" s="183"/>
      <c r="BG375" s="183"/>
      <c r="BH375" s="183"/>
      <c r="BI375" s="183"/>
      <c r="BJ375" s="183"/>
      <c r="BK375" s="183"/>
      <c r="BL375" s="183"/>
      <c r="BM375" s="183"/>
      <c r="BN375" s="183"/>
      <c r="BO375" s="183"/>
      <c r="BP375" s="183"/>
      <c r="BQ375" s="183"/>
      <c r="BR375" s="183"/>
      <c r="BS375" s="183"/>
      <c r="BT375" s="183"/>
      <c r="BU375" s="183"/>
      <c r="BV375" s="183"/>
      <c r="BW375" s="183"/>
      <c r="BX375" s="183"/>
      <c r="BY375" s="183"/>
      <c r="BZ375" s="183"/>
      <c r="CA375" s="183"/>
      <c r="CB375" s="183"/>
      <c r="CC375" s="183"/>
      <c r="CD375" s="183"/>
      <c r="CE375" s="183"/>
      <c r="CF375" s="183"/>
      <c r="CG375" s="183"/>
      <c r="CH375" s="183"/>
      <c r="CI375" s="183"/>
      <c r="CJ375" s="183"/>
      <c r="CK375" s="183"/>
      <c r="CL375" s="183"/>
      <c r="CM375" s="183"/>
      <c r="CN375" s="183"/>
      <c r="CO375" s="183"/>
      <c r="CP375" s="183"/>
      <c r="CQ375" s="183"/>
      <c r="CR375" s="183"/>
      <c r="CS375" s="183"/>
      <c r="CT375" s="183"/>
      <c r="CU375" s="183"/>
      <c r="CV375" s="183"/>
      <c r="CW375" s="183"/>
      <c r="CX375" s="183"/>
      <c r="CY375" s="183"/>
      <c r="CZ375" s="183"/>
      <c r="DA375" s="183"/>
      <c r="DB375" s="183"/>
      <c r="DC375" s="183"/>
      <c r="DD375" s="183"/>
      <c r="DE375" s="183"/>
      <c r="DF375" s="183"/>
      <c r="DG375" s="183"/>
      <c r="DH375" s="183"/>
      <c r="DI375" s="183"/>
      <c r="DJ375" s="183"/>
      <c r="DK375" s="183"/>
      <c r="DL375" s="183"/>
      <c r="DM375" s="183"/>
      <c r="DN375" s="183"/>
      <c r="DO375" s="183"/>
      <c r="DP375" s="183"/>
      <c r="DQ375" s="183"/>
      <c r="DR375" s="183"/>
      <c r="DS375" s="183"/>
      <c r="DT375" s="183"/>
      <c r="DU375" s="183"/>
      <c r="DV375" s="183"/>
      <c r="DW375" s="183"/>
      <c r="DX375" s="183"/>
      <c r="DY375" s="183"/>
      <c r="DZ375" s="183"/>
      <c r="EA375" s="183"/>
      <c r="EB375" s="183"/>
      <c r="EC375" s="183"/>
      <c r="ED375" s="183"/>
      <c r="EE375" s="183"/>
      <c r="EF375" s="183"/>
      <c r="EG375" s="183"/>
      <c r="EH375" s="183"/>
      <c r="EI375" s="183"/>
      <c r="EJ375" s="183"/>
      <c r="EK375" s="183"/>
      <c r="EL375" s="183"/>
      <c r="EM375" s="183"/>
      <c r="EN375" s="183"/>
      <c r="EO375" s="183"/>
      <c r="EP375" s="183"/>
      <c r="EQ375" s="183"/>
      <c r="ER375" s="183"/>
      <c r="ES375" s="183"/>
      <c r="ET375" s="183"/>
      <c r="EU375" s="183"/>
      <c r="EV375" s="183"/>
      <c r="EW375" s="183"/>
      <c r="EX375" s="183"/>
      <c r="EY375" s="183"/>
      <c r="EZ375" s="183"/>
      <c r="FA375" s="183"/>
      <c r="FB375" s="183"/>
      <c r="FC375" s="183"/>
      <c r="FD375" s="183"/>
      <c r="FE375" s="183"/>
      <c r="FF375" s="183"/>
      <c r="FG375" s="183"/>
      <c r="FH375" s="183"/>
      <c r="FI375" s="183"/>
      <c r="FJ375" s="183"/>
      <c r="FK375" s="183"/>
      <c r="FL375" s="183"/>
      <c r="FM375" s="183"/>
      <c r="FN375" s="183"/>
      <c r="FO375" s="183"/>
      <c r="FP375" s="183"/>
      <c r="FQ375" s="183"/>
      <c r="FR375" s="183"/>
      <c r="FS375" s="183"/>
      <c r="FT375" s="183"/>
      <c r="FU375" s="183"/>
      <c r="FV375" s="183"/>
      <c r="FW375" s="183"/>
      <c r="FX375" s="183"/>
      <c r="FY375" s="183"/>
      <c r="FZ375" s="183"/>
      <c r="GA375" s="183"/>
      <c r="GB375" s="183"/>
      <c r="GC375" s="183"/>
      <c r="GD375" s="183"/>
      <c r="GE375" s="183"/>
      <c r="GF375" s="183"/>
      <c r="GG375" s="183"/>
      <c r="GH375" s="183"/>
      <c r="GI375" s="183"/>
      <c r="GJ375" s="183"/>
      <c r="GK375" s="183"/>
      <c r="GL375" s="183"/>
      <c r="GM375" s="183"/>
      <c r="GN375" s="183"/>
      <c r="GO375" s="183"/>
      <c r="GP375" s="183"/>
      <c r="GQ375" s="183"/>
      <c r="GR375" s="183"/>
      <c r="GS375" s="183"/>
      <c r="GT375" s="183"/>
      <c r="GU375" s="183"/>
      <c r="GV375" s="183"/>
      <c r="GW375" s="183"/>
      <c r="GX375" s="183"/>
      <c r="GY375" s="183"/>
      <c r="GZ375" s="183"/>
      <c r="HA375" s="183"/>
      <c r="HB375" s="183"/>
      <c r="HC375" s="183"/>
      <c r="HD375" s="183"/>
      <c r="HE375" s="183"/>
      <c r="HF375" s="183"/>
      <c r="HG375" s="183"/>
      <c r="HH375" s="183"/>
      <c r="HI375" s="183"/>
      <c r="HJ375" s="183"/>
      <c r="HK375" s="183"/>
      <c r="HL375" s="183"/>
      <c r="HM375" s="183"/>
      <c r="HN375" s="183"/>
      <c r="HO375" s="183"/>
      <c r="HP375" s="183"/>
      <c r="HQ375" s="183"/>
      <c r="HR375" s="183"/>
      <c r="HS375" s="183"/>
      <c r="HT375" s="183"/>
      <c r="HU375" s="183"/>
      <c r="HV375" s="183"/>
      <c r="HW375" s="183"/>
      <c r="HX375" s="183"/>
      <c r="HY375" s="183"/>
      <c r="HZ375" s="183"/>
      <c r="IA375" s="183"/>
      <c r="IB375" s="183"/>
      <c r="IC375" s="183"/>
      <c r="ID375" s="183"/>
      <c r="IE375" s="183"/>
      <c r="IF375" s="183"/>
      <c r="IG375" s="183"/>
      <c r="IH375" s="183"/>
      <c r="II375" s="183"/>
      <c r="IJ375" s="183"/>
      <c r="IK375" s="183"/>
      <c r="IL375" s="183"/>
      <c r="IM375" s="183"/>
      <c r="IN375" s="183"/>
      <c r="IO375" s="183"/>
      <c r="IP375" s="183"/>
      <c r="IQ375" s="183"/>
    </row>
    <row r="376" spans="1:251" ht="39" x14ac:dyDescent="0.3">
      <c r="A376" s="83" t="s">
        <v>184</v>
      </c>
      <c r="B376" s="196" t="s">
        <v>280</v>
      </c>
      <c r="C376" s="191" t="s">
        <v>30</v>
      </c>
      <c r="D376" s="192" t="s">
        <v>31</v>
      </c>
      <c r="E376" s="192" t="s">
        <v>32</v>
      </c>
      <c r="F376" s="114" t="s">
        <v>33</v>
      </c>
    </row>
    <row r="377" spans="1:251" x14ac:dyDescent="0.3">
      <c r="A377" s="268" t="s">
        <v>1866</v>
      </c>
      <c r="B377" s="271" t="s">
        <v>46</v>
      </c>
      <c r="C377" s="274" t="s">
        <v>36</v>
      </c>
      <c r="D377" s="265" t="s">
        <v>37</v>
      </c>
      <c r="E377" s="265" t="s">
        <v>38</v>
      </c>
      <c r="F377" s="108" t="s">
        <v>233</v>
      </c>
    </row>
    <row r="378" spans="1:251" x14ac:dyDescent="0.3">
      <c r="A378" s="269"/>
      <c r="B378" s="272"/>
      <c r="C378" s="275"/>
      <c r="D378" s="266"/>
      <c r="E378" s="266"/>
      <c r="F378" s="109" t="s">
        <v>234</v>
      </c>
    </row>
    <row r="379" spans="1:251" x14ac:dyDescent="0.3">
      <c r="A379" s="270"/>
      <c r="B379" s="273"/>
      <c r="C379" s="276"/>
      <c r="D379" s="267"/>
      <c r="E379" s="267"/>
      <c r="F379" s="110" t="s">
        <v>235</v>
      </c>
    </row>
    <row r="380" spans="1:251" x14ac:dyDescent="0.3">
      <c r="A380" s="268" t="s">
        <v>1866</v>
      </c>
      <c r="B380" s="271" t="s">
        <v>48</v>
      </c>
      <c r="C380" s="274" t="s">
        <v>49</v>
      </c>
      <c r="D380" s="265" t="s">
        <v>37</v>
      </c>
      <c r="E380" s="265" t="s">
        <v>38</v>
      </c>
      <c r="F380" s="111" t="s">
        <v>236</v>
      </c>
    </row>
    <row r="381" spans="1:251" x14ac:dyDescent="0.3">
      <c r="A381" s="269"/>
      <c r="B381" s="272"/>
      <c r="C381" s="275"/>
      <c r="D381" s="266"/>
      <c r="E381" s="266"/>
      <c r="F381" s="112" t="s">
        <v>237</v>
      </c>
    </row>
    <row r="382" spans="1:251" x14ac:dyDescent="0.3">
      <c r="A382" s="270"/>
      <c r="B382" s="273"/>
      <c r="C382" s="276"/>
      <c r="D382" s="267"/>
      <c r="E382" s="267"/>
      <c r="F382" s="113" t="s">
        <v>238</v>
      </c>
    </row>
    <row r="383" spans="1:251" ht="39" x14ac:dyDescent="0.3">
      <c r="A383" s="239" t="s">
        <v>1866</v>
      </c>
      <c r="B383" s="21" t="s">
        <v>1852</v>
      </c>
      <c r="C383" s="129" t="s">
        <v>49</v>
      </c>
      <c r="D383" s="166" t="s">
        <v>37</v>
      </c>
      <c r="E383" s="166" t="s">
        <v>38</v>
      </c>
      <c r="F383" s="100" t="s">
        <v>1854</v>
      </c>
    </row>
    <row r="384" spans="1:251" ht="39" x14ac:dyDescent="0.3">
      <c r="A384" s="83" t="s">
        <v>184</v>
      </c>
      <c r="B384" s="196" t="s">
        <v>281</v>
      </c>
      <c r="C384" s="191" t="s">
        <v>30</v>
      </c>
      <c r="D384" s="192" t="s">
        <v>31</v>
      </c>
      <c r="E384" s="192" t="s">
        <v>32</v>
      </c>
      <c r="F384" s="114" t="s">
        <v>33</v>
      </c>
      <c r="G384" s="191" t="s">
        <v>5</v>
      </c>
      <c r="H384" s="199"/>
      <c r="I384" s="183"/>
      <c r="J384" s="183"/>
      <c r="K384" s="183"/>
      <c r="L384" s="183"/>
      <c r="M384" s="183"/>
      <c r="N384" s="183"/>
      <c r="O384" s="183"/>
      <c r="P384" s="183"/>
      <c r="Q384" s="183"/>
      <c r="R384" s="183"/>
      <c r="S384" s="183"/>
      <c r="T384" s="183"/>
      <c r="U384" s="183"/>
      <c r="V384" s="183"/>
      <c r="W384" s="183"/>
      <c r="X384" s="183"/>
      <c r="Y384" s="183"/>
      <c r="Z384" s="183"/>
      <c r="AA384" s="183"/>
      <c r="AB384" s="183"/>
      <c r="AC384" s="183"/>
      <c r="AD384" s="183"/>
      <c r="AE384" s="183"/>
      <c r="AF384" s="183"/>
      <c r="AG384" s="183"/>
      <c r="AH384" s="183"/>
      <c r="AI384" s="183"/>
      <c r="AJ384" s="183"/>
      <c r="AK384" s="183"/>
      <c r="AL384" s="183"/>
      <c r="AM384" s="183"/>
      <c r="AN384" s="183"/>
      <c r="AO384" s="183"/>
      <c r="AP384" s="183"/>
      <c r="AQ384" s="183"/>
      <c r="AR384" s="183"/>
      <c r="AS384" s="183"/>
      <c r="AT384" s="183"/>
      <c r="AU384" s="183"/>
      <c r="AV384" s="183"/>
      <c r="AW384" s="183"/>
      <c r="AX384" s="183"/>
      <c r="AY384" s="183"/>
      <c r="AZ384" s="183"/>
      <c r="BA384" s="183"/>
      <c r="BB384" s="183"/>
      <c r="BC384" s="183"/>
      <c r="BD384" s="183"/>
      <c r="BE384" s="183"/>
      <c r="BF384" s="183"/>
      <c r="BG384" s="183"/>
      <c r="BH384" s="183"/>
      <c r="BI384" s="183"/>
      <c r="BJ384" s="183"/>
      <c r="BK384" s="183"/>
      <c r="BL384" s="183"/>
      <c r="BM384" s="183"/>
      <c r="BN384" s="183"/>
      <c r="BO384" s="183"/>
      <c r="BP384" s="183"/>
      <c r="BQ384" s="183"/>
      <c r="BR384" s="183"/>
      <c r="BS384" s="183"/>
      <c r="BT384" s="183"/>
      <c r="BU384" s="183"/>
      <c r="BV384" s="183"/>
      <c r="BW384" s="183"/>
      <c r="BX384" s="183"/>
      <c r="BY384" s="183"/>
      <c r="BZ384" s="183"/>
      <c r="CA384" s="183"/>
      <c r="CB384" s="183"/>
      <c r="CC384" s="183"/>
      <c r="CD384" s="183"/>
      <c r="CE384" s="183"/>
      <c r="CF384" s="183"/>
      <c r="CG384" s="183"/>
      <c r="CH384" s="183"/>
      <c r="CI384" s="183"/>
      <c r="CJ384" s="183"/>
      <c r="CK384" s="183"/>
      <c r="CL384" s="183"/>
      <c r="CM384" s="183"/>
      <c r="CN384" s="183"/>
      <c r="CO384" s="183"/>
      <c r="CP384" s="183"/>
      <c r="CQ384" s="183"/>
      <c r="CR384" s="183"/>
      <c r="CS384" s="183"/>
      <c r="CT384" s="183"/>
      <c r="CU384" s="183"/>
      <c r="CV384" s="183"/>
      <c r="CW384" s="183"/>
      <c r="CX384" s="183"/>
      <c r="CY384" s="183"/>
      <c r="CZ384" s="183"/>
      <c r="DA384" s="183"/>
      <c r="DB384" s="183"/>
      <c r="DC384" s="183"/>
      <c r="DD384" s="183"/>
      <c r="DE384" s="183"/>
      <c r="DF384" s="183"/>
      <c r="DG384" s="183"/>
      <c r="DH384" s="183"/>
      <c r="DI384" s="183"/>
      <c r="DJ384" s="183"/>
      <c r="DK384" s="183"/>
      <c r="DL384" s="183"/>
      <c r="DM384" s="183"/>
      <c r="DN384" s="183"/>
      <c r="DO384" s="183"/>
      <c r="DP384" s="183"/>
      <c r="DQ384" s="183"/>
      <c r="DR384" s="183"/>
      <c r="DS384" s="183"/>
      <c r="DT384" s="183"/>
      <c r="DU384" s="183"/>
      <c r="DV384" s="183"/>
      <c r="DW384" s="183"/>
      <c r="DX384" s="183"/>
      <c r="DY384" s="183"/>
      <c r="DZ384" s="183"/>
      <c r="EA384" s="183"/>
      <c r="EB384" s="183"/>
      <c r="EC384" s="183"/>
      <c r="ED384" s="183"/>
      <c r="EE384" s="183"/>
      <c r="EF384" s="183"/>
      <c r="EG384" s="183"/>
      <c r="EH384" s="183"/>
      <c r="EI384" s="183"/>
      <c r="EJ384" s="183"/>
      <c r="EK384" s="183"/>
      <c r="EL384" s="183"/>
      <c r="EM384" s="183"/>
      <c r="EN384" s="183"/>
      <c r="EO384" s="183"/>
      <c r="EP384" s="183"/>
      <c r="EQ384" s="183"/>
      <c r="ER384" s="183"/>
      <c r="ES384" s="183"/>
      <c r="ET384" s="183"/>
      <c r="EU384" s="183"/>
      <c r="EV384" s="183"/>
      <c r="EW384" s="183"/>
      <c r="EX384" s="183"/>
      <c r="EY384" s="183"/>
      <c r="EZ384" s="183"/>
      <c r="FA384" s="183"/>
      <c r="FB384" s="183"/>
      <c r="FC384" s="183"/>
      <c r="FD384" s="183"/>
      <c r="FE384" s="183"/>
      <c r="FF384" s="183"/>
      <c r="FG384" s="183"/>
      <c r="FH384" s="183"/>
      <c r="FI384" s="183"/>
      <c r="FJ384" s="183"/>
      <c r="FK384" s="183"/>
      <c r="FL384" s="183"/>
      <c r="FM384" s="183"/>
      <c r="FN384" s="183"/>
      <c r="FO384" s="183"/>
      <c r="FP384" s="183"/>
      <c r="FQ384" s="183"/>
      <c r="FR384" s="183"/>
      <c r="FS384" s="183"/>
      <c r="FT384" s="183"/>
      <c r="FU384" s="183"/>
      <c r="FV384" s="183"/>
      <c r="FW384" s="183"/>
      <c r="FX384" s="183"/>
      <c r="FY384" s="183"/>
      <c r="FZ384" s="183"/>
      <c r="GA384" s="183"/>
      <c r="GB384" s="183"/>
      <c r="GC384" s="183"/>
      <c r="GD384" s="183"/>
      <c r="GE384" s="183"/>
      <c r="GF384" s="183"/>
      <c r="GG384" s="183"/>
      <c r="GH384" s="183"/>
      <c r="GI384" s="183"/>
      <c r="GJ384" s="183"/>
      <c r="GK384" s="183"/>
      <c r="GL384" s="183"/>
      <c r="GM384" s="183"/>
      <c r="GN384" s="183"/>
      <c r="GO384" s="183"/>
      <c r="GP384" s="183"/>
      <c r="GQ384" s="183"/>
      <c r="GR384" s="183"/>
      <c r="GS384" s="183"/>
      <c r="GT384" s="183"/>
      <c r="GU384" s="183"/>
      <c r="GV384" s="183"/>
      <c r="GW384" s="183"/>
      <c r="GX384" s="183"/>
      <c r="GY384" s="183"/>
      <c r="GZ384" s="183"/>
      <c r="HA384" s="183"/>
      <c r="HB384" s="183"/>
      <c r="HC384" s="183"/>
      <c r="HD384" s="183"/>
      <c r="HE384" s="183"/>
      <c r="HF384" s="183"/>
      <c r="HG384" s="183"/>
      <c r="HH384" s="183"/>
      <c r="HI384" s="183"/>
      <c r="HJ384" s="183"/>
      <c r="HK384" s="183"/>
      <c r="HL384" s="183"/>
      <c r="HM384" s="183"/>
      <c r="HN384" s="183"/>
      <c r="HO384" s="183"/>
      <c r="HP384" s="183"/>
      <c r="HQ384" s="183"/>
      <c r="HR384" s="183"/>
      <c r="HS384" s="183"/>
      <c r="HT384" s="183"/>
      <c r="HU384" s="183"/>
      <c r="HV384" s="183"/>
      <c r="HW384" s="183"/>
      <c r="HX384" s="183"/>
      <c r="HY384" s="183"/>
      <c r="HZ384" s="183"/>
      <c r="IA384" s="183"/>
      <c r="IB384" s="183"/>
      <c r="IC384" s="183"/>
      <c r="ID384" s="183"/>
      <c r="IE384" s="183"/>
      <c r="IF384" s="183"/>
      <c r="IG384" s="183"/>
      <c r="IH384" s="183"/>
      <c r="II384" s="183"/>
      <c r="IJ384" s="183"/>
      <c r="IK384" s="183"/>
      <c r="IL384" s="183"/>
      <c r="IM384" s="183"/>
      <c r="IN384" s="183"/>
      <c r="IO384" s="183"/>
      <c r="IP384" s="183"/>
      <c r="IQ384" s="183"/>
    </row>
    <row r="385" spans="1:251" x14ac:dyDescent="0.3">
      <c r="A385" s="268" t="s">
        <v>282</v>
      </c>
      <c r="B385" s="271" t="s">
        <v>46</v>
      </c>
      <c r="C385" s="274" t="s">
        <v>36</v>
      </c>
      <c r="D385" s="265" t="s">
        <v>37</v>
      </c>
      <c r="E385" s="265" t="s">
        <v>38</v>
      </c>
      <c r="F385" s="108" t="s">
        <v>233</v>
      </c>
      <c r="G385" s="286"/>
      <c r="H385" s="289"/>
      <c r="I385" s="290"/>
      <c r="J385" s="290"/>
      <c r="K385" s="290"/>
      <c r="L385" s="290"/>
      <c r="M385" s="290"/>
      <c r="N385" s="290"/>
      <c r="O385" s="290"/>
      <c r="P385" s="290"/>
      <c r="Q385" s="290"/>
      <c r="R385" s="290"/>
      <c r="S385" s="290"/>
      <c r="T385" s="290"/>
      <c r="U385" s="290"/>
      <c r="V385" s="290"/>
      <c r="W385" s="290"/>
      <c r="X385" s="290"/>
      <c r="Y385" s="290"/>
      <c r="Z385" s="290"/>
      <c r="AA385" s="290"/>
      <c r="AB385" s="290"/>
      <c r="AC385" s="290"/>
      <c r="AD385" s="290"/>
      <c r="AE385" s="290"/>
      <c r="AF385" s="290"/>
      <c r="AG385" s="290"/>
      <c r="AH385" s="290"/>
      <c r="AI385" s="290"/>
      <c r="AJ385" s="290"/>
      <c r="AK385" s="290"/>
      <c r="AL385" s="290"/>
      <c r="AM385" s="290"/>
      <c r="AN385" s="290"/>
      <c r="AO385" s="290"/>
      <c r="AP385" s="290"/>
      <c r="AQ385" s="290"/>
      <c r="AR385" s="290"/>
      <c r="AS385" s="290"/>
      <c r="AT385" s="290"/>
      <c r="AU385" s="290"/>
      <c r="AV385" s="290"/>
      <c r="AW385" s="290"/>
      <c r="AX385" s="290"/>
      <c r="AY385" s="290"/>
      <c r="AZ385" s="290"/>
      <c r="BA385" s="290"/>
      <c r="BB385" s="290"/>
      <c r="BC385" s="290"/>
      <c r="BD385" s="290"/>
      <c r="BE385" s="290"/>
      <c r="BF385" s="290"/>
      <c r="BG385" s="290"/>
      <c r="BH385" s="290"/>
      <c r="BI385" s="290"/>
      <c r="BJ385" s="290"/>
      <c r="BK385" s="290"/>
      <c r="BL385" s="290"/>
      <c r="BM385" s="290"/>
      <c r="BN385" s="290"/>
      <c r="BO385" s="290"/>
      <c r="BP385" s="290"/>
      <c r="BQ385" s="290"/>
      <c r="BR385" s="290"/>
      <c r="BS385" s="290"/>
      <c r="BT385" s="290"/>
      <c r="BU385" s="290"/>
      <c r="BV385" s="290"/>
      <c r="BW385" s="290"/>
      <c r="BX385" s="290"/>
      <c r="BY385" s="290"/>
      <c r="BZ385" s="290"/>
      <c r="CA385" s="290"/>
      <c r="CB385" s="290"/>
      <c r="CC385" s="290"/>
      <c r="CD385" s="290"/>
      <c r="CE385" s="290"/>
      <c r="CF385" s="290"/>
      <c r="CG385" s="290"/>
      <c r="CH385" s="290"/>
      <c r="CI385" s="290"/>
      <c r="CJ385" s="290"/>
      <c r="CK385" s="290"/>
      <c r="CL385" s="290"/>
      <c r="CM385" s="290"/>
      <c r="CN385" s="290"/>
      <c r="CO385" s="290"/>
      <c r="CP385" s="290"/>
      <c r="CQ385" s="290"/>
      <c r="CR385" s="290"/>
      <c r="CS385" s="290"/>
      <c r="CT385" s="290"/>
      <c r="CU385" s="290"/>
      <c r="CV385" s="290"/>
      <c r="CW385" s="290"/>
      <c r="CX385" s="290"/>
      <c r="CY385" s="290"/>
      <c r="CZ385" s="290"/>
      <c r="DA385" s="290"/>
      <c r="DB385" s="290"/>
      <c r="DC385" s="290"/>
      <c r="DD385" s="290"/>
      <c r="DE385" s="290"/>
      <c r="DF385" s="290"/>
      <c r="DG385" s="290"/>
      <c r="DH385" s="290"/>
      <c r="DI385" s="290"/>
      <c r="DJ385" s="290"/>
      <c r="DK385" s="290"/>
      <c r="DL385" s="290"/>
      <c r="DM385" s="290"/>
      <c r="DN385" s="290"/>
      <c r="DO385" s="290"/>
      <c r="DP385" s="290"/>
      <c r="DQ385" s="290"/>
      <c r="DR385" s="290"/>
      <c r="DS385" s="290"/>
      <c r="DT385" s="290"/>
      <c r="DU385" s="290"/>
      <c r="DV385" s="290"/>
      <c r="DW385" s="290"/>
      <c r="DX385" s="290"/>
      <c r="DY385" s="290"/>
      <c r="DZ385" s="290"/>
      <c r="EA385" s="290"/>
      <c r="EB385" s="290"/>
      <c r="EC385" s="290"/>
      <c r="ED385" s="290"/>
      <c r="EE385" s="290"/>
      <c r="EF385" s="290"/>
      <c r="EG385" s="290"/>
      <c r="EH385" s="290"/>
      <c r="EI385" s="290"/>
      <c r="EJ385" s="290"/>
      <c r="EK385" s="290"/>
      <c r="EL385" s="290"/>
      <c r="EM385" s="290"/>
      <c r="EN385" s="290"/>
      <c r="EO385" s="290"/>
      <c r="EP385" s="290"/>
      <c r="EQ385" s="290"/>
      <c r="ER385" s="290"/>
      <c r="ES385" s="290"/>
      <c r="ET385" s="290"/>
      <c r="EU385" s="290"/>
      <c r="EV385" s="290"/>
      <c r="EW385" s="290"/>
      <c r="EX385" s="290"/>
      <c r="EY385" s="290"/>
      <c r="EZ385" s="290"/>
      <c r="FA385" s="290"/>
      <c r="FB385" s="290"/>
      <c r="FC385" s="290"/>
      <c r="FD385" s="290"/>
      <c r="FE385" s="290"/>
      <c r="FF385" s="290"/>
      <c r="FG385" s="290"/>
      <c r="FH385" s="290"/>
      <c r="FI385" s="290"/>
      <c r="FJ385" s="290"/>
      <c r="FK385" s="290"/>
      <c r="FL385" s="290"/>
      <c r="FM385" s="290"/>
      <c r="FN385" s="290"/>
      <c r="FO385" s="290"/>
      <c r="FP385" s="290"/>
      <c r="FQ385" s="290"/>
      <c r="FR385" s="290"/>
      <c r="FS385" s="290"/>
      <c r="FT385" s="290"/>
      <c r="FU385" s="290"/>
      <c r="FV385" s="290"/>
      <c r="FW385" s="290"/>
      <c r="FX385" s="290"/>
      <c r="FY385" s="290"/>
      <c r="FZ385" s="290"/>
      <c r="GA385" s="290"/>
      <c r="GB385" s="290"/>
      <c r="GC385" s="290"/>
      <c r="GD385" s="290"/>
      <c r="GE385" s="290"/>
      <c r="GF385" s="290"/>
      <c r="GG385" s="290"/>
      <c r="GH385" s="290"/>
      <c r="GI385" s="290"/>
      <c r="GJ385" s="290"/>
      <c r="GK385" s="290"/>
      <c r="GL385" s="290"/>
      <c r="GM385" s="290"/>
      <c r="GN385" s="290"/>
      <c r="GO385" s="290"/>
      <c r="GP385" s="290"/>
      <c r="GQ385" s="290"/>
      <c r="GR385" s="290"/>
      <c r="GS385" s="290"/>
      <c r="GT385" s="290"/>
      <c r="GU385" s="290"/>
      <c r="GV385" s="290"/>
      <c r="GW385" s="290"/>
      <c r="GX385" s="290"/>
      <c r="GY385" s="290"/>
      <c r="GZ385" s="290"/>
      <c r="HA385" s="290"/>
      <c r="HB385" s="290"/>
      <c r="HC385" s="290"/>
      <c r="HD385" s="290"/>
      <c r="HE385" s="290"/>
      <c r="HF385" s="290"/>
      <c r="HG385" s="290"/>
      <c r="HH385" s="290"/>
      <c r="HI385" s="290"/>
      <c r="HJ385" s="290"/>
      <c r="HK385" s="290"/>
      <c r="HL385" s="290"/>
      <c r="HM385" s="290"/>
      <c r="HN385" s="290"/>
      <c r="HO385" s="290"/>
      <c r="HP385" s="290"/>
      <c r="HQ385" s="290"/>
      <c r="HR385" s="290"/>
      <c r="HS385" s="290"/>
      <c r="HT385" s="290"/>
      <c r="HU385" s="290"/>
      <c r="HV385" s="290"/>
      <c r="HW385" s="290"/>
      <c r="HX385" s="290"/>
      <c r="HY385" s="290"/>
      <c r="HZ385" s="290"/>
      <c r="IA385" s="290"/>
      <c r="IB385" s="290"/>
      <c r="IC385" s="290"/>
      <c r="ID385" s="290"/>
      <c r="IE385" s="290"/>
      <c r="IF385" s="290"/>
      <c r="IG385" s="290"/>
      <c r="IH385" s="290"/>
      <c r="II385" s="290"/>
      <c r="IJ385" s="290"/>
      <c r="IK385" s="290"/>
      <c r="IL385" s="290"/>
      <c r="IM385" s="290"/>
      <c r="IN385" s="290"/>
      <c r="IO385" s="290"/>
      <c r="IP385" s="290"/>
      <c r="IQ385" s="290"/>
    </row>
    <row r="386" spans="1:251" x14ac:dyDescent="0.3">
      <c r="A386" s="269"/>
      <c r="B386" s="272"/>
      <c r="C386" s="275"/>
      <c r="D386" s="266"/>
      <c r="E386" s="266"/>
      <c r="F386" s="109" t="s">
        <v>234</v>
      </c>
      <c r="G386" s="287"/>
      <c r="H386" s="289"/>
      <c r="I386" s="290"/>
      <c r="J386" s="290"/>
      <c r="K386" s="290"/>
      <c r="L386" s="290"/>
      <c r="M386" s="290"/>
      <c r="N386" s="290"/>
      <c r="O386" s="290"/>
      <c r="P386" s="290"/>
      <c r="Q386" s="290"/>
      <c r="R386" s="290"/>
      <c r="S386" s="290"/>
      <c r="T386" s="290"/>
      <c r="U386" s="290"/>
      <c r="V386" s="290"/>
      <c r="W386" s="290"/>
      <c r="X386" s="290"/>
      <c r="Y386" s="290"/>
      <c r="Z386" s="290"/>
      <c r="AA386" s="290"/>
      <c r="AB386" s="290"/>
      <c r="AC386" s="290"/>
      <c r="AD386" s="290"/>
      <c r="AE386" s="290"/>
      <c r="AF386" s="290"/>
      <c r="AG386" s="290"/>
      <c r="AH386" s="290"/>
      <c r="AI386" s="290"/>
      <c r="AJ386" s="290"/>
      <c r="AK386" s="290"/>
      <c r="AL386" s="290"/>
      <c r="AM386" s="290"/>
      <c r="AN386" s="290"/>
      <c r="AO386" s="290"/>
      <c r="AP386" s="290"/>
      <c r="AQ386" s="290"/>
      <c r="AR386" s="290"/>
      <c r="AS386" s="290"/>
      <c r="AT386" s="290"/>
      <c r="AU386" s="290"/>
      <c r="AV386" s="290"/>
      <c r="AW386" s="290"/>
      <c r="AX386" s="290"/>
      <c r="AY386" s="290"/>
      <c r="AZ386" s="290"/>
      <c r="BA386" s="290"/>
      <c r="BB386" s="290"/>
      <c r="BC386" s="290"/>
      <c r="BD386" s="290"/>
      <c r="BE386" s="290"/>
      <c r="BF386" s="290"/>
      <c r="BG386" s="290"/>
      <c r="BH386" s="290"/>
      <c r="BI386" s="290"/>
      <c r="BJ386" s="290"/>
      <c r="BK386" s="290"/>
      <c r="BL386" s="290"/>
      <c r="BM386" s="290"/>
      <c r="BN386" s="290"/>
      <c r="BO386" s="290"/>
      <c r="BP386" s="290"/>
      <c r="BQ386" s="290"/>
      <c r="BR386" s="290"/>
      <c r="BS386" s="290"/>
      <c r="BT386" s="290"/>
      <c r="BU386" s="290"/>
      <c r="BV386" s="290"/>
      <c r="BW386" s="290"/>
      <c r="BX386" s="290"/>
      <c r="BY386" s="290"/>
      <c r="BZ386" s="290"/>
      <c r="CA386" s="290"/>
      <c r="CB386" s="290"/>
      <c r="CC386" s="290"/>
      <c r="CD386" s="290"/>
      <c r="CE386" s="290"/>
      <c r="CF386" s="290"/>
      <c r="CG386" s="290"/>
      <c r="CH386" s="290"/>
      <c r="CI386" s="290"/>
      <c r="CJ386" s="290"/>
      <c r="CK386" s="290"/>
      <c r="CL386" s="290"/>
      <c r="CM386" s="290"/>
      <c r="CN386" s="290"/>
      <c r="CO386" s="290"/>
      <c r="CP386" s="290"/>
      <c r="CQ386" s="290"/>
      <c r="CR386" s="290"/>
      <c r="CS386" s="290"/>
      <c r="CT386" s="290"/>
      <c r="CU386" s="290"/>
      <c r="CV386" s="290"/>
      <c r="CW386" s="290"/>
      <c r="CX386" s="290"/>
      <c r="CY386" s="290"/>
      <c r="CZ386" s="290"/>
      <c r="DA386" s="290"/>
      <c r="DB386" s="290"/>
      <c r="DC386" s="290"/>
      <c r="DD386" s="290"/>
      <c r="DE386" s="290"/>
      <c r="DF386" s="290"/>
      <c r="DG386" s="290"/>
      <c r="DH386" s="290"/>
      <c r="DI386" s="290"/>
      <c r="DJ386" s="290"/>
      <c r="DK386" s="290"/>
      <c r="DL386" s="290"/>
      <c r="DM386" s="290"/>
      <c r="DN386" s="290"/>
      <c r="DO386" s="290"/>
      <c r="DP386" s="290"/>
      <c r="DQ386" s="290"/>
      <c r="DR386" s="290"/>
      <c r="DS386" s="290"/>
      <c r="DT386" s="290"/>
      <c r="DU386" s="290"/>
      <c r="DV386" s="290"/>
      <c r="DW386" s="290"/>
      <c r="DX386" s="290"/>
      <c r="DY386" s="290"/>
      <c r="DZ386" s="290"/>
      <c r="EA386" s="290"/>
      <c r="EB386" s="290"/>
      <c r="EC386" s="290"/>
      <c r="ED386" s="290"/>
      <c r="EE386" s="290"/>
      <c r="EF386" s="290"/>
      <c r="EG386" s="290"/>
      <c r="EH386" s="290"/>
      <c r="EI386" s="290"/>
      <c r="EJ386" s="290"/>
      <c r="EK386" s="290"/>
      <c r="EL386" s="290"/>
      <c r="EM386" s="290"/>
      <c r="EN386" s="290"/>
      <c r="EO386" s="290"/>
      <c r="EP386" s="290"/>
      <c r="EQ386" s="290"/>
      <c r="ER386" s="290"/>
      <c r="ES386" s="290"/>
      <c r="ET386" s="290"/>
      <c r="EU386" s="290"/>
      <c r="EV386" s="290"/>
      <c r="EW386" s="290"/>
      <c r="EX386" s="290"/>
      <c r="EY386" s="290"/>
      <c r="EZ386" s="290"/>
      <c r="FA386" s="290"/>
      <c r="FB386" s="290"/>
      <c r="FC386" s="290"/>
      <c r="FD386" s="290"/>
      <c r="FE386" s="290"/>
      <c r="FF386" s="290"/>
      <c r="FG386" s="290"/>
      <c r="FH386" s="290"/>
      <c r="FI386" s="290"/>
      <c r="FJ386" s="290"/>
      <c r="FK386" s="290"/>
      <c r="FL386" s="290"/>
      <c r="FM386" s="290"/>
      <c r="FN386" s="290"/>
      <c r="FO386" s="290"/>
      <c r="FP386" s="290"/>
      <c r="FQ386" s="290"/>
      <c r="FR386" s="290"/>
      <c r="FS386" s="290"/>
      <c r="FT386" s="290"/>
      <c r="FU386" s="290"/>
      <c r="FV386" s="290"/>
      <c r="FW386" s="290"/>
      <c r="FX386" s="290"/>
      <c r="FY386" s="290"/>
      <c r="FZ386" s="290"/>
      <c r="GA386" s="290"/>
      <c r="GB386" s="290"/>
      <c r="GC386" s="290"/>
      <c r="GD386" s="290"/>
      <c r="GE386" s="290"/>
      <c r="GF386" s="290"/>
      <c r="GG386" s="290"/>
      <c r="GH386" s="290"/>
      <c r="GI386" s="290"/>
      <c r="GJ386" s="290"/>
      <c r="GK386" s="290"/>
      <c r="GL386" s="290"/>
      <c r="GM386" s="290"/>
      <c r="GN386" s="290"/>
      <c r="GO386" s="290"/>
      <c r="GP386" s="290"/>
      <c r="GQ386" s="290"/>
      <c r="GR386" s="290"/>
      <c r="GS386" s="290"/>
      <c r="GT386" s="290"/>
      <c r="GU386" s="290"/>
      <c r="GV386" s="290"/>
      <c r="GW386" s="290"/>
      <c r="GX386" s="290"/>
      <c r="GY386" s="290"/>
      <c r="GZ386" s="290"/>
      <c r="HA386" s="290"/>
      <c r="HB386" s="290"/>
      <c r="HC386" s="290"/>
      <c r="HD386" s="290"/>
      <c r="HE386" s="290"/>
      <c r="HF386" s="290"/>
      <c r="HG386" s="290"/>
      <c r="HH386" s="290"/>
      <c r="HI386" s="290"/>
      <c r="HJ386" s="290"/>
      <c r="HK386" s="290"/>
      <c r="HL386" s="290"/>
      <c r="HM386" s="290"/>
      <c r="HN386" s="290"/>
      <c r="HO386" s="290"/>
      <c r="HP386" s="290"/>
      <c r="HQ386" s="290"/>
      <c r="HR386" s="290"/>
      <c r="HS386" s="290"/>
      <c r="HT386" s="290"/>
      <c r="HU386" s="290"/>
      <c r="HV386" s="290"/>
      <c r="HW386" s="290"/>
      <c r="HX386" s="290"/>
      <c r="HY386" s="290"/>
      <c r="HZ386" s="290"/>
      <c r="IA386" s="290"/>
      <c r="IB386" s="290"/>
      <c r="IC386" s="290"/>
      <c r="ID386" s="290"/>
      <c r="IE386" s="290"/>
      <c r="IF386" s="290"/>
      <c r="IG386" s="290"/>
      <c r="IH386" s="290"/>
      <c r="II386" s="290"/>
      <c r="IJ386" s="290"/>
      <c r="IK386" s="290"/>
      <c r="IL386" s="290"/>
      <c r="IM386" s="290"/>
      <c r="IN386" s="290"/>
      <c r="IO386" s="290"/>
      <c r="IP386" s="290"/>
      <c r="IQ386" s="290"/>
    </row>
    <row r="387" spans="1:251" x14ac:dyDescent="0.3">
      <c r="A387" s="270"/>
      <c r="B387" s="273"/>
      <c r="C387" s="276"/>
      <c r="D387" s="267"/>
      <c r="E387" s="267"/>
      <c r="F387" s="110" t="s">
        <v>235</v>
      </c>
      <c r="G387" s="288"/>
      <c r="H387" s="289"/>
      <c r="I387" s="290"/>
      <c r="J387" s="290"/>
      <c r="K387" s="290"/>
      <c r="L387" s="290"/>
      <c r="M387" s="290"/>
      <c r="N387" s="290"/>
      <c r="O387" s="290"/>
      <c r="P387" s="290"/>
      <c r="Q387" s="290"/>
      <c r="R387" s="290"/>
      <c r="S387" s="290"/>
      <c r="T387" s="290"/>
      <c r="U387" s="290"/>
      <c r="V387" s="290"/>
      <c r="W387" s="290"/>
      <c r="X387" s="290"/>
      <c r="Y387" s="290"/>
      <c r="Z387" s="290"/>
      <c r="AA387" s="290"/>
      <c r="AB387" s="290"/>
      <c r="AC387" s="290"/>
      <c r="AD387" s="290"/>
      <c r="AE387" s="290"/>
      <c r="AF387" s="290"/>
      <c r="AG387" s="290"/>
      <c r="AH387" s="290"/>
      <c r="AI387" s="290"/>
      <c r="AJ387" s="290"/>
      <c r="AK387" s="290"/>
      <c r="AL387" s="290"/>
      <c r="AM387" s="290"/>
      <c r="AN387" s="290"/>
      <c r="AO387" s="290"/>
      <c r="AP387" s="290"/>
      <c r="AQ387" s="290"/>
      <c r="AR387" s="290"/>
      <c r="AS387" s="290"/>
      <c r="AT387" s="290"/>
      <c r="AU387" s="290"/>
      <c r="AV387" s="290"/>
      <c r="AW387" s="290"/>
      <c r="AX387" s="290"/>
      <c r="AY387" s="290"/>
      <c r="AZ387" s="290"/>
      <c r="BA387" s="290"/>
      <c r="BB387" s="290"/>
      <c r="BC387" s="290"/>
      <c r="BD387" s="290"/>
      <c r="BE387" s="290"/>
      <c r="BF387" s="290"/>
      <c r="BG387" s="290"/>
      <c r="BH387" s="290"/>
      <c r="BI387" s="290"/>
      <c r="BJ387" s="290"/>
      <c r="BK387" s="290"/>
      <c r="BL387" s="290"/>
      <c r="BM387" s="290"/>
      <c r="BN387" s="290"/>
      <c r="BO387" s="290"/>
      <c r="BP387" s="290"/>
      <c r="BQ387" s="290"/>
      <c r="BR387" s="290"/>
      <c r="BS387" s="290"/>
      <c r="BT387" s="290"/>
      <c r="BU387" s="290"/>
      <c r="BV387" s="290"/>
      <c r="BW387" s="290"/>
      <c r="BX387" s="290"/>
      <c r="BY387" s="290"/>
      <c r="BZ387" s="290"/>
      <c r="CA387" s="290"/>
      <c r="CB387" s="290"/>
      <c r="CC387" s="290"/>
      <c r="CD387" s="290"/>
      <c r="CE387" s="290"/>
      <c r="CF387" s="290"/>
      <c r="CG387" s="290"/>
      <c r="CH387" s="290"/>
      <c r="CI387" s="290"/>
      <c r="CJ387" s="290"/>
      <c r="CK387" s="290"/>
      <c r="CL387" s="290"/>
      <c r="CM387" s="290"/>
      <c r="CN387" s="290"/>
      <c r="CO387" s="290"/>
      <c r="CP387" s="290"/>
      <c r="CQ387" s="290"/>
      <c r="CR387" s="290"/>
      <c r="CS387" s="290"/>
      <c r="CT387" s="290"/>
      <c r="CU387" s="290"/>
      <c r="CV387" s="290"/>
      <c r="CW387" s="290"/>
      <c r="CX387" s="290"/>
      <c r="CY387" s="290"/>
      <c r="CZ387" s="290"/>
      <c r="DA387" s="290"/>
      <c r="DB387" s="290"/>
      <c r="DC387" s="290"/>
      <c r="DD387" s="290"/>
      <c r="DE387" s="290"/>
      <c r="DF387" s="290"/>
      <c r="DG387" s="290"/>
      <c r="DH387" s="290"/>
      <c r="DI387" s="290"/>
      <c r="DJ387" s="290"/>
      <c r="DK387" s="290"/>
      <c r="DL387" s="290"/>
      <c r="DM387" s="290"/>
      <c r="DN387" s="290"/>
      <c r="DO387" s="290"/>
      <c r="DP387" s="290"/>
      <c r="DQ387" s="290"/>
      <c r="DR387" s="290"/>
      <c r="DS387" s="290"/>
      <c r="DT387" s="290"/>
      <c r="DU387" s="290"/>
      <c r="DV387" s="290"/>
      <c r="DW387" s="290"/>
      <c r="DX387" s="290"/>
      <c r="DY387" s="290"/>
      <c r="DZ387" s="290"/>
      <c r="EA387" s="290"/>
      <c r="EB387" s="290"/>
      <c r="EC387" s="290"/>
      <c r="ED387" s="290"/>
      <c r="EE387" s="290"/>
      <c r="EF387" s="290"/>
      <c r="EG387" s="290"/>
      <c r="EH387" s="290"/>
      <c r="EI387" s="290"/>
      <c r="EJ387" s="290"/>
      <c r="EK387" s="290"/>
      <c r="EL387" s="290"/>
      <c r="EM387" s="290"/>
      <c r="EN387" s="290"/>
      <c r="EO387" s="290"/>
      <c r="EP387" s="290"/>
      <c r="EQ387" s="290"/>
      <c r="ER387" s="290"/>
      <c r="ES387" s="290"/>
      <c r="ET387" s="290"/>
      <c r="EU387" s="290"/>
      <c r="EV387" s="290"/>
      <c r="EW387" s="290"/>
      <c r="EX387" s="290"/>
      <c r="EY387" s="290"/>
      <c r="EZ387" s="290"/>
      <c r="FA387" s="290"/>
      <c r="FB387" s="290"/>
      <c r="FC387" s="290"/>
      <c r="FD387" s="290"/>
      <c r="FE387" s="290"/>
      <c r="FF387" s="290"/>
      <c r="FG387" s="290"/>
      <c r="FH387" s="290"/>
      <c r="FI387" s="290"/>
      <c r="FJ387" s="290"/>
      <c r="FK387" s="290"/>
      <c r="FL387" s="290"/>
      <c r="FM387" s="290"/>
      <c r="FN387" s="290"/>
      <c r="FO387" s="290"/>
      <c r="FP387" s="290"/>
      <c r="FQ387" s="290"/>
      <c r="FR387" s="290"/>
      <c r="FS387" s="290"/>
      <c r="FT387" s="290"/>
      <c r="FU387" s="290"/>
      <c r="FV387" s="290"/>
      <c r="FW387" s="290"/>
      <c r="FX387" s="290"/>
      <c r="FY387" s="290"/>
      <c r="FZ387" s="290"/>
      <c r="GA387" s="290"/>
      <c r="GB387" s="290"/>
      <c r="GC387" s="290"/>
      <c r="GD387" s="290"/>
      <c r="GE387" s="290"/>
      <c r="GF387" s="290"/>
      <c r="GG387" s="290"/>
      <c r="GH387" s="290"/>
      <c r="GI387" s="290"/>
      <c r="GJ387" s="290"/>
      <c r="GK387" s="290"/>
      <c r="GL387" s="290"/>
      <c r="GM387" s="290"/>
      <c r="GN387" s="290"/>
      <c r="GO387" s="290"/>
      <c r="GP387" s="290"/>
      <c r="GQ387" s="290"/>
      <c r="GR387" s="290"/>
      <c r="GS387" s="290"/>
      <c r="GT387" s="290"/>
      <c r="GU387" s="290"/>
      <c r="GV387" s="290"/>
      <c r="GW387" s="290"/>
      <c r="GX387" s="290"/>
      <c r="GY387" s="290"/>
      <c r="GZ387" s="290"/>
      <c r="HA387" s="290"/>
      <c r="HB387" s="290"/>
      <c r="HC387" s="290"/>
      <c r="HD387" s="290"/>
      <c r="HE387" s="290"/>
      <c r="HF387" s="290"/>
      <c r="HG387" s="290"/>
      <c r="HH387" s="290"/>
      <c r="HI387" s="290"/>
      <c r="HJ387" s="290"/>
      <c r="HK387" s="290"/>
      <c r="HL387" s="290"/>
      <c r="HM387" s="290"/>
      <c r="HN387" s="290"/>
      <c r="HO387" s="290"/>
      <c r="HP387" s="290"/>
      <c r="HQ387" s="290"/>
      <c r="HR387" s="290"/>
      <c r="HS387" s="290"/>
      <c r="HT387" s="290"/>
      <c r="HU387" s="290"/>
      <c r="HV387" s="290"/>
      <c r="HW387" s="290"/>
      <c r="HX387" s="290"/>
      <c r="HY387" s="290"/>
      <c r="HZ387" s="290"/>
      <c r="IA387" s="290"/>
      <c r="IB387" s="290"/>
      <c r="IC387" s="290"/>
      <c r="ID387" s="290"/>
      <c r="IE387" s="290"/>
      <c r="IF387" s="290"/>
      <c r="IG387" s="290"/>
      <c r="IH387" s="290"/>
      <c r="II387" s="290"/>
      <c r="IJ387" s="290"/>
      <c r="IK387" s="290"/>
      <c r="IL387" s="290"/>
      <c r="IM387" s="290"/>
      <c r="IN387" s="290"/>
      <c r="IO387" s="290"/>
      <c r="IP387" s="290"/>
      <c r="IQ387" s="290"/>
    </row>
    <row r="388" spans="1:251" x14ac:dyDescent="0.3">
      <c r="A388" s="268" t="s">
        <v>282</v>
      </c>
      <c r="B388" s="271" t="s">
        <v>48</v>
      </c>
      <c r="C388" s="274" t="s">
        <v>49</v>
      </c>
      <c r="D388" s="265" t="s">
        <v>37</v>
      </c>
      <c r="E388" s="265" t="s">
        <v>38</v>
      </c>
      <c r="F388" s="111" t="s">
        <v>236</v>
      </c>
      <c r="G388" s="286"/>
      <c r="H388" s="289"/>
      <c r="I388" s="290"/>
      <c r="J388" s="290"/>
      <c r="K388" s="290"/>
      <c r="L388" s="290"/>
      <c r="M388" s="290"/>
      <c r="N388" s="290"/>
      <c r="O388" s="290"/>
      <c r="P388" s="290"/>
      <c r="Q388" s="290"/>
      <c r="R388" s="290"/>
      <c r="S388" s="290"/>
      <c r="T388" s="290"/>
      <c r="U388" s="290"/>
      <c r="V388" s="290"/>
      <c r="W388" s="290"/>
      <c r="X388" s="290"/>
      <c r="Y388" s="290"/>
      <c r="Z388" s="290"/>
      <c r="AA388" s="290"/>
      <c r="AB388" s="290"/>
      <c r="AC388" s="290"/>
      <c r="AD388" s="290"/>
      <c r="AE388" s="290"/>
      <c r="AF388" s="290"/>
      <c r="AG388" s="290"/>
      <c r="AH388" s="290"/>
      <c r="AI388" s="290"/>
      <c r="AJ388" s="290"/>
      <c r="AK388" s="290"/>
      <c r="AL388" s="290"/>
      <c r="AM388" s="290"/>
      <c r="AN388" s="290"/>
      <c r="AO388" s="290"/>
      <c r="AP388" s="290"/>
      <c r="AQ388" s="290"/>
      <c r="AR388" s="290"/>
      <c r="AS388" s="290"/>
      <c r="AT388" s="290"/>
      <c r="AU388" s="290"/>
      <c r="AV388" s="290"/>
      <c r="AW388" s="290"/>
      <c r="AX388" s="290"/>
      <c r="AY388" s="290"/>
      <c r="AZ388" s="290"/>
      <c r="BA388" s="290"/>
      <c r="BB388" s="290"/>
      <c r="BC388" s="290"/>
      <c r="BD388" s="290"/>
      <c r="BE388" s="290"/>
      <c r="BF388" s="290"/>
      <c r="BG388" s="290"/>
      <c r="BH388" s="290"/>
      <c r="BI388" s="290"/>
      <c r="BJ388" s="290"/>
      <c r="BK388" s="290"/>
      <c r="BL388" s="290"/>
      <c r="BM388" s="290"/>
      <c r="BN388" s="290"/>
      <c r="BO388" s="290"/>
      <c r="BP388" s="290"/>
      <c r="BQ388" s="290"/>
      <c r="BR388" s="290"/>
      <c r="BS388" s="290"/>
      <c r="BT388" s="290"/>
      <c r="BU388" s="290"/>
      <c r="BV388" s="290"/>
      <c r="BW388" s="290"/>
      <c r="BX388" s="290"/>
      <c r="BY388" s="290"/>
      <c r="BZ388" s="290"/>
      <c r="CA388" s="290"/>
      <c r="CB388" s="290"/>
      <c r="CC388" s="290"/>
      <c r="CD388" s="290"/>
      <c r="CE388" s="290"/>
      <c r="CF388" s="290"/>
      <c r="CG388" s="290"/>
      <c r="CH388" s="290"/>
      <c r="CI388" s="290"/>
      <c r="CJ388" s="290"/>
      <c r="CK388" s="290"/>
      <c r="CL388" s="290"/>
      <c r="CM388" s="290"/>
      <c r="CN388" s="290"/>
      <c r="CO388" s="290"/>
      <c r="CP388" s="290"/>
      <c r="CQ388" s="290"/>
      <c r="CR388" s="290"/>
      <c r="CS388" s="290"/>
      <c r="CT388" s="290"/>
      <c r="CU388" s="290"/>
      <c r="CV388" s="290"/>
      <c r="CW388" s="290"/>
      <c r="CX388" s="290"/>
      <c r="CY388" s="290"/>
      <c r="CZ388" s="290"/>
      <c r="DA388" s="290"/>
      <c r="DB388" s="290"/>
      <c r="DC388" s="290"/>
      <c r="DD388" s="290"/>
      <c r="DE388" s="290"/>
      <c r="DF388" s="290"/>
      <c r="DG388" s="290"/>
      <c r="DH388" s="290"/>
      <c r="DI388" s="290"/>
      <c r="DJ388" s="290"/>
      <c r="DK388" s="290"/>
      <c r="DL388" s="290"/>
      <c r="DM388" s="290"/>
      <c r="DN388" s="290"/>
      <c r="DO388" s="290"/>
      <c r="DP388" s="290"/>
      <c r="DQ388" s="290"/>
      <c r="DR388" s="290"/>
      <c r="DS388" s="290"/>
      <c r="DT388" s="290"/>
      <c r="DU388" s="290"/>
      <c r="DV388" s="290"/>
      <c r="DW388" s="290"/>
      <c r="DX388" s="290"/>
      <c r="DY388" s="290"/>
      <c r="DZ388" s="290"/>
      <c r="EA388" s="290"/>
      <c r="EB388" s="290"/>
      <c r="EC388" s="290"/>
      <c r="ED388" s="290"/>
      <c r="EE388" s="290"/>
      <c r="EF388" s="290"/>
      <c r="EG388" s="290"/>
      <c r="EH388" s="290"/>
      <c r="EI388" s="290"/>
      <c r="EJ388" s="290"/>
      <c r="EK388" s="290"/>
      <c r="EL388" s="290"/>
      <c r="EM388" s="290"/>
      <c r="EN388" s="290"/>
      <c r="EO388" s="290"/>
      <c r="EP388" s="290"/>
      <c r="EQ388" s="290"/>
      <c r="ER388" s="290"/>
      <c r="ES388" s="290"/>
      <c r="ET388" s="290"/>
      <c r="EU388" s="290"/>
      <c r="EV388" s="290"/>
      <c r="EW388" s="290"/>
      <c r="EX388" s="290"/>
      <c r="EY388" s="290"/>
      <c r="EZ388" s="290"/>
      <c r="FA388" s="290"/>
      <c r="FB388" s="290"/>
      <c r="FC388" s="290"/>
      <c r="FD388" s="290"/>
      <c r="FE388" s="290"/>
      <c r="FF388" s="290"/>
      <c r="FG388" s="290"/>
      <c r="FH388" s="290"/>
      <c r="FI388" s="290"/>
      <c r="FJ388" s="290"/>
      <c r="FK388" s="290"/>
      <c r="FL388" s="290"/>
      <c r="FM388" s="290"/>
      <c r="FN388" s="290"/>
      <c r="FO388" s="290"/>
      <c r="FP388" s="290"/>
      <c r="FQ388" s="290"/>
      <c r="FR388" s="290"/>
      <c r="FS388" s="290"/>
      <c r="FT388" s="290"/>
      <c r="FU388" s="290"/>
      <c r="FV388" s="290"/>
      <c r="FW388" s="290"/>
      <c r="FX388" s="290"/>
      <c r="FY388" s="290"/>
      <c r="FZ388" s="290"/>
      <c r="GA388" s="290"/>
      <c r="GB388" s="290"/>
      <c r="GC388" s="290"/>
      <c r="GD388" s="290"/>
      <c r="GE388" s="290"/>
      <c r="GF388" s="290"/>
      <c r="GG388" s="290"/>
      <c r="GH388" s="290"/>
      <c r="GI388" s="290"/>
      <c r="GJ388" s="290"/>
      <c r="GK388" s="290"/>
      <c r="GL388" s="290"/>
      <c r="GM388" s="290"/>
      <c r="GN388" s="290"/>
      <c r="GO388" s="290"/>
      <c r="GP388" s="290"/>
      <c r="GQ388" s="290"/>
      <c r="GR388" s="290"/>
      <c r="GS388" s="290"/>
      <c r="GT388" s="290"/>
      <c r="GU388" s="290"/>
      <c r="GV388" s="290"/>
      <c r="GW388" s="290"/>
      <c r="GX388" s="290"/>
      <c r="GY388" s="290"/>
      <c r="GZ388" s="290"/>
      <c r="HA388" s="290"/>
      <c r="HB388" s="290"/>
      <c r="HC388" s="290"/>
      <c r="HD388" s="290"/>
      <c r="HE388" s="290"/>
      <c r="HF388" s="290"/>
      <c r="HG388" s="290"/>
      <c r="HH388" s="290"/>
      <c r="HI388" s="290"/>
      <c r="HJ388" s="290"/>
      <c r="HK388" s="290"/>
      <c r="HL388" s="290"/>
      <c r="HM388" s="290"/>
      <c r="HN388" s="290"/>
      <c r="HO388" s="290"/>
      <c r="HP388" s="290"/>
      <c r="HQ388" s="290"/>
      <c r="HR388" s="290"/>
      <c r="HS388" s="290"/>
      <c r="HT388" s="290"/>
      <c r="HU388" s="290"/>
      <c r="HV388" s="290"/>
      <c r="HW388" s="290"/>
      <c r="HX388" s="290"/>
      <c r="HY388" s="290"/>
      <c r="HZ388" s="290"/>
      <c r="IA388" s="290"/>
      <c r="IB388" s="290"/>
      <c r="IC388" s="290"/>
      <c r="ID388" s="290"/>
      <c r="IE388" s="290"/>
      <c r="IF388" s="290"/>
      <c r="IG388" s="290"/>
      <c r="IH388" s="290"/>
      <c r="II388" s="290"/>
      <c r="IJ388" s="290"/>
      <c r="IK388" s="290"/>
      <c r="IL388" s="290"/>
      <c r="IM388" s="290"/>
      <c r="IN388" s="290"/>
      <c r="IO388" s="290"/>
      <c r="IP388" s="290"/>
      <c r="IQ388" s="290"/>
    </row>
    <row r="389" spans="1:251" x14ac:dyDescent="0.3">
      <c r="A389" s="269"/>
      <c r="B389" s="272"/>
      <c r="C389" s="275"/>
      <c r="D389" s="266"/>
      <c r="E389" s="266"/>
      <c r="F389" s="112" t="s">
        <v>237</v>
      </c>
      <c r="G389" s="287"/>
      <c r="H389" s="289"/>
      <c r="I389" s="290"/>
      <c r="J389" s="290"/>
      <c r="K389" s="290"/>
      <c r="L389" s="290"/>
      <c r="M389" s="290"/>
      <c r="N389" s="290"/>
      <c r="O389" s="290"/>
      <c r="P389" s="290"/>
      <c r="Q389" s="290"/>
      <c r="R389" s="290"/>
      <c r="S389" s="290"/>
      <c r="T389" s="290"/>
      <c r="U389" s="290"/>
      <c r="V389" s="290"/>
      <c r="W389" s="290"/>
      <c r="X389" s="290"/>
      <c r="Y389" s="290"/>
      <c r="Z389" s="290"/>
      <c r="AA389" s="290"/>
      <c r="AB389" s="290"/>
      <c r="AC389" s="290"/>
      <c r="AD389" s="290"/>
      <c r="AE389" s="290"/>
      <c r="AF389" s="290"/>
      <c r="AG389" s="290"/>
      <c r="AH389" s="290"/>
      <c r="AI389" s="290"/>
      <c r="AJ389" s="290"/>
      <c r="AK389" s="290"/>
      <c r="AL389" s="290"/>
      <c r="AM389" s="290"/>
      <c r="AN389" s="290"/>
      <c r="AO389" s="290"/>
      <c r="AP389" s="290"/>
      <c r="AQ389" s="290"/>
      <c r="AR389" s="290"/>
      <c r="AS389" s="290"/>
      <c r="AT389" s="290"/>
      <c r="AU389" s="290"/>
      <c r="AV389" s="290"/>
      <c r="AW389" s="290"/>
      <c r="AX389" s="290"/>
      <c r="AY389" s="290"/>
      <c r="AZ389" s="290"/>
      <c r="BA389" s="290"/>
      <c r="BB389" s="290"/>
      <c r="BC389" s="290"/>
      <c r="BD389" s="290"/>
      <c r="BE389" s="290"/>
      <c r="BF389" s="290"/>
      <c r="BG389" s="290"/>
      <c r="BH389" s="290"/>
      <c r="BI389" s="290"/>
      <c r="BJ389" s="290"/>
      <c r="BK389" s="290"/>
      <c r="BL389" s="290"/>
      <c r="BM389" s="290"/>
      <c r="BN389" s="290"/>
      <c r="BO389" s="290"/>
      <c r="BP389" s="290"/>
      <c r="BQ389" s="290"/>
      <c r="BR389" s="290"/>
      <c r="BS389" s="290"/>
      <c r="BT389" s="290"/>
      <c r="BU389" s="290"/>
      <c r="BV389" s="290"/>
      <c r="BW389" s="290"/>
      <c r="BX389" s="290"/>
      <c r="BY389" s="290"/>
      <c r="BZ389" s="290"/>
      <c r="CA389" s="290"/>
      <c r="CB389" s="290"/>
      <c r="CC389" s="290"/>
      <c r="CD389" s="290"/>
      <c r="CE389" s="290"/>
      <c r="CF389" s="290"/>
      <c r="CG389" s="290"/>
      <c r="CH389" s="290"/>
      <c r="CI389" s="290"/>
      <c r="CJ389" s="290"/>
      <c r="CK389" s="290"/>
      <c r="CL389" s="290"/>
      <c r="CM389" s="290"/>
      <c r="CN389" s="290"/>
      <c r="CO389" s="290"/>
      <c r="CP389" s="290"/>
      <c r="CQ389" s="290"/>
      <c r="CR389" s="290"/>
      <c r="CS389" s="290"/>
      <c r="CT389" s="290"/>
      <c r="CU389" s="290"/>
      <c r="CV389" s="290"/>
      <c r="CW389" s="290"/>
      <c r="CX389" s="290"/>
      <c r="CY389" s="290"/>
      <c r="CZ389" s="290"/>
      <c r="DA389" s="290"/>
      <c r="DB389" s="290"/>
      <c r="DC389" s="290"/>
      <c r="DD389" s="290"/>
      <c r="DE389" s="290"/>
      <c r="DF389" s="290"/>
      <c r="DG389" s="290"/>
      <c r="DH389" s="290"/>
      <c r="DI389" s="290"/>
      <c r="DJ389" s="290"/>
      <c r="DK389" s="290"/>
      <c r="DL389" s="290"/>
      <c r="DM389" s="290"/>
      <c r="DN389" s="290"/>
      <c r="DO389" s="290"/>
      <c r="DP389" s="290"/>
      <c r="DQ389" s="290"/>
      <c r="DR389" s="290"/>
      <c r="DS389" s="290"/>
      <c r="DT389" s="290"/>
      <c r="DU389" s="290"/>
      <c r="DV389" s="290"/>
      <c r="DW389" s="290"/>
      <c r="DX389" s="290"/>
      <c r="DY389" s="290"/>
      <c r="DZ389" s="290"/>
      <c r="EA389" s="290"/>
      <c r="EB389" s="290"/>
      <c r="EC389" s="290"/>
      <c r="ED389" s="290"/>
      <c r="EE389" s="290"/>
      <c r="EF389" s="290"/>
      <c r="EG389" s="290"/>
      <c r="EH389" s="290"/>
      <c r="EI389" s="290"/>
      <c r="EJ389" s="290"/>
      <c r="EK389" s="290"/>
      <c r="EL389" s="290"/>
      <c r="EM389" s="290"/>
      <c r="EN389" s="290"/>
      <c r="EO389" s="290"/>
      <c r="EP389" s="290"/>
      <c r="EQ389" s="290"/>
      <c r="ER389" s="290"/>
      <c r="ES389" s="290"/>
      <c r="ET389" s="290"/>
      <c r="EU389" s="290"/>
      <c r="EV389" s="290"/>
      <c r="EW389" s="290"/>
      <c r="EX389" s="290"/>
      <c r="EY389" s="290"/>
      <c r="EZ389" s="290"/>
      <c r="FA389" s="290"/>
      <c r="FB389" s="290"/>
      <c r="FC389" s="290"/>
      <c r="FD389" s="290"/>
      <c r="FE389" s="290"/>
      <c r="FF389" s="290"/>
      <c r="FG389" s="290"/>
      <c r="FH389" s="290"/>
      <c r="FI389" s="290"/>
      <c r="FJ389" s="290"/>
      <c r="FK389" s="290"/>
      <c r="FL389" s="290"/>
      <c r="FM389" s="290"/>
      <c r="FN389" s="290"/>
      <c r="FO389" s="290"/>
      <c r="FP389" s="290"/>
      <c r="FQ389" s="290"/>
      <c r="FR389" s="290"/>
      <c r="FS389" s="290"/>
      <c r="FT389" s="290"/>
      <c r="FU389" s="290"/>
      <c r="FV389" s="290"/>
      <c r="FW389" s="290"/>
      <c r="FX389" s="290"/>
      <c r="FY389" s="290"/>
      <c r="FZ389" s="290"/>
      <c r="GA389" s="290"/>
      <c r="GB389" s="290"/>
      <c r="GC389" s="290"/>
      <c r="GD389" s="290"/>
      <c r="GE389" s="290"/>
      <c r="GF389" s="290"/>
      <c r="GG389" s="290"/>
      <c r="GH389" s="290"/>
      <c r="GI389" s="290"/>
      <c r="GJ389" s="290"/>
      <c r="GK389" s="290"/>
      <c r="GL389" s="290"/>
      <c r="GM389" s="290"/>
      <c r="GN389" s="290"/>
      <c r="GO389" s="290"/>
      <c r="GP389" s="290"/>
      <c r="GQ389" s="290"/>
      <c r="GR389" s="290"/>
      <c r="GS389" s="290"/>
      <c r="GT389" s="290"/>
      <c r="GU389" s="290"/>
      <c r="GV389" s="290"/>
      <c r="GW389" s="290"/>
      <c r="GX389" s="290"/>
      <c r="GY389" s="290"/>
      <c r="GZ389" s="290"/>
      <c r="HA389" s="290"/>
      <c r="HB389" s="290"/>
      <c r="HC389" s="290"/>
      <c r="HD389" s="290"/>
      <c r="HE389" s="290"/>
      <c r="HF389" s="290"/>
      <c r="HG389" s="290"/>
      <c r="HH389" s="290"/>
      <c r="HI389" s="290"/>
      <c r="HJ389" s="290"/>
      <c r="HK389" s="290"/>
      <c r="HL389" s="290"/>
      <c r="HM389" s="290"/>
      <c r="HN389" s="290"/>
      <c r="HO389" s="290"/>
      <c r="HP389" s="290"/>
      <c r="HQ389" s="290"/>
      <c r="HR389" s="290"/>
      <c r="HS389" s="290"/>
      <c r="HT389" s="290"/>
      <c r="HU389" s="290"/>
      <c r="HV389" s="290"/>
      <c r="HW389" s="290"/>
      <c r="HX389" s="290"/>
      <c r="HY389" s="290"/>
      <c r="HZ389" s="290"/>
      <c r="IA389" s="290"/>
      <c r="IB389" s="290"/>
      <c r="IC389" s="290"/>
      <c r="ID389" s="290"/>
      <c r="IE389" s="290"/>
      <c r="IF389" s="290"/>
      <c r="IG389" s="290"/>
      <c r="IH389" s="290"/>
      <c r="II389" s="290"/>
      <c r="IJ389" s="290"/>
      <c r="IK389" s="290"/>
      <c r="IL389" s="290"/>
      <c r="IM389" s="290"/>
      <c r="IN389" s="290"/>
      <c r="IO389" s="290"/>
      <c r="IP389" s="290"/>
      <c r="IQ389" s="290"/>
    </row>
    <row r="390" spans="1:251" x14ac:dyDescent="0.3">
      <c r="A390" s="270"/>
      <c r="B390" s="273"/>
      <c r="C390" s="276"/>
      <c r="D390" s="267"/>
      <c r="E390" s="267"/>
      <c r="F390" s="113" t="s">
        <v>238</v>
      </c>
      <c r="G390" s="288"/>
      <c r="H390" s="289"/>
      <c r="I390" s="290"/>
      <c r="J390" s="290"/>
      <c r="K390" s="290"/>
      <c r="L390" s="290"/>
      <c r="M390" s="290"/>
      <c r="N390" s="290"/>
      <c r="O390" s="290"/>
      <c r="P390" s="290"/>
      <c r="Q390" s="290"/>
      <c r="R390" s="290"/>
      <c r="S390" s="290"/>
      <c r="T390" s="290"/>
      <c r="U390" s="290"/>
      <c r="V390" s="290"/>
      <c r="W390" s="290"/>
      <c r="X390" s="290"/>
      <c r="Y390" s="290"/>
      <c r="Z390" s="290"/>
      <c r="AA390" s="290"/>
      <c r="AB390" s="290"/>
      <c r="AC390" s="290"/>
      <c r="AD390" s="290"/>
      <c r="AE390" s="290"/>
      <c r="AF390" s="290"/>
      <c r="AG390" s="290"/>
      <c r="AH390" s="290"/>
      <c r="AI390" s="290"/>
      <c r="AJ390" s="290"/>
      <c r="AK390" s="290"/>
      <c r="AL390" s="290"/>
      <c r="AM390" s="290"/>
      <c r="AN390" s="290"/>
      <c r="AO390" s="290"/>
      <c r="AP390" s="290"/>
      <c r="AQ390" s="290"/>
      <c r="AR390" s="290"/>
      <c r="AS390" s="290"/>
      <c r="AT390" s="290"/>
      <c r="AU390" s="290"/>
      <c r="AV390" s="290"/>
      <c r="AW390" s="290"/>
      <c r="AX390" s="290"/>
      <c r="AY390" s="290"/>
      <c r="AZ390" s="290"/>
      <c r="BA390" s="290"/>
      <c r="BB390" s="290"/>
      <c r="BC390" s="290"/>
      <c r="BD390" s="290"/>
      <c r="BE390" s="290"/>
      <c r="BF390" s="290"/>
      <c r="BG390" s="290"/>
      <c r="BH390" s="290"/>
      <c r="BI390" s="290"/>
      <c r="BJ390" s="290"/>
      <c r="BK390" s="290"/>
      <c r="BL390" s="290"/>
      <c r="BM390" s="290"/>
      <c r="BN390" s="290"/>
      <c r="BO390" s="290"/>
      <c r="BP390" s="290"/>
      <c r="BQ390" s="290"/>
      <c r="BR390" s="290"/>
      <c r="BS390" s="290"/>
      <c r="BT390" s="290"/>
      <c r="BU390" s="290"/>
      <c r="BV390" s="290"/>
      <c r="BW390" s="290"/>
      <c r="BX390" s="290"/>
      <c r="BY390" s="290"/>
      <c r="BZ390" s="290"/>
      <c r="CA390" s="290"/>
      <c r="CB390" s="290"/>
      <c r="CC390" s="290"/>
      <c r="CD390" s="290"/>
      <c r="CE390" s="290"/>
      <c r="CF390" s="290"/>
      <c r="CG390" s="290"/>
      <c r="CH390" s="290"/>
      <c r="CI390" s="290"/>
      <c r="CJ390" s="290"/>
      <c r="CK390" s="290"/>
      <c r="CL390" s="290"/>
      <c r="CM390" s="290"/>
      <c r="CN390" s="290"/>
      <c r="CO390" s="290"/>
      <c r="CP390" s="290"/>
      <c r="CQ390" s="290"/>
      <c r="CR390" s="290"/>
      <c r="CS390" s="290"/>
      <c r="CT390" s="290"/>
      <c r="CU390" s="290"/>
      <c r="CV390" s="290"/>
      <c r="CW390" s="290"/>
      <c r="CX390" s="290"/>
      <c r="CY390" s="290"/>
      <c r="CZ390" s="290"/>
      <c r="DA390" s="290"/>
      <c r="DB390" s="290"/>
      <c r="DC390" s="290"/>
      <c r="DD390" s="290"/>
      <c r="DE390" s="290"/>
      <c r="DF390" s="290"/>
      <c r="DG390" s="290"/>
      <c r="DH390" s="290"/>
      <c r="DI390" s="290"/>
      <c r="DJ390" s="290"/>
      <c r="DK390" s="290"/>
      <c r="DL390" s="290"/>
      <c r="DM390" s="290"/>
      <c r="DN390" s="290"/>
      <c r="DO390" s="290"/>
      <c r="DP390" s="290"/>
      <c r="DQ390" s="290"/>
      <c r="DR390" s="290"/>
      <c r="DS390" s="290"/>
      <c r="DT390" s="290"/>
      <c r="DU390" s="290"/>
      <c r="DV390" s="290"/>
      <c r="DW390" s="290"/>
      <c r="DX390" s="290"/>
      <c r="DY390" s="290"/>
      <c r="DZ390" s="290"/>
      <c r="EA390" s="290"/>
      <c r="EB390" s="290"/>
      <c r="EC390" s="290"/>
      <c r="ED390" s="290"/>
      <c r="EE390" s="290"/>
      <c r="EF390" s="290"/>
      <c r="EG390" s="290"/>
      <c r="EH390" s="290"/>
      <c r="EI390" s="290"/>
      <c r="EJ390" s="290"/>
      <c r="EK390" s="290"/>
      <c r="EL390" s="290"/>
      <c r="EM390" s="290"/>
      <c r="EN390" s="290"/>
      <c r="EO390" s="290"/>
      <c r="EP390" s="290"/>
      <c r="EQ390" s="290"/>
      <c r="ER390" s="290"/>
      <c r="ES390" s="290"/>
      <c r="ET390" s="290"/>
      <c r="EU390" s="290"/>
      <c r="EV390" s="290"/>
      <c r="EW390" s="290"/>
      <c r="EX390" s="290"/>
      <c r="EY390" s="290"/>
      <c r="EZ390" s="290"/>
      <c r="FA390" s="290"/>
      <c r="FB390" s="290"/>
      <c r="FC390" s="290"/>
      <c r="FD390" s="290"/>
      <c r="FE390" s="290"/>
      <c r="FF390" s="290"/>
      <c r="FG390" s="290"/>
      <c r="FH390" s="290"/>
      <c r="FI390" s="290"/>
      <c r="FJ390" s="290"/>
      <c r="FK390" s="290"/>
      <c r="FL390" s="290"/>
      <c r="FM390" s="290"/>
      <c r="FN390" s="290"/>
      <c r="FO390" s="290"/>
      <c r="FP390" s="290"/>
      <c r="FQ390" s="290"/>
      <c r="FR390" s="290"/>
      <c r="FS390" s="290"/>
      <c r="FT390" s="290"/>
      <c r="FU390" s="290"/>
      <c r="FV390" s="290"/>
      <c r="FW390" s="290"/>
      <c r="FX390" s="290"/>
      <c r="FY390" s="290"/>
      <c r="FZ390" s="290"/>
      <c r="GA390" s="290"/>
      <c r="GB390" s="290"/>
      <c r="GC390" s="290"/>
      <c r="GD390" s="290"/>
      <c r="GE390" s="290"/>
      <c r="GF390" s="290"/>
      <c r="GG390" s="290"/>
      <c r="GH390" s="290"/>
      <c r="GI390" s="290"/>
      <c r="GJ390" s="290"/>
      <c r="GK390" s="290"/>
      <c r="GL390" s="290"/>
      <c r="GM390" s="290"/>
      <c r="GN390" s="290"/>
      <c r="GO390" s="290"/>
      <c r="GP390" s="290"/>
      <c r="GQ390" s="290"/>
      <c r="GR390" s="290"/>
      <c r="GS390" s="290"/>
      <c r="GT390" s="290"/>
      <c r="GU390" s="290"/>
      <c r="GV390" s="290"/>
      <c r="GW390" s="290"/>
      <c r="GX390" s="290"/>
      <c r="GY390" s="290"/>
      <c r="GZ390" s="290"/>
      <c r="HA390" s="290"/>
      <c r="HB390" s="290"/>
      <c r="HC390" s="290"/>
      <c r="HD390" s="290"/>
      <c r="HE390" s="290"/>
      <c r="HF390" s="290"/>
      <c r="HG390" s="290"/>
      <c r="HH390" s="290"/>
      <c r="HI390" s="290"/>
      <c r="HJ390" s="290"/>
      <c r="HK390" s="290"/>
      <c r="HL390" s="290"/>
      <c r="HM390" s="290"/>
      <c r="HN390" s="290"/>
      <c r="HO390" s="290"/>
      <c r="HP390" s="290"/>
      <c r="HQ390" s="290"/>
      <c r="HR390" s="290"/>
      <c r="HS390" s="290"/>
      <c r="HT390" s="290"/>
      <c r="HU390" s="290"/>
      <c r="HV390" s="290"/>
      <c r="HW390" s="290"/>
      <c r="HX390" s="290"/>
      <c r="HY390" s="290"/>
      <c r="HZ390" s="290"/>
      <c r="IA390" s="290"/>
      <c r="IB390" s="290"/>
      <c r="IC390" s="290"/>
      <c r="ID390" s="290"/>
      <c r="IE390" s="290"/>
      <c r="IF390" s="290"/>
      <c r="IG390" s="290"/>
      <c r="IH390" s="290"/>
      <c r="II390" s="290"/>
      <c r="IJ390" s="290"/>
      <c r="IK390" s="290"/>
      <c r="IL390" s="290"/>
      <c r="IM390" s="290"/>
      <c r="IN390" s="290"/>
      <c r="IO390" s="290"/>
      <c r="IP390" s="290"/>
      <c r="IQ390" s="290"/>
    </row>
    <row r="391" spans="1:251" ht="39" x14ac:dyDescent="0.3">
      <c r="A391" s="239" t="s">
        <v>282</v>
      </c>
      <c r="B391" s="21" t="s">
        <v>1852</v>
      </c>
      <c r="C391" s="129" t="s">
        <v>49</v>
      </c>
      <c r="D391" s="166" t="s">
        <v>37</v>
      </c>
      <c r="E391" s="166" t="s">
        <v>38</v>
      </c>
      <c r="F391" s="100" t="s">
        <v>1854</v>
      </c>
      <c r="G391" s="240"/>
      <c r="H391" s="199"/>
      <c r="I391" s="183"/>
      <c r="J391" s="183"/>
      <c r="K391" s="183"/>
      <c r="L391" s="183"/>
      <c r="M391" s="183"/>
      <c r="N391" s="183"/>
      <c r="O391" s="183"/>
      <c r="P391" s="183"/>
      <c r="Q391" s="183"/>
      <c r="R391" s="183"/>
      <c r="S391" s="183"/>
      <c r="T391" s="183"/>
      <c r="U391" s="183"/>
      <c r="V391" s="183"/>
      <c r="W391" s="183"/>
      <c r="X391" s="183"/>
      <c r="Y391" s="183"/>
      <c r="Z391" s="183"/>
      <c r="AA391" s="183"/>
      <c r="AB391" s="183"/>
      <c r="AC391" s="183"/>
      <c r="AD391" s="183"/>
      <c r="AE391" s="183"/>
      <c r="AF391" s="183"/>
      <c r="AG391" s="183"/>
      <c r="AH391" s="183"/>
      <c r="AI391" s="183"/>
      <c r="AJ391" s="183"/>
      <c r="AK391" s="183"/>
      <c r="AL391" s="183"/>
      <c r="AM391" s="183"/>
      <c r="AN391" s="183"/>
      <c r="AO391" s="183"/>
      <c r="AP391" s="183"/>
      <c r="AQ391" s="183"/>
      <c r="AR391" s="183"/>
      <c r="AS391" s="183"/>
      <c r="AT391" s="183"/>
      <c r="AU391" s="183"/>
      <c r="AV391" s="183"/>
      <c r="AW391" s="183"/>
      <c r="AX391" s="183"/>
      <c r="AY391" s="183"/>
      <c r="AZ391" s="183"/>
      <c r="BA391" s="183"/>
      <c r="BB391" s="183"/>
      <c r="BC391" s="183"/>
      <c r="BD391" s="183"/>
      <c r="BE391" s="183"/>
      <c r="BF391" s="183"/>
      <c r="BG391" s="183"/>
      <c r="BH391" s="183"/>
      <c r="BI391" s="183"/>
      <c r="BJ391" s="183"/>
      <c r="BK391" s="183"/>
      <c r="BL391" s="183"/>
      <c r="BM391" s="183"/>
      <c r="BN391" s="183"/>
      <c r="BO391" s="183"/>
      <c r="BP391" s="183"/>
      <c r="BQ391" s="183"/>
      <c r="BR391" s="183"/>
      <c r="BS391" s="183"/>
      <c r="BT391" s="183"/>
      <c r="BU391" s="183"/>
      <c r="BV391" s="183"/>
      <c r="BW391" s="183"/>
      <c r="BX391" s="183"/>
      <c r="BY391" s="183"/>
      <c r="BZ391" s="183"/>
      <c r="CA391" s="183"/>
      <c r="CB391" s="183"/>
      <c r="CC391" s="183"/>
      <c r="CD391" s="183"/>
      <c r="CE391" s="183"/>
      <c r="CF391" s="183"/>
      <c r="CG391" s="183"/>
      <c r="CH391" s="183"/>
      <c r="CI391" s="183"/>
      <c r="CJ391" s="183"/>
      <c r="CK391" s="183"/>
      <c r="CL391" s="183"/>
      <c r="CM391" s="183"/>
      <c r="CN391" s="183"/>
      <c r="CO391" s="183"/>
      <c r="CP391" s="183"/>
      <c r="CQ391" s="183"/>
      <c r="CR391" s="183"/>
      <c r="CS391" s="183"/>
      <c r="CT391" s="183"/>
      <c r="CU391" s="183"/>
      <c r="CV391" s="183"/>
      <c r="CW391" s="183"/>
      <c r="CX391" s="183"/>
      <c r="CY391" s="183"/>
      <c r="CZ391" s="183"/>
      <c r="DA391" s="183"/>
      <c r="DB391" s="183"/>
      <c r="DC391" s="183"/>
      <c r="DD391" s="183"/>
      <c r="DE391" s="183"/>
      <c r="DF391" s="183"/>
      <c r="DG391" s="183"/>
      <c r="DH391" s="183"/>
      <c r="DI391" s="183"/>
      <c r="DJ391" s="183"/>
      <c r="DK391" s="183"/>
      <c r="DL391" s="183"/>
      <c r="DM391" s="183"/>
      <c r="DN391" s="183"/>
      <c r="DO391" s="183"/>
      <c r="DP391" s="183"/>
      <c r="DQ391" s="183"/>
      <c r="DR391" s="183"/>
      <c r="DS391" s="183"/>
      <c r="DT391" s="183"/>
      <c r="DU391" s="183"/>
      <c r="DV391" s="183"/>
      <c r="DW391" s="183"/>
      <c r="DX391" s="183"/>
      <c r="DY391" s="183"/>
      <c r="DZ391" s="183"/>
      <c r="EA391" s="183"/>
      <c r="EB391" s="183"/>
      <c r="EC391" s="183"/>
      <c r="ED391" s="183"/>
      <c r="EE391" s="183"/>
      <c r="EF391" s="183"/>
      <c r="EG391" s="183"/>
      <c r="EH391" s="183"/>
      <c r="EI391" s="183"/>
      <c r="EJ391" s="183"/>
      <c r="EK391" s="183"/>
      <c r="EL391" s="183"/>
      <c r="EM391" s="183"/>
      <c r="EN391" s="183"/>
      <c r="EO391" s="183"/>
      <c r="EP391" s="183"/>
      <c r="EQ391" s="183"/>
      <c r="ER391" s="183"/>
      <c r="ES391" s="183"/>
      <c r="ET391" s="183"/>
      <c r="EU391" s="183"/>
      <c r="EV391" s="183"/>
      <c r="EW391" s="183"/>
      <c r="EX391" s="183"/>
      <c r="EY391" s="183"/>
      <c r="EZ391" s="183"/>
      <c r="FA391" s="183"/>
      <c r="FB391" s="183"/>
      <c r="FC391" s="183"/>
      <c r="FD391" s="183"/>
      <c r="FE391" s="183"/>
      <c r="FF391" s="183"/>
      <c r="FG391" s="183"/>
      <c r="FH391" s="183"/>
      <c r="FI391" s="183"/>
      <c r="FJ391" s="183"/>
      <c r="FK391" s="183"/>
      <c r="FL391" s="183"/>
      <c r="FM391" s="183"/>
      <c r="FN391" s="183"/>
      <c r="FO391" s="183"/>
      <c r="FP391" s="183"/>
      <c r="FQ391" s="183"/>
      <c r="FR391" s="183"/>
      <c r="FS391" s="183"/>
      <c r="FT391" s="183"/>
      <c r="FU391" s="183"/>
      <c r="FV391" s="183"/>
      <c r="FW391" s="183"/>
      <c r="FX391" s="183"/>
      <c r="FY391" s="183"/>
      <c r="FZ391" s="183"/>
      <c r="GA391" s="183"/>
      <c r="GB391" s="183"/>
      <c r="GC391" s="183"/>
      <c r="GD391" s="183"/>
      <c r="GE391" s="183"/>
      <c r="GF391" s="183"/>
      <c r="GG391" s="183"/>
      <c r="GH391" s="183"/>
      <c r="GI391" s="183"/>
      <c r="GJ391" s="183"/>
      <c r="GK391" s="183"/>
      <c r="GL391" s="183"/>
      <c r="GM391" s="183"/>
      <c r="GN391" s="183"/>
      <c r="GO391" s="183"/>
      <c r="GP391" s="183"/>
      <c r="GQ391" s="183"/>
      <c r="GR391" s="183"/>
      <c r="GS391" s="183"/>
      <c r="GT391" s="183"/>
      <c r="GU391" s="183"/>
      <c r="GV391" s="183"/>
      <c r="GW391" s="183"/>
      <c r="GX391" s="183"/>
      <c r="GY391" s="183"/>
      <c r="GZ391" s="183"/>
      <c r="HA391" s="183"/>
      <c r="HB391" s="183"/>
      <c r="HC391" s="183"/>
      <c r="HD391" s="183"/>
      <c r="HE391" s="183"/>
      <c r="HF391" s="183"/>
      <c r="HG391" s="183"/>
      <c r="HH391" s="183"/>
      <c r="HI391" s="183"/>
      <c r="HJ391" s="183"/>
      <c r="HK391" s="183"/>
      <c r="HL391" s="183"/>
      <c r="HM391" s="183"/>
      <c r="HN391" s="183"/>
      <c r="HO391" s="183"/>
      <c r="HP391" s="183"/>
      <c r="HQ391" s="183"/>
      <c r="HR391" s="183"/>
      <c r="HS391" s="183"/>
      <c r="HT391" s="183"/>
      <c r="HU391" s="183"/>
      <c r="HV391" s="183"/>
      <c r="HW391" s="183"/>
      <c r="HX391" s="183"/>
      <c r="HY391" s="183"/>
      <c r="HZ391" s="183"/>
      <c r="IA391" s="183"/>
      <c r="IB391" s="183"/>
      <c r="IC391" s="183"/>
      <c r="ID391" s="183"/>
      <c r="IE391" s="183"/>
      <c r="IF391" s="183"/>
      <c r="IG391" s="183"/>
      <c r="IH391" s="183"/>
      <c r="II391" s="183"/>
      <c r="IJ391" s="183"/>
      <c r="IK391" s="183"/>
      <c r="IL391" s="183"/>
      <c r="IM391" s="183"/>
      <c r="IN391" s="183"/>
      <c r="IO391" s="183"/>
      <c r="IP391" s="183"/>
      <c r="IQ391" s="183"/>
    </row>
    <row r="392" spans="1:251" ht="39" x14ac:dyDescent="0.3">
      <c r="A392" s="83" t="s">
        <v>184</v>
      </c>
      <c r="B392" s="196" t="s">
        <v>283</v>
      </c>
      <c r="C392" s="191" t="s">
        <v>30</v>
      </c>
      <c r="D392" s="192" t="s">
        <v>31</v>
      </c>
      <c r="E392" s="192" t="s">
        <v>32</v>
      </c>
      <c r="F392" s="114" t="s">
        <v>33</v>
      </c>
      <c r="G392" s="191" t="s">
        <v>5</v>
      </c>
      <c r="H392" s="199"/>
      <c r="I392" s="183"/>
      <c r="J392" s="183"/>
      <c r="K392" s="183"/>
      <c r="L392" s="183"/>
      <c r="M392" s="183"/>
      <c r="N392" s="183"/>
      <c r="O392" s="183"/>
      <c r="P392" s="183"/>
      <c r="Q392" s="183"/>
      <c r="R392" s="183"/>
      <c r="S392" s="183"/>
      <c r="T392" s="183"/>
      <c r="U392" s="183"/>
      <c r="V392" s="183"/>
      <c r="W392" s="183"/>
      <c r="X392" s="183"/>
      <c r="Y392" s="183"/>
      <c r="Z392" s="183"/>
      <c r="AA392" s="183"/>
      <c r="AB392" s="183"/>
      <c r="AC392" s="183"/>
      <c r="AD392" s="183"/>
      <c r="AE392" s="183"/>
      <c r="AF392" s="183"/>
      <c r="AG392" s="183"/>
      <c r="AH392" s="183"/>
      <c r="AI392" s="183"/>
      <c r="AJ392" s="183"/>
      <c r="AK392" s="183"/>
      <c r="AL392" s="183"/>
      <c r="AM392" s="183"/>
      <c r="AN392" s="183"/>
      <c r="AO392" s="183"/>
      <c r="AP392" s="183"/>
      <c r="AQ392" s="183"/>
      <c r="AR392" s="183"/>
      <c r="AS392" s="183"/>
      <c r="AT392" s="183"/>
      <c r="AU392" s="183"/>
      <c r="AV392" s="183"/>
      <c r="AW392" s="183"/>
      <c r="AX392" s="183"/>
      <c r="AY392" s="183"/>
      <c r="AZ392" s="183"/>
      <c r="BA392" s="183"/>
      <c r="BB392" s="183"/>
      <c r="BC392" s="183"/>
      <c r="BD392" s="183"/>
      <c r="BE392" s="183"/>
      <c r="BF392" s="183"/>
      <c r="BG392" s="183"/>
      <c r="BH392" s="183"/>
      <c r="BI392" s="183"/>
      <c r="BJ392" s="183"/>
      <c r="BK392" s="183"/>
      <c r="BL392" s="183"/>
      <c r="BM392" s="183"/>
      <c r="BN392" s="183"/>
      <c r="BO392" s="183"/>
      <c r="BP392" s="183"/>
      <c r="BQ392" s="183"/>
      <c r="BR392" s="183"/>
      <c r="BS392" s="183"/>
      <c r="BT392" s="183"/>
      <c r="BU392" s="183"/>
      <c r="BV392" s="183"/>
      <c r="BW392" s="183"/>
      <c r="BX392" s="183"/>
      <c r="BY392" s="183"/>
      <c r="BZ392" s="183"/>
      <c r="CA392" s="183"/>
      <c r="CB392" s="183"/>
      <c r="CC392" s="183"/>
      <c r="CD392" s="183"/>
      <c r="CE392" s="183"/>
      <c r="CF392" s="183"/>
      <c r="CG392" s="183"/>
      <c r="CH392" s="183"/>
      <c r="CI392" s="183"/>
      <c r="CJ392" s="183"/>
      <c r="CK392" s="183"/>
      <c r="CL392" s="183"/>
      <c r="CM392" s="183"/>
      <c r="CN392" s="183"/>
      <c r="CO392" s="183"/>
      <c r="CP392" s="183"/>
      <c r="CQ392" s="183"/>
      <c r="CR392" s="183"/>
      <c r="CS392" s="183"/>
      <c r="CT392" s="183"/>
      <c r="CU392" s="183"/>
      <c r="CV392" s="183"/>
      <c r="CW392" s="183"/>
      <c r="CX392" s="183"/>
      <c r="CY392" s="183"/>
      <c r="CZ392" s="183"/>
      <c r="DA392" s="183"/>
      <c r="DB392" s="183"/>
      <c r="DC392" s="183"/>
      <c r="DD392" s="183"/>
      <c r="DE392" s="183"/>
      <c r="DF392" s="183"/>
      <c r="DG392" s="183"/>
      <c r="DH392" s="183"/>
      <c r="DI392" s="183"/>
      <c r="DJ392" s="183"/>
      <c r="DK392" s="183"/>
      <c r="DL392" s="183"/>
      <c r="DM392" s="183"/>
      <c r="DN392" s="183"/>
      <c r="DO392" s="183"/>
      <c r="DP392" s="183"/>
      <c r="DQ392" s="183"/>
      <c r="DR392" s="183"/>
      <c r="DS392" s="183"/>
      <c r="DT392" s="183"/>
      <c r="DU392" s="183"/>
      <c r="DV392" s="183"/>
      <c r="DW392" s="183"/>
      <c r="DX392" s="183"/>
      <c r="DY392" s="183"/>
      <c r="DZ392" s="183"/>
      <c r="EA392" s="183"/>
      <c r="EB392" s="183"/>
      <c r="EC392" s="183"/>
      <c r="ED392" s="183"/>
      <c r="EE392" s="183"/>
      <c r="EF392" s="183"/>
      <c r="EG392" s="183"/>
      <c r="EH392" s="183"/>
      <c r="EI392" s="183"/>
      <c r="EJ392" s="183"/>
      <c r="EK392" s="183"/>
      <c r="EL392" s="183"/>
      <c r="EM392" s="183"/>
      <c r="EN392" s="183"/>
      <c r="EO392" s="183"/>
      <c r="EP392" s="183"/>
      <c r="EQ392" s="183"/>
      <c r="ER392" s="183"/>
      <c r="ES392" s="183"/>
      <c r="ET392" s="183"/>
      <c r="EU392" s="183"/>
      <c r="EV392" s="183"/>
      <c r="EW392" s="183"/>
      <c r="EX392" s="183"/>
      <c r="EY392" s="183"/>
      <c r="EZ392" s="183"/>
      <c r="FA392" s="183"/>
      <c r="FB392" s="183"/>
      <c r="FC392" s="183"/>
      <c r="FD392" s="183"/>
      <c r="FE392" s="183"/>
      <c r="FF392" s="183"/>
      <c r="FG392" s="183"/>
      <c r="FH392" s="183"/>
      <c r="FI392" s="183"/>
      <c r="FJ392" s="183"/>
      <c r="FK392" s="183"/>
      <c r="FL392" s="183"/>
      <c r="FM392" s="183"/>
      <c r="FN392" s="183"/>
      <c r="FO392" s="183"/>
      <c r="FP392" s="183"/>
      <c r="FQ392" s="183"/>
      <c r="FR392" s="183"/>
      <c r="FS392" s="183"/>
      <c r="FT392" s="183"/>
      <c r="FU392" s="183"/>
      <c r="FV392" s="183"/>
      <c r="FW392" s="183"/>
      <c r="FX392" s="183"/>
      <c r="FY392" s="183"/>
      <c r="FZ392" s="183"/>
      <c r="GA392" s="183"/>
      <c r="GB392" s="183"/>
      <c r="GC392" s="183"/>
      <c r="GD392" s="183"/>
      <c r="GE392" s="183"/>
      <c r="GF392" s="183"/>
      <c r="GG392" s="183"/>
      <c r="GH392" s="183"/>
      <c r="GI392" s="183"/>
      <c r="GJ392" s="183"/>
      <c r="GK392" s="183"/>
      <c r="GL392" s="183"/>
      <c r="GM392" s="183"/>
      <c r="GN392" s="183"/>
      <c r="GO392" s="183"/>
      <c r="GP392" s="183"/>
      <c r="GQ392" s="183"/>
      <c r="GR392" s="183"/>
      <c r="GS392" s="183"/>
      <c r="GT392" s="183"/>
      <c r="GU392" s="183"/>
      <c r="GV392" s="183"/>
      <c r="GW392" s="183"/>
      <c r="GX392" s="183"/>
      <c r="GY392" s="183"/>
      <c r="GZ392" s="183"/>
      <c r="HA392" s="183"/>
      <c r="HB392" s="183"/>
      <c r="HC392" s="183"/>
      <c r="HD392" s="183"/>
      <c r="HE392" s="183"/>
      <c r="HF392" s="183"/>
      <c r="HG392" s="183"/>
      <c r="HH392" s="183"/>
      <c r="HI392" s="183"/>
      <c r="HJ392" s="183"/>
      <c r="HK392" s="183"/>
      <c r="HL392" s="183"/>
      <c r="HM392" s="183"/>
      <c r="HN392" s="183"/>
      <c r="HO392" s="183"/>
      <c r="HP392" s="183"/>
      <c r="HQ392" s="183"/>
      <c r="HR392" s="183"/>
      <c r="HS392" s="183"/>
      <c r="HT392" s="183"/>
      <c r="HU392" s="183"/>
      <c r="HV392" s="183"/>
      <c r="HW392" s="183"/>
      <c r="HX392" s="183"/>
      <c r="HY392" s="183"/>
      <c r="HZ392" s="183"/>
      <c r="IA392" s="183"/>
      <c r="IB392" s="183"/>
      <c r="IC392" s="183"/>
      <c r="ID392" s="183"/>
      <c r="IE392" s="183"/>
      <c r="IF392" s="183"/>
      <c r="IG392" s="183"/>
      <c r="IH392" s="183"/>
      <c r="II392" s="183"/>
      <c r="IJ392" s="183"/>
      <c r="IK392" s="183"/>
      <c r="IL392" s="183"/>
      <c r="IM392" s="183"/>
      <c r="IN392" s="183"/>
      <c r="IO392" s="183"/>
      <c r="IP392" s="183"/>
      <c r="IQ392" s="183"/>
    </row>
    <row r="393" spans="1:251" x14ac:dyDescent="0.3">
      <c r="A393" s="268" t="s">
        <v>284</v>
      </c>
      <c r="B393" s="271" t="s">
        <v>46</v>
      </c>
      <c r="C393" s="274" t="s">
        <v>36</v>
      </c>
      <c r="D393" s="265" t="s">
        <v>37</v>
      </c>
      <c r="E393" s="265" t="s">
        <v>38</v>
      </c>
      <c r="F393" s="108" t="s">
        <v>233</v>
      </c>
      <c r="G393" s="286"/>
      <c r="H393" s="289"/>
      <c r="I393" s="290"/>
      <c r="J393" s="290"/>
      <c r="K393" s="290"/>
      <c r="L393" s="290"/>
      <c r="M393" s="290"/>
      <c r="N393" s="290"/>
      <c r="O393" s="290"/>
      <c r="P393" s="290"/>
      <c r="Q393" s="290"/>
      <c r="R393" s="290"/>
      <c r="S393" s="290"/>
      <c r="T393" s="290"/>
      <c r="U393" s="290"/>
      <c r="V393" s="290"/>
      <c r="W393" s="290"/>
      <c r="X393" s="290"/>
      <c r="Y393" s="290"/>
      <c r="Z393" s="290"/>
      <c r="AA393" s="290"/>
      <c r="AB393" s="290"/>
      <c r="AC393" s="290"/>
      <c r="AD393" s="290"/>
      <c r="AE393" s="290"/>
      <c r="AF393" s="290"/>
      <c r="AG393" s="290"/>
      <c r="AH393" s="290"/>
      <c r="AI393" s="290"/>
      <c r="AJ393" s="290"/>
      <c r="AK393" s="290"/>
      <c r="AL393" s="290"/>
      <c r="AM393" s="290"/>
      <c r="AN393" s="290"/>
      <c r="AO393" s="290"/>
      <c r="AP393" s="290"/>
      <c r="AQ393" s="290"/>
      <c r="AR393" s="290"/>
      <c r="AS393" s="290"/>
      <c r="AT393" s="290"/>
      <c r="AU393" s="290"/>
      <c r="AV393" s="290"/>
      <c r="AW393" s="290"/>
      <c r="AX393" s="290"/>
      <c r="AY393" s="290"/>
      <c r="AZ393" s="290"/>
      <c r="BA393" s="290"/>
      <c r="BB393" s="290"/>
      <c r="BC393" s="290"/>
      <c r="BD393" s="290"/>
      <c r="BE393" s="290"/>
      <c r="BF393" s="290"/>
      <c r="BG393" s="290"/>
      <c r="BH393" s="290"/>
      <c r="BI393" s="290"/>
      <c r="BJ393" s="290"/>
      <c r="BK393" s="290"/>
      <c r="BL393" s="290"/>
      <c r="BM393" s="290"/>
      <c r="BN393" s="290"/>
      <c r="BO393" s="290"/>
      <c r="BP393" s="290"/>
      <c r="BQ393" s="290"/>
      <c r="BR393" s="290"/>
      <c r="BS393" s="290"/>
      <c r="BT393" s="290"/>
      <c r="BU393" s="290"/>
      <c r="BV393" s="290"/>
      <c r="BW393" s="290"/>
      <c r="BX393" s="290"/>
      <c r="BY393" s="290"/>
      <c r="BZ393" s="290"/>
      <c r="CA393" s="290"/>
      <c r="CB393" s="290"/>
      <c r="CC393" s="290"/>
      <c r="CD393" s="290"/>
      <c r="CE393" s="290"/>
      <c r="CF393" s="290"/>
      <c r="CG393" s="290"/>
      <c r="CH393" s="290"/>
      <c r="CI393" s="290"/>
      <c r="CJ393" s="290"/>
      <c r="CK393" s="290"/>
      <c r="CL393" s="290"/>
      <c r="CM393" s="290"/>
      <c r="CN393" s="290"/>
      <c r="CO393" s="290"/>
      <c r="CP393" s="290"/>
      <c r="CQ393" s="290"/>
      <c r="CR393" s="290"/>
      <c r="CS393" s="290"/>
      <c r="CT393" s="290"/>
      <c r="CU393" s="290"/>
      <c r="CV393" s="290"/>
      <c r="CW393" s="290"/>
      <c r="CX393" s="290"/>
      <c r="CY393" s="290"/>
      <c r="CZ393" s="290"/>
      <c r="DA393" s="290"/>
      <c r="DB393" s="290"/>
      <c r="DC393" s="290"/>
      <c r="DD393" s="290"/>
      <c r="DE393" s="290"/>
      <c r="DF393" s="290"/>
      <c r="DG393" s="290"/>
      <c r="DH393" s="290"/>
      <c r="DI393" s="290"/>
      <c r="DJ393" s="290"/>
      <c r="DK393" s="290"/>
      <c r="DL393" s="290"/>
      <c r="DM393" s="290"/>
      <c r="DN393" s="290"/>
      <c r="DO393" s="290"/>
      <c r="DP393" s="290"/>
      <c r="DQ393" s="290"/>
      <c r="DR393" s="290"/>
      <c r="DS393" s="290"/>
      <c r="DT393" s="290"/>
      <c r="DU393" s="290"/>
      <c r="DV393" s="290"/>
      <c r="DW393" s="290"/>
      <c r="DX393" s="290"/>
      <c r="DY393" s="290"/>
      <c r="DZ393" s="290"/>
      <c r="EA393" s="290"/>
      <c r="EB393" s="290"/>
      <c r="EC393" s="290"/>
      <c r="ED393" s="290"/>
      <c r="EE393" s="290"/>
      <c r="EF393" s="290"/>
      <c r="EG393" s="290"/>
      <c r="EH393" s="290"/>
      <c r="EI393" s="290"/>
      <c r="EJ393" s="290"/>
      <c r="EK393" s="290"/>
      <c r="EL393" s="290"/>
      <c r="EM393" s="290"/>
      <c r="EN393" s="290"/>
      <c r="EO393" s="290"/>
      <c r="EP393" s="290"/>
      <c r="EQ393" s="290"/>
      <c r="ER393" s="290"/>
      <c r="ES393" s="290"/>
      <c r="ET393" s="290"/>
      <c r="EU393" s="290"/>
      <c r="EV393" s="290"/>
      <c r="EW393" s="290"/>
      <c r="EX393" s="290"/>
      <c r="EY393" s="290"/>
      <c r="EZ393" s="290"/>
      <c r="FA393" s="290"/>
      <c r="FB393" s="290"/>
      <c r="FC393" s="290"/>
      <c r="FD393" s="290"/>
      <c r="FE393" s="290"/>
      <c r="FF393" s="290"/>
      <c r="FG393" s="290"/>
      <c r="FH393" s="290"/>
      <c r="FI393" s="290"/>
      <c r="FJ393" s="290"/>
      <c r="FK393" s="290"/>
      <c r="FL393" s="290"/>
      <c r="FM393" s="290"/>
      <c r="FN393" s="290"/>
      <c r="FO393" s="290"/>
      <c r="FP393" s="290"/>
      <c r="FQ393" s="290"/>
      <c r="FR393" s="290"/>
      <c r="FS393" s="290"/>
      <c r="FT393" s="290"/>
      <c r="FU393" s="290"/>
      <c r="FV393" s="290"/>
      <c r="FW393" s="290"/>
      <c r="FX393" s="290"/>
      <c r="FY393" s="290"/>
      <c r="FZ393" s="290"/>
      <c r="GA393" s="290"/>
      <c r="GB393" s="290"/>
      <c r="GC393" s="290"/>
      <c r="GD393" s="290"/>
      <c r="GE393" s="290"/>
      <c r="GF393" s="290"/>
      <c r="GG393" s="290"/>
      <c r="GH393" s="290"/>
      <c r="GI393" s="290"/>
      <c r="GJ393" s="290"/>
      <c r="GK393" s="290"/>
      <c r="GL393" s="290"/>
      <c r="GM393" s="290"/>
      <c r="GN393" s="290"/>
      <c r="GO393" s="290"/>
      <c r="GP393" s="290"/>
      <c r="GQ393" s="290"/>
      <c r="GR393" s="290"/>
      <c r="GS393" s="290"/>
      <c r="GT393" s="290"/>
      <c r="GU393" s="290"/>
      <c r="GV393" s="290"/>
      <c r="GW393" s="290"/>
      <c r="GX393" s="290"/>
      <c r="GY393" s="290"/>
      <c r="GZ393" s="290"/>
      <c r="HA393" s="290"/>
      <c r="HB393" s="290"/>
      <c r="HC393" s="290"/>
      <c r="HD393" s="290"/>
      <c r="HE393" s="290"/>
      <c r="HF393" s="290"/>
      <c r="HG393" s="290"/>
      <c r="HH393" s="290"/>
      <c r="HI393" s="290"/>
      <c r="HJ393" s="290"/>
      <c r="HK393" s="290"/>
      <c r="HL393" s="290"/>
      <c r="HM393" s="290"/>
      <c r="HN393" s="290"/>
      <c r="HO393" s="290"/>
      <c r="HP393" s="290"/>
      <c r="HQ393" s="290"/>
      <c r="HR393" s="290"/>
      <c r="HS393" s="290"/>
      <c r="HT393" s="290"/>
      <c r="HU393" s="290"/>
      <c r="HV393" s="290"/>
      <c r="HW393" s="290"/>
      <c r="HX393" s="290"/>
      <c r="HY393" s="290"/>
      <c r="HZ393" s="290"/>
      <c r="IA393" s="290"/>
      <c r="IB393" s="290"/>
      <c r="IC393" s="290"/>
      <c r="ID393" s="290"/>
      <c r="IE393" s="290"/>
      <c r="IF393" s="290"/>
      <c r="IG393" s="290"/>
      <c r="IH393" s="290"/>
      <c r="II393" s="290"/>
      <c r="IJ393" s="290"/>
      <c r="IK393" s="290"/>
      <c r="IL393" s="290"/>
      <c r="IM393" s="290"/>
      <c r="IN393" s="290"/>
      <c r="IO393" s="290"/>
      <c r="IP393" s="290"/>
      <c r="IQ393" s="290"/>
    </row>
    <row r="394" spans="1:251" x14ac:dyDescent="0.3">
      <c r="A394" s="269"/>
      <c r="B394" s="272"/>
      <c r="C394" s="275"/>
      <c r="D394" s="266"/>
      <c r="E394" s="266"/>
      <c r="F394" s="109" t="s">
        <v>234</v>
      </c>
      <c r="G394" s="287"/>
      <c r="H394" s="289"/>
      <c r="I394" s="290"/>
      <c r="J394" s="290"/>
      <c r="K394" s="290"/>
      <c r="L394" s="290"/>
      <c r="M394" s="290"/>
      <c r="N394" s="290"/>
      <c r="O394" s="290"/>
      <c r="P394" s="290"/>
      <c r="Q394" s="290"/>
      <c r="R394" s="290"/>
      <c r="S394" s="290"/>
      <c r="T394" s="290"/>
      <c r="U394" s="290"/>
      <c r="V394" s="290"/>
      <c r="W394" s="290"/>
      <c r="X394" s="290"/>
      <c r="Y394" s="290"/>
      <c r="Z394" s="290"/>
      <c r="AA394" s="290"/>
      <c r="AB394" s="290"/>
      <c r="AC394" s="290"/>
      <c r="AD394" s="290"/>
      <c r="AE394" s="290"/>
      <c r="AF394" s="290"/>
      <c r="AG394" s="290"/>
      <c r="AH394" s="290"/>
      <c r="AI394" s="290"/>
      <c r="AJ394" s="290"/>
      <c r="AK394" s="290"/>
      <c r="AL394" s="290"/>
      <c r="AM394" s="290"/>
      <c r="AN394" s="290"/>
      <c r="AO394" s="290"/>
      <c r="AP394" s="290"/>
      <c r="AQ394" s="290"/>
      <c r="AR394" s="290"/>
      <c r="AS394" s="290"/>
      <c r="AT394" s="290"/>
      <c r="AU394" s="290"/>
      <c r="AV394" s="290"/>
      <c r="AW394" s="290"/>
      <c r="AX394" s="290"/>
      <c r="AY394" s="290"/>
      <c r="AZ394" s="290"/>
      <c r="BA394" s="290"/>
      <c r="BB394" s="290"/>
      <c r="BC394" s="290"/>
      <c r="BD394" s="290"/>
      <c r="BE394" s="290"/>
      <c r="BF394" s="290"/>
      <c r="BG394" s="290"/>
      <c r="BH394" s="290"/>
      <c r="BI394" s="290"/>
      <c r="BJ394" s="290"/>
      <c r="BK394" s="290"/>
      <c r="BL394" s="290"/>
      <c r="BM394" s="290"/>
      <c r="BN394" s="290"/>
      <c r="BO394" s="290"/>
      <c r="BP394" s="290"/>
      <c r="BQ394" s="290"/>
      <c r="BR394" s="290"/>
      <c r="BS394" s="290"/>
      <c r="BT394" s="290"/>
      <c r="BU394" s="290"/>
      <c r="BV394" s="290"/>
      <c r="BW394" s="290"/>
      <c r="BX394" s="290"/>
      <c r="BY394" s="290"/>
      <c r="BZ394" s="290"/>
      <c r="CA394" s="290"/>
      <c r="CB394" s="290"/>
      <c r="CC394" s="290"/>
      <c r="CD394" s="290"/>
      <c r="CE394" s="290"/>
      <c r="CF394" s="290"/>
      <c r="CG394" s="290"/>
      <c r="CH394" s="290"/>
      <c r="CI394" s="290"/>
      <c r="CJ394" s="290"/>
      <c r="CK394" s="290"/>
      <c r="CL394" s="290"/>
      <c r="CM394" s="290"/>
      <c r="CN394" s="290"/>
      <c r="CO394" s="290"/>
      <c r="CP394" s="290"/>
      <c r="CQ394" s="290"/>
      <c r="CR394" s="290"/>
      <c r="CS394" s="290"/>
      <c r="CT394" s="290"/>
      <c r="CU394" s="290"/>
      <c r="CV394" s="290"/>
      <c r="CW394" s="290"/>
      <c r="CX394" s="290"/>
      <c r="CY394" s="290"/>
      <c r="CZ394" s="290"/>
      <c r="DA394" s="290"/>
      <c r="DB394" s="290"/>
      <c r="DC394" s="290"/>
      <c r="DD394" s="290"/>
      <c r="DE394" s="290"/>
      <c r="DF394" s="290"/>
      <c r="DG394" s="290"/>
      <c r="DH394" s="290"/>
      <c r="DI394" s="290"/>
      <c r="DJ394" s="290"/>
      <c r="DK394" s="290"/>
      <c r="DL394" s="290"/>
      <c r="DM394" s="290"/>
      <c r="DN394" s="290"/>
      <c r="DO394" s="290"/>
      <c r="DP394" s="290"/>
      <c r="DQ394" s="290"/>
      <c r="DR394" s="290"/>
      <c r="DS394" s="290"/>
      <c r="DT394" s="290"/>
      <c r="DU394" s="290"/>
      <c r="DV394" s="290"/>
      <c r="DW394" s="290"/>
      <c r="DX394" s="290"/>
      <c r="DY394" s="290"/>
      <c r="DZ394" s="290"/>
      <c r="EA394" s="290"/>
      <c r="EB394" s="290"/>
      <c r="EC394" s="290"/>
      <c r="ED394" s="290"/>
      <c r="EE394" s="290"/>
      <c r="EF394" s="290"/>
      <c r="EG394" s="290"/>
      <c r="EH394" s="290"/>
      <c r="EI394" s="290"/>
      <c r="EJ394" s="290"/>
      <c r="EK394" s="290"/>
      <c r="EL394" s="290"/>
      <c r="EM394" s="290"/>
      <c r="EN394" s="290"/>
      <c r="EO394" s="290"/>
      <c r="EP394" s="290"/>
      <c r="EQ394" s="290"/>
      <c r="ER394" s="290"/>
      <c r="ES394" s="290"/>
      <c r="ET394" s="290"/>
      <c r="EU394" s="290"/>
      <c r="EV394" s="290"/>
      <c r="EW394" s="290"/>
      <c r="EX394" s="290"/>
      <c r="EY394" s="290"/>
      <c r="EZ394" s="290"/>
      <c r="FA394" s="290"/>
      <c r="FB394" s="290"/>
      <c r="FC394" s="290"/>
      <c r="FD394" s="290"/>
      <c r="FE394" s="290"/>
      <c r="FF394" s="290"/>
      <c r="FG394" s="290"/>
      <c r="FH394" s="290"/>
      <c r="FI394" s="290"/>
      <c r="FJ394" s="290"/>
      <c r="FK394" s="290"/>
      <c r="FL394" s="290"/>
      <c r="FM394" s="290"/>
      <c r="FN394" s="290"/>
      <c r="FO394" s="290"/>
      <c r="FP394" s="290"/>
      <c r="FQ394" s="290"/>
      <c r="FR394" s="290"/>
      <c r="FS394" s="290"/>
      <c r="FT394" s="290"/>
      <c r="FU394" s="290"/>
      <c r="FV394" s="290"/>
      <c r="FW394" s="290"/>
      <c r="FX394" s="290"/>
      <c r="FY394" s="290"/>
      <c r="FZ394" s="290"/>
      <c r="GA394" s="290"/>
      <c r="GB394" s="290"/>
      <c r="GC394" s="290"/>
      <c r="GD394" s="290"/>
      <c r="GE394" s="290"/>
      <c r="GF394" s="290"/>
      <c r="GG394" s="290"/>
      <c r="GH394" s="290"/>
      <c r="GI394" s="290"/>
      <c r="GJ394" s="290"/>
      <c r="GK394" s="290"/>
      <c r="GL394" s="290"/>
      <c r="GM394" s="290"/>
      <c r="GN394" s="290"/>
      <c r="GO394" s="290"/>
      <c r="GP394" s="290"/>
      <c r="GQ394" s="290"/>
      <c r="GR394" s="290"/>
      <c r="GS394" s="290"/>
      <c r="GT394" s="290"/>
      <c r="GU394" s="290"/>
      <c r="GV394" s="290"/>
      <c r="GW394" s="290"/>
      <c r="GX394" s="290"/>
      <c r="GY394" s="290"/>
      <c r="GZ394" s="290"/>
      <c r="HA394" s="290"/>
      <c r="HB394" s="290"/>
      <c r="HC394" s="290"/>
      <c r="HD394" s="290"/>
      <c r="HE394" s="290"/>
      <c r="HF394" s="290"/>
      <c r="HG394" s="290"/>
      <c r="HH394" s="290"/>
      <c r="HI394" s="290"/>
      <c r="HJ394" s="290"/>
      <c r="HK394" s="290"/>
      <c r="HL394" s="290"/>
      <c r="HM394" s="290"/>
      <c r="HN394" s="290"/>
      <c r="HO394" s="290"/>
      <c r="HP394" s="290"/>
      <c r="HQ394" s="290"/>
      <c r="HR394" s="290"/>
      <c r="HS394" s="290"/>
      <c r="HT394" s="290"/>
      <c r="HU394" s="290"/>
      <c r="HV394" s="290"/>
      <c r="HW394" s="290"/>
      <c r="HX394" s="290"/>
      <c r="HY394" s="290"/>
      <c r="HZ394" s="290"/>
      <c r="IA394" s="290"/>
      <c r="IB394" s="290"/>
      <c r="IC394" s="290"/>
      <c r="ID394" s="290"/>
      <c r="IE394" s="290"/>
      <c r="IF394" s="290"/>
      <c r="IG394" s="290"/>
      <c r="IH394" s="290"/>
      <c r="II394" s="290"/>
      <c r="IJ394" s="290"/>
      <c r="IK394" s="290"/>
      <c r="IL394" s="290"/>
      <c r="IM394" s="290"/>
      <c r="IN394" s="290"/>
      <c r="IO394" s="290"/>
      <c r="IP394" s="290"/>
      <c r="IQ394" s="290"/>
    </row>
    <row r="395" spans="1:251" x14ac:dyDescent="0.3">
      <c r="A395" s="270"/>
      <c r="B395" s="273"/>
      <c r="C395" s="276"/>
      <c r="D395" s="267"/>
      <c r="E395" s="267"/>
      <c r="F395" s="110" t="s">
        <v>235</v>
      </c>
      <c r="G395" s="288"/>
      <c r="H395" s="289"/>
      <c r="I395" s="290"/>
      <c r="J395" s="290"/>
      <c r="K395" s="290"/>
      <c r="L395" s="290"/>
      <c r="M395" s="290"/>
      <c r="N395" s="290"/>
      <c r="O395" s="290"/>
      <c r="P395" s="290"/>
      <c r="Q395" s="290"/>
      <c r="R395" s="290"/>
      <c r="S395" s="290"/>
      <c r="T395" s="290"/>
      <c r="U395" s="290"/>
      <c r="V395" s="290"/>
      <c r="W395" s="290"/>
      <c r="X395" s="290"/>
      <c r="Y395" s="290"/>
      <c r="Z395" s="290"/>
      <c r="AA395" s="290"/>
      <c r="AB395" s="290"/>
      <c r="AC395" s="290"/>
      <c r="AD395" s="290"/>
      <c r="AE395" s="290"/>
      <c r="AF395" s="290"/>
      <c r="AG395" s="290"/>
      <c r="AH395" s="290"/>
      <c r="AI395" s="290"/>
      <c r="AJ395" s="290"/>
      <c r="AK395" s="290"/>
      <c r="AL395" s="290"/>
      <c r="AM395" s="290"/>
      <c r="AN395" s="290"/>
      <c r="AO395" s="290"/>
      <c r="AP395" s="290"/>
      <c r="AQ395" s="290"/>
      <c r="AR395" s="290"/>
      <c r="AS395" s="290"/>
      <c r="AT395" s="290"/>
      <c r="AU395" s="290"/>
      <c r="AV395" s="290"/>
      <c r="AW395" s="290"/>
      <c r="AX395" s="290"/>
      <c r="AY395" s="290"/>
      <c r="AZ395" s="290"/>
      <c r="BA395" s="290"/>
      <c r="BB395" s="290"/>
      <c r="BC395" s="290"/>
      <c r="BD395" s="290"/>
      <c r="BE395" s="290"/>
      <c r="BF395" s="290"/>
      <c r="BG395" s="290"/>
      <c r="BH395" s="290"/>
      <c r="BI395" s="290"/>
      <c r="BJ395" s="290"/>
      <c r="BK395" s="290"/>
      <c r="BL395" s="290"/>
      <c r="BM395" s="290"/>
      <c r="BN395" s="290"/>
      <c r="BO395" s="290"/>
      <c r="BP395" s="290"/>
      <c r="BQ395" s="290"/>
      <c r="BR395" s="290"/>
      <c r="BS395" s="290"/>
      <c r="BT395" s="290"/>
      <c r="BU395" s="290"/>
      <c r="BV395" s="290"/>
      <c r="BW395" s="290"/>
      <c r="BX395" s="290"/>
      <c r="BY395" s="290"/>
      <c r="BZ395" s="290"/>
      <c r="CA395" s="290"/>
      <c r="CB395" s="290"/>
      <c r="CC395" s="290"/>
      <c r="CD395" s="290"/>
      <c r="CE395" s="290"/>
      <c r="CF395" s="290"/>
      <c r="CG395" s="290"/>
      <c r="CH395" s="290"/>
      <c r="CI395" s="290"/>
      <c r="CJ395" s="290"/>
      <c r="CK395" s="290"/>
      <c r="CL395" s="290"/>
      <c r="CM395" s="290"/>
      <c r="CN395" s="290"/>
      <c r="CO395" s="290"/>
      <c r="CP395" s="290"/>
      <c r="CQ395" s="290"/>
      <c r="CR395" s="290"/>
      <c r="CS395" s="290"/>
      <c r="CT395" s="290"/>
      <c r="CU395" s="290"/>
      <c r="CV395" s="290"/>
      <c r="CW395" s="290"/>
      <c r="CX395" s="290"/>
      <c r="CY395" s="290"/>
      <c r="CZ395" s="290"/>
      <c r="DA395" s="290"/>
      <c r="DB395" s="290"/>
      <c r="DC395" s="290"/>
      <c r="DD395" s="290"/>
      <c r="DE395" s="290"/>
      <c r="DF395" s="290"/>
      <c r="DG395" s="290"/>
      <c r="DH395" s="290"/>
      <c r="DI395" s="290"/>
      <c r="DJ395" s="290"/>
      <c r="DK395" s="290"/>
      <c r="DL395" s="290"/>
      <c r="DM395" s="290"/>
      <c r="DN395" s="290"/>
      <c r="DO395" s="290"/>
      <c r="DP395" s="290"/>
      <c r="DQ395" s="290"/>
      <c r="DR395" s="290"/>
      <c r="DS395" s="290"/>
      <c r="DT395" s="290"/>
      <c r="DU395" s="290"/>
      <c r="DV395" s="290"/>
      <c r="DW395" s="290"/>
      <c r="DX395" s="290"/>
      <c r="DY395" s="290"/>
      <c r="DZ395" s="290"/>
      <c r="EA395" s="290"/>
      <c r="EB395" s="290"/>
      <c r="EC395" s="290"/>
      <c r="ED395" s="290"/>
      <c r="EE395" s="290"/>
      <c r="EF395" s="290"/>
      <c r="EG395" s="290"/>
      <c r="EH395" s="290"/>
      <c r="EI395" s="290"/>
      <c r="EJ395" s="290"/>
      <c r="EK395" s="290"/>
      <c r="EL395" s="290"/>
      <c r="EM395" s="290"/>
      <c r="EN395" s="290"/>
      <c r="EO395" s="290"/>
      <c r="EP395" s="290"/>
      <c r="EQ395" s="290"/>
      <c r="ER395" s="290"/>
      <c r="ES395" s="290"/>
      <c r="ET395" s="290"/>
      <c r="EU395" s="290"/>
      <c r="EV395" s="290"/>
      <c r="EW395" s="290"/>
      <c r="EX395" s="290"/>
      <c r="EY395" s="290"/>
      <c r="EZ395" s="290"/>
      <c r="FA395" s="290"/>
      <c r="FB395" s="290"/>
      <c r="FC395" s="290"/>
      <c r="FD395" s="290"/>
      <c r="FE395" s="290"/>
      <c r="FF395" s="290"/>
      <c r="FG395" s="290"/>
      <c r="FH395" s="290"/>
      <c r="FI395" s="290"/>
      <c r="FJ395" s="290"/>
      <c r="FK395" s="290"/>
      <c r="FL395" s="290"/>
      <c r="FM395" s="290"/>
      <c r="FN395" s="290"/>
      <c r="FO395" s="290"/>
      <c r="FP395" s="290"/>
      <c r="FQ395" s="290"/>
      <c r="FR395" s="290"/>
      <c r="FS395" s="290"/>
      <c r="FT395" s="290"/>
      <c r="FU395" s="290"/>
      <c r="FV395" s="290"/>
      <c r="FW395" s="290"/>
      <c r="FX395" s="290"/>
      <c r="FY395" s="290"/>
      <c r="FZ395" s="290"/>
      <c r="GA395" s="290"/>
      <c r="GB395" s="290"/>
      <c r="GC395" s="290"/>
      <c r="GD395" s="290"/>
      <c r="GE395" s="290"/>
      <c r="GF395" s="290"/>
      <c r="GG395" s="290"/>
      <c r="GH395" s="290"/>
      <c r="GI395" s="290"/>
      <c r="GJ395" s="290"/>
      <c r="GK395" s="290"/>
      <c r="GL395" s="290"/>
      <c r="GM395" s="290"/>
      <c r="GN395" s="290"/>
      <c r="GO395" s="290"/>
      <c r="GP395" s="290"/>
      <c r="GQ395" s="290"/>
      <c r="GR395" s="290"/>
      <c r="GS395" s="290"/>
      <c r="GT395" s="290"/>
      <c r="GU395" s="290"/>
      <c r="GV395" s="290"/>
      <c r="GW395" s="290"/>
      <c r="GX395" s="290"/>
      <c r="GY395" s="290"/>
      <c r="GZ395" s="290"/>
      <c r="HA395" s="290"/>
      <c r="HB395" s="290"/>
      <c r="HC395" s="290"/>
      <c r="HD395" s="290"/>
      <c r="HE395" s="290"/>
      <c r="HF395" s="290"/>
      <c r="HG395" s="290"/>
      <c r="HH395" s="290"/>
      <c r="HI395" s="290"/>
      <c r="HJ395" s="290"/>
      <c r="HK395" s="290"/>
      <c r="HL395" s="290"/>
      <c r="HM395" s="290"/>
      <c r="HN395" s="290"/>
      <c r="HO395" s="290"/>
      <c r="HP395" s="290"/>
      <c r="HQ395" s="290"/>
      <c r="HR395" s="290"/>
      <c r="HS395" s="290"/>
      <c r="HT395" s="290"/>
      <c r="HU395" s="290"/>
      <c r="HV395" s="290"/>
      <c r="HW395" s="290"/>
      <c r="HX395" s="290"/>
      <c r="HY395" s="290"/>
      <c r="HZ395" s="290"/>
      <c r="IA395" s="290"/>
      <c r="IB395" s="290"/>
      <c r="IC395" s="290"/>
      <c r="ID395" s="290"/>
      <c r="IE395" s="290"/>
      <c r="IF395" s="290"/>
      <c r="IG395" s="290"/>
      <c r="IH395" s="290"/>
      <c r="II395" s="290"/>
      <c r="IJ395" s="290"/>
      <c r="IK395" s="290"/>
      <c r="IL395" s="290"/>
      <c r="IM395" s="290"/>
      <c r="IN395" s="290"/>
      <c r="IO395" s="290"/>
      <c r="IP395" s="290"/>
      <c r="IQ395" s="290"/>
    </row>
    <row r="396" spans="1:251" x14ac:dyDescent="0.3">
      <c r="A396" s="268" t="s">
        <v>284</v>
      </c>
      <c r="B396" s="271" t="s">
        <v>48</v>
      </c>
      <c r="C396" s="274" t="s">
        <v>49</v>
      </c>
      <c r="D396" s="265" t="s">
        <v>37</v>
      </c>
      <c r="E396" s="265" t="s">
        <v>38</v>
      </c>
      <c r="F396" s="111" t="s">
        <v>236</v>
      </c>
      <c r="G396" s="286"/>
      <c r="H396" s="289"/>
      <c r="I396" s="290"/>
      <c r="J396" s="290"/>
      <c r="K396" s="290"/>
      <c r="L396" s="290"/>
      <c r="M396" s="290"/>
      <c r="N396" s="290"/>
      <c r="O396" s="290"/>
      <c r="P396" s="290"/>
      <c r="Q396" s="290"/>
      <c r="R396" s="290"/>
      <c r="S396" s="290"/>
      <c r="T396" s="290"/>
      <c r="U396" s="290"/>
      <c r="V396" s="290"/>
      <c r="W396" s="290"/>
      <c r="X396" s="290"/>
      <c r="Y396" s="290"/>
      <c r="Z396" s="290"/>
      <c r="AA396" s="290"/>
      <c r="AB396" s="290"/>
      <c r="AC396" s="290"/>
      <c r="AD396" s="290"/>
      <c r="AE396" s="290"/>
      <c r="AF396" s="290"/>
      <c r="AG396" s="290"/>
      <c r="AH396" s="290"/>
      <c r="AI396" s="290"/>
      <c r="AJ396" s="290"/>
      <c r="AK396" s="290"/>
      <c r="AL396" s="290"/>
      <c r="AM396" s="290"/>
      <c r="AN396" s="290"/>
      <c r="AO396" s="290"/>
      <c r="AP396" s="290"/>
      <c r="AQ396" s="290"/>
      <c r="AR396" s="290"/>
      <c r="AS396" s="290"/>
      <c r="AT396" s="290"/>
      <c r="AU396" s="290"/>
      <c r="AV396" s="290"/>
      <c r="AW396" s="290"/>
      <c r="AX396" s="290"/>
      <c r="AY396" s="290"/>
      <c r="AZ396" s="290"/>
      <c r="BA396" s="290"/>
      <c r="BB396" s="290"/>
      <c r="BC396" s="290"/>
      <c r="BD396" s="290"/>
      <c r="BE396" s="290"/>
      <c r="BF396" s="290"/>
      <c r="BG396" s="290"/>
      <c r="BH396" s="290"/>
      <c r="BI396" s="290"/>
      <c r="BJ396" s="290"/>
      <c r="BK396" s="290"/>
      <c r="BL396" s="290"/>
      <c r="BM396" s="290"/>
      <c r="BN396" s="290"/>
      <c r="BO396" s="290"/>
      <c r="BP396" s="290"/>
      <c r="BQ396" s="290"/>
      <c r="BR396" s="290"/>
      <c r="BS396" s="290"/>
      <c r="BT396" s="290"/>
      <c r="BU396" s="290"/>
      <c r="BV396" s="290"/>
      <c r="BW396" s="290"/>
      <c r="BX396" s="290"/>
      <c r="BY396" s="290"/>
      <c r="BZ396" s="290"/>
      <c r="CA396" s="290"/>
      <c r="CB396" s="290"/>
      <c r="CC396" s="290"/>
      <c r="CD396" s="290"/>
      <c r="CE396" s="290"/>
      <c r="CF396" s="290"/>
      <c r="CG396" s="290"/>
      <c r="CH396" s="290"/>
      <c r="CI396" s="290"/>
      <c r="CJ396" s="290"/>
      <c r="CK396" s="290"/>
      <c r="CL396" s="290"/>
      <c r="CM396" s="290"/>
      <c r="CN396" s="290"/>
      <c r="CO396" s="290"/>
      <c r="CP396" s="290"/>
      <c r="CQ396" s="290"/>
      <c r="CR396" s="290"/>
      <c r="CS396" s="290"/>
      <c r="CT396" s="290"/>
      <c r="CU396" s="290"/>
      <c r="CV396" s="290"/>
      <c r="CW396" s="290"/>
      <c r="CX396" s="290"/>
      <c r="CY396" s="290"/>
      <c r="CZ396" s="290"/>
      <c r="DA396" s="290"/>
      <c r="DB396" s="290"/>
      <c r="DC396" s="290"/>
      <c r="DD396" s="290"/>
      <c r="DE396" s="290"/>
      <c r="DF396" s="290"/>
      <c r="DG396" s="290"/>
      <c r="DH396" s="290"/>
      <c r="DI396" s="290"/>
      <c r="DJ396" s="290"/>
      <c r="DK396" s="290"/>
      <c r="DL396" s="290"/>
      <c r="DM396" s="290"/>
      <c r="DN396" s="290"/>
      <c r="DO396" s="290"/>
      <c r="DP396" s="290"/>
      <c r="DQ396" s="290"/>
      <c r="DR396" s="290"/>
      <c r="DS396" s="290"/>
      <c r="DT396" s="290"/>
      <c r="DU396" s="290"/>
      <c r="DV396" s="290"/>
      <c r="DW396" s="290"/>
      <c r="DX396" s="290"/>
      <c r="DY396" s="290"/>
      <c r="DZ396" s="290"/>
      <c r="EA396" s="290"/>
      <c r="EB396" s="290"/>
      <c r="EC396" s="290"/>
      <c r="ED396" s="290"/>
      <c r="EE396" s="290"/>
      <c r="EF396" s="290"/>
      <c r="EG396" s="290"/>
      <c r="EH396" s="290"/>
      <c r="EI396" s="290"/>
      <c r="EJ396" s="290"/>
      <c r="EK396" s="290"/>
      <c r="EL396" s="290"/>
      <c r="EM396" s="290"/>
      <c r="EN396" s="290"/>
      <c r="EO396" s="290"/>
      <c r="EP396" s="290"/>
      <c r="EQ396" s="290"/>
      <c r="ER396" s="290"/>
      <c r="ES396" s="290"/>
      <c r="ET396" s="290"/>
      <c r="EU396" s="290"/>
      <c r="EV396" s="290"/>
      <c r="EW396" s="290"/>
      <c r="EX396" s="290"/>
      <c r="EY396" s="290"/>
      <c r="EZ396" s="290"/>
      <c r="FA396" s="290"/>
      <c r="FB396" s="290"/>
      <c r="FC396" s="290"/>
      <c r="FD396" s="290"/>
      <c r="FE396" s="290"/>
      <c r="FF396" s="290"/>
      <c r="FG396" s="290"/>
      <c r="FH396" s="290"/>
      <c r="FI396" s="290"/>
      <c r="FJ396" s="290"/>
      <c r="FK396" s="290"/>
      <c r="FL396" s="290"/>
      <c r="FM396" s="290"/>
      <c r="FN396" s="290"/>
      <c r="FO396" s="290"/>
      <c r="FP396" s="290"/>
      <c r="FQ396" s="290"/>
      <c r="FR396" s="290"/>
      <c r="FS396" s="290"/>
      <c r="FT396" s="290"/>
      <c r="FU396" s="290"/>
      <c r="FV396" s="290"/>
      <c r="FW396" s="290"/>
      <c r="FX396" s="290"/>
      <c r="FY396" s="290"/>
      <c r="FZ396" s="290"/>
      <c r="GA396" s="290"/>
      <c r="GB396" s="290"/>
      <c r="GC396" s="290"/>
      <c r="GD396" s="290"/>
      <c r="GE396" s="290"/>
      <c r="GF396" s="290"/>
      <c r="GG396" s="290"/>
      <c r="GH396" s="290"/>
      <c r="GI396" s="290"/>
      <c r="GJ396" s="290"/>
      <c r="GK396" s="290"/>
      <c r="GL396" s="290"/>
      <c r="GM396" s="290"/>
      <c r="GN396" s="290"/>
      <c r="GO396" s="290"/>
      <c r="GP396" s="290"/>
      <c r="GQ396" s="290"/>
      <c r="GR396" s="290"/>
      <c r="GS396" s="290"/>
      <c r="GT396" s="290"/>
      <c r="GU396" s="290"/>
      <c r="GV396" s="290"/>
      <c r="GW396" s="290"/>
      <c r="GX396" s="290"/>
      <c r="GY396" s="290"/>
      <c r="GZ396" s="290"/>
      <c r="HA396" s="290"/>
      <c r="HB396" s="290"/>
      <c r="HC396" s="290"/>
      <c r="HD396" s="290"/>
      <c r="HE396" s="290"/>
      <c r="HF396" s="290"/>
      <c r="HG396" s="290"/>
      <c r="HH396" s="290"/>
      <c r="HI396" s="290"/>
      <c r="HJ396" s="290"/>
      <c r="HK396" s="290"/>
      <c r="HL396" s="290"/>
      <c r="HM396" s="290"/>
      <c r="HN396" s="290"/>
      <c r="HO396" s="290"/>
      <c r="HP396" s="290"/>
      <c r="HQ396" s="290"/>
      <c r="HR396" s="290"/>
      <c r="HS396" s="290"/>
      <c r="HT396" s="290"/>
      <c r="HU396" s="290"/>
      <c r="HV396" s="290"/>
      <c r="HW396" s="290"/>
      <c r="HX396" s="290"/>
      <c r="HY396" s="290"/>
      <c r="HZ396" s="290"/>
      <c r="IA396" s="290"/>
      <c r="IB396" s="290"/>
      <c r="IC396" s="290"/>
      <c r="ID396" s="290"/>
      <c r="IE396" s="290"/>
      <c r="IF396" s="290"/>
      <c r="IG396" s="290"/>
      <c r="IH396" s="290"/>
      <c r="II396" s="290"/>
      <c r="IJ396" s="290"/>
      <c r="IK396" s="290"/>
      <c r="IL396" s="290"/>
      <c r="IM396" s="290"/>
      <c r="IN396" s="290"/>
      <c r="IO396" s="290"/>
      <c r="IP396" s="290"/>
      <c r="IQ396" s="290"/>
    </row>
    <row r="397" spans="1:251" x14ac:dyDescent="0.3">
      <c r="A397" s="269"/>
      <c r="B397" s="272"/>
      <c r="C397" s="275"/>
      <c r="D397" s="266"/>
      <c r="E397" s="266"/>
      <c r="F397" s="112" t="s">
        <v>237</v>
      </c>
      <c r="G397" s="287"/>
      <c r="H397" s="289"/>
      <c r="I397" s="290"/>
      <c r="J397" s="290"/>
      <c r="K397" s="290"/>
      <c r="L397" s="290"/>
      <c r="M397" s="290"/>
      <c r="N397" s="290"/>
      <c r="O397" s="290"/>
      <c r="P397" s="290"/>
      <c r="Q397" s="290"/>
      <c r="R397" s="290"/>
      <c r="S397" s="290"/>
      <c r="T397" s="290"/>
      <c r="U397" s="290"/>
      <c r="V397" s="290"/>
      <c r="W397" s="290"/>
      <c r="X397" s="290"/>
      <c r="Y397" s="290"/>
      <c r="Z397" s="290"/>
      <c r="AA397" s="290"/>
      <c r="AB397" s="290"/>
      <c r="AC397" s="290"/>
      <c r="AD397" s="290"/>
      <c r="AE397" s="290"/>
      <c r="AF397" s="290"/>
      <c r="AG397" s="290"/>
      <c r="AH397" s="290"/>
      <c r="AI397" s="290"/>
      <c r="AJ397" s="290"/>
      <c r="AK397" s="290"/>
      <c r="AL397" s="290"/>
      <c r="AM397" s="290"/>
      <c r="AN397" s="290"/>
      <c r="AO397" s="290"/>
      <c r="AP397" s="290"/>
      <c r="AQ397" s="290"/>
      <c r="AR397" s="290"/>
      <c r="AS397" s="290"/>
      <c r="AT397" s="290"/>
      <c r="AU397" s="290"/>
      <c r="AV397" s="290"/>
      <c r="AW397" s="290"/>
      <c r="AX397" s="290"/>
      <c r="AY397" s="290"/>
      <c r="AZ397" s="290"/>
      <c r="BA397" s="290"/>
      <c r="BB397" s="290"/>
      <c r="BC397" s="290"/>
      <c r="BD397" s="290"/>
      <c r="BE397" s="290"/>
      <c r="BF397" s="290"/>
      <c r="BG397" s="290"/>
      <c r="BH397" s="290"/>
      <c r="BI397" s="290"/>
      <c r="BJ397" s="290"/>
      <c r="BK397" s="290"/>
      <c r="BL397" s="290"/>
      <c r="BM397" s="290"/>
      <c r="BN397" s="290"/>
      <c r="BO397" s="290"/>
      <c r="BP397" s="290"/>
      <c r="BQ397" s="290"/>
      <c r="BR397" s="290"/>
      <c r="BS397" s="290"/>
      <c r="BT397" s="290"/>
      <c r="BU397" s="290"/>
      <c r="BV397" s="290"/>
      <c r="BW397" s="290"/>
      <c r="BX397" s="290"/>
      <c r="BY397" s="290"/>
      <c r="BZ397" s="290"/>
      <c r="CA397" s="290"/>
      <c r="CB397" s="290"/>
      <c r="CC397" s="290"/>
      <c r="CD397" s="290"/>
      <c r="CE397" s="290"/>
      <c r="CF397" s="290"/>
      <c r="CG397" s="290"/>
      <c r="CH397" s="290"/>
      <c r="CI397" s="290"/>
      <c r="CJ397" s="290"/>
      <c r="CK397" s="290"/>
      <c r="CL397" s="290"/>
      <c r="CM397" s="290"/>
      <c r="CN397" s="290"/>
      <c r="CO397" s="290"/>
      <c r="CP397" s="290"/>
      <c r="CQ397" s="290"/>
      <c r="CR397" s="290"/>
      <c r="CS397" s="290"/>
      <c r="CT397" s="290"/>
      <c r="CU397" s="290"/>
      <c r="CV397" s="290"/>
      <c r="CW397" s="290"/>
      <c r="CX397" s="290"/>
      <c r="CY397" s="290"/>
      <c r="CZ397" s="290"/>
      <c r="DA397" s="290"/>
      <c r="DB397" s="290"/>
      <c r="DC397" s="290"/>
      <c r="DD397" s="290"/>
      <c r="DE397" s="290"/>
      <c r="DF397" s="290"/>
      <c r="DG397" s="290"/>
      <c r="DH397" s="290"/>
      <c r="DI397" s="290"/>
      <c r="DJ397" s="290"/>
      <c r="DK397" s="290"/>
      <c r="DL397" s="290"/>
      <c r="DM397" s="290"/>
      <c r="DN397" s="290"/>
      <c r="DO397" s="290"/>
      <c r="DP397" s="290"/>
      <c r="DQ397" s="290"/>
      <c r="DR397" s="290"/>
      <c r="DS397" s="290"/>
      <c r="DT397" s="290"/>
      <c r="DU397" s="290"/>
      <c r="DV397" s="290"/>
      <c r="DW397" s="290"/>
      <c r="DX397" s="290"/>
      <c r="DY397" s="290"/>
      <c r="DZ397" s="290"/>
      <c r="EA397" s="290"/>
      <c r="EB397" s="290"/>
      <c r="EC397" s="290"/>
      <c r="ED397" s="290"/>
      <c r="EE397" s="290"/>
      <c r="EF397" s="290"/>
      <c r="EG397" s="290"/>
      <c r="EH397" s="290"/>
      <c r="EI397" s="290"/>
      <c r="EJ397" s="290"/>
      <c r="EK397" s="290"/>
      <c r="EL397" s="290"/>
      <c r="EM397" s="290"/>
      <c r="EN397" s="290"/>
      <c r="EO397" s="290"/>
      <c r="EP397" s="290"/>
      <c r="EQ397" s="290"/>
      <c r="ER397" s="290"/>
      <c r="ES397" s="290"/>
      <c r="ET397" s="290"/>
      <c r="EU397" s="290"/>
      <c r="EV397" s="290"/>
      <c r="EW397" s="290"/>
      <c r="EX397" s="290"/>
      <c r="EY397" s="290"/>
      <c r="EZ397" s="290"/>
      <c r="FA397" s="290"/>
      <c r="FB397" s="290"/>
      <c r="FC397" s="290"/>
      <c r="FD397" s="290"/>
      <c r="FE397" s="290"/>
      <c r="FF397" s="290"/>
      <c r="FG397" s="290"/>
      <c r="FH397" s="290"/>
      <c r="FI397" s="290"/>
      <c r="FJ397" s="290"/>
      <c r="FK397" s="290"/>
      <c r="FL397" s="290"/>
      <c r="FM397" s="290"/>
      <c r="FN397" s="290"/>
      <c r="FO397" s="290"/>
      <c r="FP397" s="290"/>
      <c r="FQ397" s="290"/>
      <c r="FR397" s="290"/>
      <c r="FS397" s="290"/>
      <c r="FT397" s="290"/>
      <c r="FU397" s="290"/>
      <c r="FV397" s="290"/>
      <c r="FW397" s="290"/>
      <c r="FX397" s="290"/>
      <c r="FY397" s="290"/>
      <c r="FZ397" s="290"/>
      <c r="GA397" s="290"/>
      <c r="GB397" s="290"/>
      <c r="GC397" s="290"/>
      <c r="GD397" s="290"/>
      <c r="GE397" s="290"/>
      <c r="GF397" s="290"/>
      <c r="GG397" s="290"/>
      <c r="GH397" s="290"/>
      <c r="GI397" s="290"/>
      <c r="GJ397" s="290"/>
      <c r="GK397" s="290"/>
      <c r="GL397" s="290"/>
      <c r="GM397" s="290"/>
      <c r="GN397" s="290"/>
      <c r="GO397" s="290"/>
      <c r="GP397" s="290"/>
      <c r="GQ397" s="290"/>
      <c r="GR397" s="290"/>
      <c r="GS397" s="290"/>
      <c r="GT397" s="290"/>
      <c r="GU397" s="290"/>
      <c r="GV397" s="290"/>
      <c r="GW397" s="290"/>
      <c r="GX397" s="290"/>
      <c r="GY397" s="290"/>
      <c r="GZ397" s="290"/>
      <c r="HA397" s="290"/>
      <c r="HB397" s="290"/>
      <c r="HC397" s="290"/>
      <c r="HD397" s="290"/>
      <c r="HE397" s="290"/>
      <c r="HF397" s="290"/>
      <c r="HG397" s="290"/>
      <c r="HH397" s="290"/>
      <c r="HI397" s="290"/>
      <c r="HJ397" s="290"/>
      <c r="HK397" s="290"/>
      <c r="HL397" s="290"/>
      <c r="HM397" s="290"/>
      <c r="HN397" s="290"/>
      <c r="HO397" s="290"/>
      <c r="HP397" s="290"/>
      <c r="HQ397" s="290"/>
      <c r="HR397" s="290"/>
      <c r="HS397" s="290"/>
      <c r="HT397" s="290"/>
      <c r="HU397" s="290"/>
      <c r="HV397" s="290"/>
      <c r="HW397" s="290"/>
      <c r="HX397" s="290"/>
      <c r="HY397" s="290"/>
      <c r="HZ397" s="290"/>
      <c r="IA397" s="290"/>
      <c r="IB397" s="290"/>
      <c r="IC397" s="290"/>
      <c r="ID397" s="290"/>
      <c r="IE397" s="290"/>
      <c r="IF397" s="290"/>
      <c r="IG397" s="290"/>
      <c r="IH397" s="290"/>
      <c r="II397" s="290"/>
      <c r="IJ397" s="290"/>
      <c r="IK397" s="290"/>
      <c r="IL397" s="290"/>
      <c r="IM397" s="290"/>
      <c r="IN397" s="290"/>
      <c r="IO397" s="290"/>
      <c r="IP397" s="290"/>
      <c r="IQ397" s="290"/>
    </row>
    <row r="398" spans="1:251" x14ac:dyDescent="0.3">
      <c r="A398" s="270"/>
      <c r="B398" s="273"/>
      <c r="C398" s="276"/>
      <c r="D398" s="267"/>
      <c r="E398" s="267"/>
      <c r="F398" s="113" t="s">
        <v>238</v>
      </c>
      <c r="G398" s="288"/>
      <c r="H398" s="289"/>
      <c r="I398" s="290"/>
      <c r="J398" s="290"/>
      <c r="K398" s="290"/>
      <c r="L398" s="290"/>
      <c r="M398" s="290"/>
      <c r="N398" s="290"/>
      <c r="O398" s="290"/>
      <c r="P398" s="290"/>
      <c r="Q398" s="290"/>
      <c r="R398" s="290"/>
      <c r="S398" s="290"/>
      <c r="T398" s="290"/>
      <c r="U398" s="290"/>
      <c r="V398" s="290"/>
      <c r="W398" s="290"/>
      <c r="X398" s="290"/>
      <c r="Y398" s="290"/>
      <c r="Z398" s="290"/>
      <c r="AA398" s="290"/>
      <c r="AB398" s="290"/>
      <c r="AC398" s="290"/>
      <c r="AD398" s="290"/>
      <c r="AE398" s="290"/>
      <c r="AF398" s="290"/>
      <c r="AG398" s="290"/>
      <c r="AH398" s="290"/>
      <c r="AI398" s="290"/>
      <c r="AJ398" s="290"/>
      <c r="AK398" s="290"/>
      <c r="AL398" s="290"/>
      <c r="AM398" s="290"/>
      <c r="AN398" s="290"/>
      <c r="AO398" s="290"/>
      <c r="AP398" s="290"/>
      <c r="AQ398" s="290"/>
      <c r="AR398" s="290"/>
      <c r="AS398" s="290"/>
      <c r="AT398" s="290"/>
      <c r="AU398" s="290"/>
      <c r="AV398" s="290"/>
      <c r="AW398" s="290"/>
      <c r="AX398" s="290"/>
      <c r="AY398" s="290"/>
      <c r="AZ398" s="290"/>
      <c r="BA398" s="290"/>
      <c r="BB398" s="290"/>
      <c r="BC398" s="290"/>
      <c r="BD398" s="290"/>
      <c r="BE398" s="290"/>
      <c r="BF398" s="290"/>
      <c r="BG398" s="290"/>
      <c r="BH398" s="290"/>
      <c r="BI398" s="290"/>
      <c r="BJ398" s="290"/>
      <c r="BK398" s="290"/>
      <c r="BL398" s="290"/>
      <c r="BM398" s="290"/>
      <c r="BN398" s="290"/>
      <c r="BO398" s="290"/>
      <c r="BP398" s="290"/>
      <c r="BQ398" s="290"/>
      <c r="BR398" s="290"/>
      <c r="BS398" s="290"/>
      <c r="BT398" s="290"/>
      <c r="BU398" s="290"/>
      <c r="BV398" s="290"/>
      <c r="BW398" s="290"/>
      <c r="BX398" s="290"/>
      <c r="BY398" s="290"/>
      <c r="BZ398" s="290"/>
      <c r="CA398" s="290"/>
      <c r="CB398" s="290"/>
      <c r="CC398" s="290"/>
      <c r="CD398" s="290"/>
      <c r="CE398" s="290"/>
      <c r="CF398" s="290"/>
      <c r="CG398" s="290"/>
      <c r="CH398" s="290"/>
      <c r="CI398" s="290"/>
      <c r="CJ398" s="290"/>
      <c r="CK398" s="290"/>
      <c r="CL398" s="290"/>
      <c r="CM398" s="290"/>
      <c r="CN398" s="290"/>
      <c r="CO398" s="290"/>
      <c r="CP398" s="290"/>
      <c r="CQ398" s="290"/>
      <c r="CR398" s="290"/>
      <c r="CS398" s="290"/>
      <c r="CT398" s="290"/>
      <c r="CU398" s="290"/>
      <c r="CV398" s="290"/>
      <c r="CW398" s="290"/>
      <c r="CX398" s="290"/>
      <c r="CY398" s="290"/>
      <c r="CZ398" s="290"/>
      <c r="DA398" s="290"/>
      <c r="DB398" s="290"/>
      <c r="DC398" s="290"/>
      <c r="DD398" s="290"/>
      <c r="DE398" s="290"/>
      <c r="DF398" s="290"/>
      <c r="DG398" s="290"/>
      <c r="DH398" s="290"/>
      <c r="DI398" s="290"/>
      <c r="DJ398" s="290"/>
      <c r="DK398" s="290"/>
      <c r="DL398" s="290"/>
      <c r="DM398" s="290"/>
      <c r="DN398" s="290"/>
      <c r="DO398" s="290"/>
      <c r="DP398" s="290"/>
      <c r="DQ398" s="290"/>
      <c r="DR398" s="290"/>
      <c r="DS398" s="290"/>
      <c r="DT398" s="290"/>
      <c r="DU398" s="290"/>
      <c r="DV398" s="290"/>
      <c r="DW398" s="290"/>
      <c r="DX398" s="290"/>
      <c r="DY398" s="290"/>
      <c r="DZ398" s="290"/>
      <c r="EA398" s="290"/>
      <c r="EB398" s="290"/>
      <c r="EC398" s="290"/>
      <c r="ED398" s="290"/>
      <c r="EE398" s="290"/>
      <c r="EF398" s="290"/>
      <c r="EG398" s="290"/>
      <c r="EH398" s="290"/>
      <c r="EI398" s="290"/>
      <c r="EJ398" s="290"/>
      <c r="EK398" s="290"/>
      <c r="EL398" s="290"/>
      <c r="EM398" s="290"/>
      <c r="EN398" s="290"/>
      <c r="EO398" s="290"/>
      <c r="EP398" s="290"/>
      <c r="EQ398" s="290"/>
      <c r="ER398" s="290"/>
      <c r="ES398" s="290"/>
      <c r="ET398" s="290"/>
      <c r="EU398" s="290"/>
      <c r="EV398" s="290"/>
      <c r="EW398" s="290"/>
      <c r="EX398" s="290"/>
      <c r="EY398" s="290"/>
      <c r="EZ398" s="290"/>
      <c r="FA398" s="290"/>
      <c r="FB398" s="290"/>
      <c r="FC398" s="290"/>
      <c r="FD398" s="290"/>
      <c r="FE398" s="290"/>
      <c r="FF398" s="290"/>
      <c r="FG398" s="290"/>
      <c r="FH398" s="290"/>
      <c r="FI398" s="290"/>
      <c r="FJ398" s="290"/>
      <c r="FK398" s="290"/>
      <c r="FL398" s="290"/>
      <c r="FM398" s="290"/>
      <c r="FN398" s="290"/>
      <c r="FO398" s="290"/>
      <c r="FP398" s="290"/>
      <c r="FQ398" s="290"/>
      <c r="FR398" s="290"/>
      <c r="FS398" s="290"/>
      <c r="FT398" s="290"/>
      <c r="FU398" s="290"/>
      <c r="FV398" s="290"/>
      <c r="FW398" s="290"/>
      <c r="FX398" s="290"/>
      <c r="FY398" s="290"/>
      <c r="FZ398" s="290"/>
      <c r="GA398" s="290"/>
      <c r="GB398" s="290"/>
      <c r="GC398" s="290"/>
      <c r="GD398" s="290"/>
      <c r="GE398" s="290"/>
      <c r="GF398" s="290"/>
      <c r="GG398" s="290"/>
      <c r="GH398" s="290"/>
      <c r="GI398" s="290"/>
      <c r="GJ398" s="290"/>
      <c r="GK398" s="290"/>
      <c r="GL398" s="290"/>
      <c r="GM398" s="290"/>
      <c r="GN398" s="290"/>
      <c r="GO398" s="290"/>
      <c r="GP398" s="290"/>
      <c r="GQ398" s="290"/>
      <c r="GR398" s="290"/>
      <c r="GS398" s="290"/>
      <c r="GT398" s="290"/>
      <c r="GU398" s="290"/>
      <c r="GV398" s="290"/>
      <c r="GW398" s="290"/>
      <c r="GX398" s="290"/>
      <c r="GY398" s="290"/>
      <c r="GZ398" s="290"/>
      <c r="HA398" s="290"/>
      <c r="HB398" s="290"/>
      <c r="HC398" s="290"/>
      <c r="HD398" s="290"/>
      <c r="HE398" s="290"/>
      <c r="HF398" s="290"/>
      <c r="HG398" s="290"/>
      <c r="HH398" s="290"/>
      <c r="HI398" s="290"/>
      <c r="HJ398" s="290"/>
      <c r="HK398" s="290"/>
      <c r="HL398" s="290"/>
      <c r="HM398" s="290"/>
      <c r="HN398" s="290"/>
      <c r="HO398" s="290"/>
      <c r="HP398" s="290"/>
      <c r="HQ398" s="290"/>
      <c r="HR398" s="290"/>
      <c r="HS398" s="290"/>
      <c r="HT398" s="290"/>
      <c r="HU398" s="290"/>
      <c r="HV398" s="290"/>
      <c r="HW398" s="290"/>
      <c r="HX398" s="290"/>
      <c r="HY398" s="290"/>
      <c r="HZ398" s="290"/>
      <c r="IA398" s="290"/>
      <c r="IB398" s="290"/>
      <c r="IC398" s="290"/>
      <c r="ID398" s="290"/>
      <c r="IE398" s="290"/>
      <c r="IF398" s="290"/>
      <c r="IG398" s="290"/>
      <c r="IH398" s="290"/>
      <c r="II398" s="290"/>
      <c r="IJ398" s="290"/>
      <c r="IK398" s="290"/>
      <c r="IL398" s="290"/>
      <c r="IM398" s="290"/>
      <c r="IN398" s="290"/>
      <c r="IO398" s="290"/>
      <c r="IP398" s="290"/>
      <c r="IQ398" s="290"/>
    </row>
    <row r="399" spans="1:251" ht="39" x14ac:dyDescent="0.3">
      <c r="A399" s="239" t="s">
        <v>284</v>
      </c>
      <c r="B399" s="21" t="s">
        <v>1852</v>
      </c>
      <c r="C399" s="129" t="s">
        <v>49</v>
      </c>
      <c r="D399" s="166" t="s">
        <v>37</v>
      </c>
      <c r="E399" s="166" t="s">
        <v>38</v>
      </c>
      <c r="F399" s="100" t="s">
        <v>1854</v>
      </c>
      <c r="G399" s="240"/>
      <c r="H399" s="199"/>
      <c r="I399" s="183"/>
      <c r="J399" s="183"/>
      <c r="K399" s="183"/>
      <c r="L399" s="183"/>
      <c r="M399" s="183"/>
      <c r="N399" s="183"/>
      <c r="O399" s="183"/>
      <c r="P399" s="183"/>
      <c r="Q399" s="183"/>
      <c r="R399" s="183"/>
      <c r="S399" s="183"/>
      <c r="T399" s="183"/>
      <c r="U399" s="183"/>
      <c r="V399" s="183"/>
      <c r="W399" s="183"/>
      <c r="X399" s="183"/>
      <c r="Y399" s="183"/>
      <c r="Z399" s="183"/>
      <c r="AA399" s="183"/>
      <c r="AB399" s="183"/>
      <c r="AC399" s="183"/>
      <c r="AD399" s="183"/>
      <c r="AE399" s="183"/>
      <c r="AF399" s="183"/>
      <c r="AG399" s="183"/>
      <c r="AH399" s="183"/>
      <c r="AI399" s="183"/>
      <c r="AJ399" s="183"/>
      <c r="AK399" s="183"/>
      <c r="AL399" s="183"/>
      <c r="AM399" s="183"/>
      <c r="AN399" s="183"/>
      <c r="AO399" s="183"/>
      <c r="AP399" s="183"/>
      <c r="AQ399" s="183"/>
      <c r="AR399" s="183"/>
      <c r="AS399" s="183"/>
      <c r="AT399" s="183"/>
      <c r="AU399" s="183"/>
      <c r="AV399" s="183"/>
      <c r="AW399" s="183"/>
      <c r="AX399" s="183"/>
      <c r="AY399" s="183"/>
      <c r="AZ399" s="183"/>
      <c r="BA399" s="183"/>
      <c r="BB399" s="183"/>
      <c r="BC399" s="183"/>
      <c r="BD399" s="183"/>
      <c r="BE399" s="183"/>
      <c r="BF399" s="183"/>
      <c r="BG399" s="183"/>
      <c r="BH399" s="183"/>
      <c r="BI399" s="183"/>
      <c r="BJ399" s="183"/>
      <c r="BK399" s="183"/>
      <c r="BL399" s="183"/>
      <c r="BM399" s="183"/>
      <c r="BN399" s="183"/>
      <c r="BO399" s="183"/>
      <c r="BP399" s="183"/>
      <c r="BQ399" s="183"/>
      <c r="BR399" s="183"/>
      <c r="BS399" s="183"/>
      <c r="BT399" s="183"/>
      <c r="BU399" s="183"/>
      <c r="BV399" s="183"/>
      <c r="BW399" s="183"/>
      <c r="BX399" s="183"/>
      <c r="BY399" s="183"/>
      <c r="BZ399" s="183"/>
      <c r="CA399" s="183"/>
      <c r="CB399" s="183"/>
      <c r="CC399" s="183"/>
      <c r="CD399" s="183"/>
      <c r="CE399" s="183"/>
      <c r="CF399" s="183"/>
      <c r="CG399" s="183"/>
      <c r="CH399" s="183"/>
      <c r="CI399" s="183"/>
      <c r="CJ399" s="183"/>
      <c r="CK399" s="183"/>
      <c r="CL399" s="183"/>
      <c r="CM399" s="183"/>
      <c r="CN399" s="183"/>
      <c r="CO399" s="183"/>
      <c r="CP399" s="183"/>
      <c r="CQ399" s="183"/>
      <c r="CR399" s="183"/>
      <c r="CS399" s="183"/>
      <c r="CT399" s="183"/>
      <c r="CU399" s="183"/>
      <c r="CV399" s="183"/>
      <c r="CW399" s="183"/>
      <c r="CX399" s="183"/>
      <c r="CY399" s="183"/>
      <c r="CZ399" s="183"/>
      <c r="DA399" s="183"/>
      <c r="DB399" s="183"/>
      <c r="DC399" s="183"/>
      <c r="DD399" s="183"/>
      <c r="DE399" s="183"/>
      <c r="DF399" s="183"/>
      <c r="DG399" s="183"/>
      <c r="DH399" s="183"/>
      <c r="DI399" s="183"/>
      <c r="DJ399" s="183"/>
      <c r="DK399" s="183"/>
      <c r="DL399" s="183"/>
      <c r="DM399" s="183"/>
      <c r="DN399" s="183"/>
      <c r="DO399" s="183"/>
      <c r="DP399" s="183"/>
      <c r="DQ399" s="183"/>
      <c r="DR399" s="183"/>
      <c r="DS399" s="183"/>
      <c r="DT399" s="183"/>
      <c r="DU399" s="183"/>
      <c r="DV399" s="183"/>
      <c r="DW399" s="183"/>
      <c r="DX399" s="183"/>
      <c r="DY399" s="183"/>
      <c r="DZ399" s="183"/>
      <c r="EA399" s="183"/>
      <c r="EB399" s="183"/>
      <c r="EC399" s="183"/>
      <c r="ED399" s="183"/>
      <c r="EE399" s="183"/>
      <c r="EF399" s="183"/>
      <c r="EG399" s="183"/>
      <c r="EH399" s="183"/>
      <c r="EI399" s="183"/>
      <c r="EJ399" s="183"/>
      <c r="EK399" s="183"/>
      <c r="EL399" s="183"/>
      <c r="EM399" s="183"/>
      <c r="EN399" s="183"/>
      <c r="EO399" s="183"/>
      <c r="EP399" s="183"/>
      <c r="EQ399" s="183"/>
      <c r="ER399" s="183"/>
      <c r="ES399" s="183"/>
      <c r="ET399" s="183"/>
      <c r="EU399" s="183"/>
      <c r="EV399" s="183"/>
      <c r="EW399" s="183"/>
      <c r="EX399" s="183"/>
      <c r="EY399" s="183"/>
      <c r="EZ399" s="183"/>
      <c r="FA399" s="183"/>
      <c r="FB399" s="183"/>
      <c r="FC399" s="183"/>
      <c r="FD399" s="183"/>
      <c r="FE399" s="183"/>
      <c r="FF399" s="183"/>
      <c r="FG399" s="183"/>
      <c r="FH399" s="183"/>
      <c r="FI399" s="183"/>
      <c r="FJ399" s="183"/>
      <c r="FK399" s="183"/>
      <c r="FL399" s="183"/>
      <c r="FM399" s="183"/>
      <c r="FN399" s="183"/>
      <c r="FO399" s="183"/>
      <c r="FP399" s="183"/>
      <c r="FQ399" s="183"/>
      <c r="FR399" s="183"/>
      <c r="FS399" s="183"/>
      <c r="FT399" s="183"/>
      <c r="FU399" s="183"/>
      <c r="FV399" s="183"/>
      <c r="FW399" s="183"/>
      <c r="FX399" s="183"/>
      <c r="FY399" s="183"/>
      <c r="FZ399" s="183"/>
      <c r="GA399" s="183"/>
      <c r="GB399" s="183"/>
      <c r="GC399" s="183"/>
      <c r="GD399" s="183"/>
      <c r="GE399" s="183"/>
      <c r="GF399" s="183"/>
      <c r="GG399" s="183"/>
      <c r="GH399" s="183"/>
      <c r="GI399" s="183"/>
      <c r="GJ399" s="183"/>
      <c r="GK399" s="183"/>
      <c r="GL399" s="183"/>
      <c r="GM399" s="183"/>
      <c r="GN399" s="183"/>
      <c r="GO399" s="183"/>
      <c r="GP399" s="183"/>
      <c r="GQ399" s="183"/>
      <c r="GR399" s="183"/>
      <c r="GS399" s="183"/>
      <c r="GT399" s="183"/>
      <c r="GU399" s="183"/>
      <c r="GV399" s="183"/>
      <c r="GW399" s="183"/>
      <c r="GX399" s="183"/>
      <c r="GY399" s="183"/>
      <c r="GZ399" s="183"/>
      <c r="HA399" s="183"/>
      <c r="HB399" s="183"/>
      <c r="HC399" s="183"/>
      <c r="HD399" s="183"/>
      <c r="HE399" s="183"/>
      <c r="HF399" s="183"/>
      <c r="HG399" s="183"/>
      <c r="HH399" s="183"/>
      <c r="HI399" s="183"/>
      <c r="HJ399" s="183"/>
      <c r="HK399" s="183"/>
      <c r="HL399" s="183"/>
      <c r="HM399" s="183"/>
      <c r="HN399" s="183"/>
      <c r="HO399" s="183"/>
      <c r="HP399" s="183"/>
      <c r="HQ399" s="183"/>
      <c r="HR399" s="183"/>
      <c r="HS399" s="183"/>
      <c r="HT399" s="183"/>
      <c r="HU399" s="183"/>
      <c r="HV399" s="183"/>
      <c r="HW399" s="183"/>
      <c r="HX399" s="183"/>
      <c r="HY399" s="183"/>
      <c r="HZ399" s="183"/>
      <c r="IA399" s="183"/>
      <c r="IB399" s="183"/>
      <c r="IC399" s="183"/>
      <c r="ID399" s="183"/>
      <c r="IE399" s="183"/>
      <c r="IF399" s="183"/>
      <c r="IG399" s="183"/>
      <c r="IH399" s="183"/>
      <c r="II399" s="183"/>
      <c r="IJ399" s="183"/>
      <c r="IK399" s="183"/>
      <c r="IL399" s="183"/>
      <c r="IM399" s="183"/>
      <c r="IN399" s="183"/>
      <c r="IO399" s="183"/>
      <c r="IP399" s="183"/>
      <c r="IQ399" s="183"/>
    </row>
    <row r="400" spans="1:251" ht="39" x14ac:dyDescent="0.3">
      <c r="A400" s="83" t="s">
        <v>184</v>
      </c>
      <c r="B400" s="196" t="s">
        <v>285</v>
      </c>
      <c r="C400" s="191" t="s">
        <v>30</v>
      </c>
      <c r="D400" s="192" t="s">
        <v>31</v>
      </c>
      <c r="E400" s="192" t="s">
        <v>32</v>
      </c>
      <c r="F400" s="114" t="s">
        <v>33</v>
      </c>
      <c r="G400" s="191" t="s">
        <v>5</v>
      </c>
      <c r="H400" s="199"/>
      <c r="I400" s="183"/>
      <c r="J400" s="183"/>
      <c r="K400" s="183"/>
      <c r="L400" s="183"/>
      <c r="M400" s="183"/>
      <c r="N400" s="183"/>
      <c r="O400" s="183"/>
      <c r="P400" s="183"/>
      <c r="Q400" s="183"/>
      <c r="R400" s="183"/>
      <c r="S400" s="183"/>
      <c r="T400" s="183"/>
      <c r="U400" s="183"/>
      <c r="V400" s="183"/>
      <c r="W400" s="183"/>
      <c r="X400" s="183"/>
      <c r="Y400" s="183"/>
      <c r="Z400" s="183"/>
      <c r="AA400" s="183"/>
      <c r="AB400" s="183"/>
      <c r="AC400" s="183"/>
      <c r="AD400" s="183"/>
      <c r="AE400" s="183"/>
      <c r="AF400" s="183"/>
      <c r="AG400" s="183"/>
      <c r="AH400" s="183"/>
      <c r="AI400" s="183"/>
      <c r="AJ400" s="183"/>
      <c r="AK400" s="183"/>
      <c r="AL400" s="183"/>
      <c r="AM400" s="183"/>
      <c r="AN400" s="183"/>
      <c r="AO400" s="183"/>
      <c r="AP400" s="183"/>
      <c r="AQ400" s="183"/>
      <c r="AR400" s="183"/>
      <c r="AS400" s="183"/>
      <c r="AT400" s="183"/>
      <c r="AU400" s="183"/>
      <c r="AV400" s="183"/>
      <c r="AW400" s="183"/>
      <c r="AX400" s="183"/>
      <c r="AY400" s="183"/>
      <c r="AZ400" s="183"/>
      <c r="BA400" s="183"/>
      <c r="BB400" s="183"/>
      <c r="BC400" s="183"/>
      <c r="BD400" s="183"/>
      <c r="BE400" s="183"/>
      <c r="BF400" s="183"/>
      <c r="BG400" s="183"/>
      <c r="BH400" s="183"/>
      <c r="BI400" s="183"/>
      <c r="BJ400" s="183"/>
      <c r="BK400" s="183"/>
      <c r="BL400" s="183"/>
      <c r="BM400" s="183"/>
      <c r="BN400" s="183"/>
      <c r="BO400" s="183"/>
      <c r="BP400" s="183"/>
      <c r="BQ400" s="183"/>
      <c r="BR400" s="183"/>
      <c r="BS400" s="183"/>
      <c r="BT400" s="183"/>
      <c r="BU400" s="183"/>
      <c r="BV400" s="183"/>
      <c r="BW400" s="183"/>
      <c r="BX400" s="183"/>
      <c r="BY400" s="183"/>
      <c r="BZ400" s="183"/>
      <c r="CA400" s="183"/>
      <c r="CB400" s="183"/>
      <c r="CC400" s="183"/>
      <c r="CD400" s="183"/>
      <c r="CE400" s="183"/>
      <c r="CF400" s="183"/>
      <c r="CG400" s="183"/>
      <c r="CH400" s="183"/>
      <c r="CI400" s="183"/>
      <c r="CJ400" s="183"/>
      <c r="CK400" s="183"/>
      <c r="CL400" s="183"/>
      <c r="CM400" s="183"/>
      <c r="CN400" s="183"/>
      <c r="CO400" s="183"/>
      <c r="CP400" s="183"/>
      <c r="CQ400" s="183"/>
      <c r="CR400" s="183"/>
      <c r="CS400" s="183"/>
      <c r="CT400" s="183"/>
      <c r="CU400" s="183"/>
      <c r="CV400" s="183"/>
      <c r="CW400" s="183"/>
      <c r="CX400" s="183"/>
      <c r="CY400" s="183"/>
      <c r="CZ400" s="183"/>
      <c r="DA400" s="183"/>
      <c r="DB400" s="183"/>
      <c r="DC400" s="183"/>
      <c r="DD400" s="183"/>
      <c r="DE400" s="183"/>
      <c r="DF400" s="183"/>
      <c r="DG400" s="183"/>
      <c r="DH400" s="183"/>
      <c r="DI400" s="183"/>
      <c r="DJ400" s="183"/>
      <c r="DK400" s="183"/>
      <c r="DL400" s="183"/>
      <c r="DM400" s="183"/>
      <c r="DN400" s="183"/>
      <c r="DO400" s="183"/>
      <c r="DP400" s="183"/>
      <c r="DQ400" s="183"/>
      <c r="DR400" s="183"/>
      <c r="DS400" s="183"/>
      <c r="DT400" s="183"/>
      <c r="DU400" s="183"/>
      <c r="DV400" s="183"/>
      <c r="DW400" s="183"/>
      <c r="DX400" s="183"/>
      <c r="DY400" s="183"/>
      <c r="DZ400" s="183"/>
      <c r="EA400" s="183"/>
      <c r="EB400" s="183"/>
      <c r="EC400" s="183"/>
      <c r="ED400" s="183"/>
      <c r="EE400" s="183"/>
      <c r="EF400" s="183"/>
      <c r="EG400" s="183"/>
      <c r="EH400" s="183"/>
      <c r="EI400" s="183"/>
      <c r="EJ400" s="183"/>
      <c r="EK400" s="183"/>
      <c r="EL400" s="183"/>
      <c r="EM400" s="183"/>
      <c r="EN400" s="183"/>
      <c r="EO400" s="183"/>
      <c r="EP400" s="183"/>
      <c r="EQ400" s="183"/>
      <c r="ER400" s="183"/>
      <c r="ES400" s="183"/>
      <c r="ET400" s="183"/>
      <c r="EU400" s="183"/>
      <c r="EV400" s="183"/>
      <c r="EW400" s="183"/>
      <c r="EX400" s="183"/>
      <c r="EY400" s="183"/>
      <c r="EZ400" s="183"/>
      <c r="FA400" s="183"/>
      <c r="FB400" s="183"/>
      <c r="FC400" s="183"/>
      <c r="FD400" s="183"/>
      <c r="FE400" s="183"/>
      <c r="FF400" s="183"/>
      <c r="FG400" s="183"/>
      <c r="FH400" s="183"/>
      <c r="FI400" s="183"/>
      <c r="FJ400" s="183"/>
      <c r="FK400" s="183"/>
      <c r="FL400" s="183"/>
      <c r="FM400" s="183"/>
      <c r="FN400" s="183"/>
      <c r="FO400" s="183"/>
      <c r="FP400" s="183"/>
      <c r="FQ400" s="183"/>
      <c r="FR400" s="183"/>
      <c r="FS400" s="183"/>
      <c r="FT400" s="183"/>
      <c r="FU400" s="183"/>
      <c r="FV400" s="183"/>
      <c r="FW400" s="183"/>
      <c r="FX400" s="183"/>
      <c r="FY400" s="183"/>
      <c r="FZ400" s="183"/>
      <c r="GA400" s="183"/>
      <c r="GB400" s="183"/>
      <c r="GC400" s="183"/>
      <c r="GD400" s="183"/>
      <c r="GE400" s="183"/>
      <c r="GF400" s="183"/>
      <c r="GG400" s="183"/>
      <c r="GH400" s="183"/>
      <c r="GI400" s="183"/>
      <c r="GJ400" s="183"/>
      <c r="GK400" s="183"/>
      <c r="GL400" s="183"/>
      <c r="GM400" s="183"/>
      <c r="GN400" s="183"/>
      <c r="GO400" s="183"/>
      <c r="GP400" s="183"/>
      <c r="GQ400" s="183"/>
      <c r="GR400" s="183"/>
      <c r="GS400" s="183"/>
      <c r="GT400" s="183"/>
      <c r="GU400" s="183"/>
      <c r="GV400" s="183"/>
      <c r="GW400" s="183"/>
      <c r="GX400" s="183"/>
      <c r="GY400" s="183"/>
      <c r="GZ400" s="183"/>
      <c r="HA400" s="183"/>
      <c r="HB400" s="183"/>
      <c r="HC400" s="183"/>
      <c r="HD400" s="183"/>
      <c r="HE400" s="183"/>
      <c r="HF400" s="183"/>
      <c r="HG400" s="183"/>
      <c r="HH400" s="183"/>
      <c r="HI400" s="183"/>
      <c r="HJ400" s="183"/>
      <c r="HK400" s="183"/>
      <c r="HL400" s="183"/>
      <c r="HM400" s="183"/>
      <c r="HN400" s="183"/>
      <c r="HO400" s="183"/>
      <c r="HP400" s="183"/>
      <c r="HQ400" s="183"/>
      <c r="HR400" s="183"/>
      <c r="HS400" s="183"/>
      <c r="HT400" s="183"/>
      <c r="HU400" s="183"/>
      <c r="HV400" s="183"/>
      <c r="HW400" s="183"/>
      <c r="HX400" s="183"/>
      <c r="HY400" s="183"/>
      <c r="HZ400" s="183"/>
      <c r="IA400" s="183"/>
      <c r="IB400" s="183"/>
      <c r="IC400" s="183"/>
      <c r="ID400" s="183"/>
      <c r="IE400" s="183"/>
      <c r="IF400" s="183"/>
      <c r="IG400" s="183"/>
      <c r="IH400" s="183"/>
      <c r="II400" s="183"/>
      <c r="IJ400" s="183"/>
      <c r="IK400" s="183"/>
      <c r="IL400" s="183"/>
      <c r="IM400" s="183"/>
      <c r="IN400" s="183"/>
      <c r="IO400" s="183"/>
      <c r="IP400" s="183"/>
      <c r="IQ400" s="183"/>
    </row>
    <row r="401" spans="1:251" x14ac:dyDescent="0.3">
      <c r="A401" s="268" t="s">
        <v>286</v>
      </c>
      <c r="B401" s="271" t="s">
        <v>46</v>
      </c>
      <c r="C401" s="274" t="s">
        <v>36</v>
      </c>
      <c r="D401" s="265" t="s">
        <v>37</v>
      </c>
      <c r="E401" s="265" t="s">
        <v>38</v>
      </c>
      <c r="F401" s="108" t="s">
        <v>233</v>
      </c>
      <c r="G401" s="286"/>
      <c r="H401" s="289"/>
      <c r="I401" s="290"/>
      <c r="J401" s="290"/>
      <c r="K401" s="290"/>
      <c r="L401" s="290"/>
      <c r="M401" s="290"/>
      <c r="N401" s="290"/>
      <c r="O401" s="290"/>
      <c r="P401" s="290"/>
      <c r="Q401" s="290"/>
      <c r="R401" s="290"/>
      <c r="S401" s="290"/>
      <c r="T401" s="290"/>
      <c r="U401" s="290"/>
      <c r="V401" s="290"/>
      <c r="W401" s="290"/>
      <c r="X401" s="290"/>
      <c r="Y401" s="290"/>
      <c r="Z401" s="290"/>
      <c r="AA401" s="290"/>
      <c r="AB401" s="290"/>
      <c r="AC401" s="290"/>
      <c r="AD401" s="290"/>
      <c r="AE401" s="290"/>
      <c r="AF401" s="290"/>
      <c r="AG401" s="290"/>
      <c r="AH401" s="290"/>
      <c r="AI401" s="290"/>
      <c r="AJ401" s="290"/>
      <c r="AK401" s="290"/>
      <c r="AL401" s="290"/>
      <c r="AM401" s="290"/>
      <c r="AN401" s="290"/>
      <c r="AO401" s="290"/>
      <c r="AP401" s="290"/>
      <c r="AQ401" s="290"/>
      <c r="AR401" s="290"/>
      <c r="AS401" s="290"/>
      <c r="AT401" s="290"/>
      <c r="AU401" s="290"/>
      <c r="AV401" s="290"/>
      <c r="AW401" s="290"/>
      <c r="AX401" s="290"/>
      <c r="AY401" s="290"/>
      <c r="AZ401" s="290"/>
      <c r="BA401" s="290"/>
      <c r="BB401" s="290"/>
      <c r="BC401" s="290"/>
      <c r="BD401" s="290"/>
      <c r="BE401" s="290"/>
      <c r="BF401" s="290"/>
      <c r="BG401" s="290"/>
      <c r="BH401" s="290"/>
      <c r="BI401" s="290"/>
      <c r="BJ401" s="290"/>
      <c r="BK401" s="290"/>
      <c r="BL401" s="290"/>
      <c r="BM401" s="290"/>
      <c r="BN401" s="290"/>
      <c r="BO401" s="290"/>
      <c r="BP401" s="290"/>
      <c r="BQ401" s="290"/>
      <c r="BR401" s="290"/>
      <c r="BS401" s="290"/>
      <c r="BT401" s="290"/>
      <c r="BU401" s="290"/>
      <c r="BV401" s="290"/>
      <c r="BW401" s="290"/>
      <c r="BX401" s="290"/>
      <c r="BY401" s="290"/>
      <c r="BZ401" s="290"/>
      <c r="CA401" s="290"/>
      <c r="CB401" s="290"/>
      <c r="CC401" s="290"/>
      <c r="CD401" s="290"/>
      <c r="CE401" s="290"/>
      <c r="CF401" s="290"/>
      <c r="CG401" s="290"/>
      <c r="CH401" s="290"/>
      <c r="CI401" s="290"/>
      <c r="CJ401" s="290"/>
      <c r="CK401" s="290"/>
      <c r="CL401" s="290"/>
      <c r="CM401" s="290"/>
      <c r="CN401" s="290"/>
      <c r="CO401" s="290"/>
      <c r="CP401" s="290"/>
      <c r="CQ401" s="290"/>
      <c r="CR401" s="290"/>
      <c r="CS401" s="290"/>
      <c r="CT401" s="290"/>
      <c r="CU401" s="290"/>
      <c r="CV401" s="290"/>
      <c r="CW401" s="290"/>
      <c r="CX401" s="290"/>
      <c r="CY401" s="290"/>
      <c r="CZ401" s="290"/>
      <c r="DA401" s="290"/>
      <c r="DB401" s="290"/>
      <c r="DC401" s="290"/>
      <c r="DD401" s="290"/>
      <c r="DE401" s="290"/>
      <c r="DF401" s="290"/>
      <c r="DG401" s="290"/>
      <c r="DH401" s="290"/>
      <c r="DI401" s="290"/>
      <c r="DJ401" s="290"/>
      <c r="DK401" s="290"/>
      <c r="DL401" s="290"/>
      <c r="DM401" s="290"/>
      <c r="DN401" s="290"/>
      <c r="DO401" s="290"/>
      <c r="DP401" s="290"/>
      <c r="DQ401" s="290"/>
      <c r="DR401" s="290"/>
      <c r="DS401" s="290"/>
      <c r="DT401" s="290"/>
      <c r="DU401" s="290"/>
      <c r="DV401" s="290"/>
      <c r="DW401" s="290"/>
      <c r="DX401" s="290"/>
      <c r="DY401" s="290"/>
      <c r="DZ401" s="290"/>
      <c r="EA401" s="290"/>
      <c r="EB401" s="290"/>
      <c r="EC401" s="290"/>
      <c r="ED401" s="290"/>
      <c r="EE401" s="290"/>
      <c r="EF401" s="290"/>
      <c r="EG401" s="290"/>
      <c r="EH401" s="290"/>
      <c r="EI401" s="290"/>
      <c r="EJ401" s="290"/>
      <c r="EK401" s="290"/>
      <c r="EL401" s="290"/>
      <c r="EM401" s="290"/>
      <c r="EN401" s="290"/>
      <c r="EO401" s="290"/>
      <c r="EP401" s="290"/>
      <c r="EQ401" s="290"/>
      <c r="ER401" s="290"/>
      <c r="ES401" s="290"/>
      <c r="ET401" s="290"/>
      <c r="EU401" s="290"/>
      <c r="EV401" s="290"/>
      <c r="EW401" s="290"/>
      <c r="EX401" s="290"/>
      <c r="EY401" s="290"/>
      <c r="EZ401" s="290"/>
      <c r="FA401" s="290"/>
      <c r="FB401" s="290"/>
      <c r="FC401" s="290"/>
      <c r="FD401" s="290"/>
      <c r="FE401" s="290"/>
      <c r="FF401" s="290"/>
      <c r="FG401" s="290"/>
      <c r="FH401" s="290"/>
      <c r="FI401" s="290"/>
      <c r="FJ401" s="290"/>
      <c r="FK401" s="290"/>
      <c r="FL401" s="290"/>
      <c r="FM401" s="290"/>
      <c r="FN401" s="290"/>
      <c r="FO401" s="290"/>
      <c r="FP401" s="290"/>
      <c r="FQ401" s="290"/>
      <c r="FR401" s="290"/>
      <c r="FS401" s="290"/>
      <c r="FT401" s="290"/>
      <c r="FU401" s="290"/>
      <c r="FV401" s="290"/>
      <c r="FW401" s="290"/>
      <c r="FX401" s="290"/>
      <c r="FY401" s="290"/>
      <c r="FZ401" s="290"/>
      <c r="GA401" s="290"/>
      <c r="GB401" s="290"/>
      <c r="GC401" s="290"/>
      <c r="GD401" s="290"/>
      <c r="GE401" s="290"/>
      <c r="GF401" s="290"/>
      <c r="GG401" s="290"/>
      <c r="GH401" s="290"/>
      <c r="GI401" s="290"/>
      <c r="GJ401" s="290"/>
      <c r="GK401" s="290"/>
      <c r="GL401" s="290"/>
      <c r="GM401" s="290"/>
      <c r="GN401" s="290"/>
      <c r="GO401" s="290"/>
      <c r="GP401" s="290"/>
      <c r="GQ401" s="290"/>
      <c r="GR401" s="290"/>
      <c r="GS401" s="290"/>
      <c r="GT401" s="290"/>
      <c r="GU401" s="290"/>
      <c r="GV401" s="290"/>
      <c r="GW401" s="290"/>
      <c r="GX401" s="290"/>
      <c r="GY401" s="290"/>
      <c r="GZ401" s="290"/>
      <c r="HA401" s="290"/>
      <c r="HB401" s="290"/>
      <c r="HC401" s="290"/>
      <c r="HD401" s="290"/>
      <c r="HE401" s="290"/>
      <c r="HF401" s="290"/>
      <c r="HG401" s="290"/>
      <c r="HH401" s="290"/>
      <c r="HI401" s="290"/>
      <c r="HJ401" s="290"/>
      <c r="HK401" s="290"/>
      <c r="HL401" s="290"/>
      <c r="HM401" s="290"/>
      <c r="HN401" s="290"/>
      <c r="HO401" s="290"/>
      <c r="HP401" s="290"/>
      <c r="HQ401" s="290"/>
      <c r="HR401" s="290"/>
      <c r="HS401" s="290"/>
      <c r="HT401" s="290"/>
      <c r="HU401" s="290"/>
      <c r="HV401" s="290"/>
      <c r="HW401" s="290"/>
      <c r="HX401" s="290"/>
      <c r="HY401" s="290"/>
      <c r="HZ401" s="290"/>
      <c r="IA401" s="290"/>
      <c r="IB401" s="290"/>
      <c r="IC401" s="290"/>
      <c r="ID401" s="290"/>
      <c r="IE401" s="290"/>
      <c r="IF401" s="290"/>
      <c r="IG401" s="290"/>
      <c r="IH401" s="290"/>
      <c r="II401" s="290"/>
      <c r="IJ401" s="290"/>
      <c r="IK401" s="290"/>
      <c r="IL401" s="290"/>
      <c r="IM401" s="290"/>
      <c r="IN401" s="290"/>
      <c r="IO401" s="290"/>
      <c r="IP401" s="290"/>
      <c r="IQ401" s="290"/>
    </row>
    <row r="402" spans="1:251" x14ac:dyDescent="0.3">
      <c r="A402" s="269"/>
      <c r="B402" s="272"/>
      <c r="C402" s="275"/>
      <c r="D402" s="266"/>
      <c r="E402" s="266"/>
      <c r="F402" s="109" t="s">
        <v>234</v>
      </c>
      <c r="G402" s="287"/>
      <c r="H402" s="289"/>
      <c r="I402" s="290"/>
      <c r="J402" s="290"/>
      <c r="K402" s="290"/>
      <c r="L402" s="290"/>
      <c r="M402" s="290"/>
      <c r="N402" s="290"/>
      <c r="O402" s="290"/>
      <c r="P402" s="290"/>
      <c r="Q402" s="290"/>
      <c r="R402" s="290"/>
      <c r="S402" s="290"/>
      <c r="T402" s="290"/>
      <c r="U402" s="290"/>
      <c r="V402" s="290"/>
      <c r="W402" s="290"/>
      <c r="X402" s="290"/>
      <c r="Y402" s="290"/>
      <c r="Z402" s="290"/>
      <c r="AA402" s="290"/>
      <c r="AB402" s="290"/>
      <c r="AC402" s="290"/>
      <c r="AD402" s="290"/>
      <c r="AE402" s="290"/>
      <c r="AF402" s="290"/>
      <c r="AG402" s="290"/>
      <c r="AH402" s="290"/>
      <c r="AI402" s="290"/>
      <c r="AJ402" s="290"/>
      <c r="AK402" s="290"/>
      <c r="AL402" s="290"/>
      <c r="AM402" s="290"/>
      <c r="AN402" s="290"/>
      <c r="AO402" s="290"/>
      <c r="AP402" s="290"/>
      <c r="AQ402" s="290"/>
      <c r="AR402" s="290"/>
      <c r="AS402" s="290"/>
      <c r="AT402" s="290"/>
      <c r="AU402" s="290"/>
      <c r="AV402" s="290"/>
      <c r="AW402" s="290"/>
      <c r="AX402" s="290"/>
      <c r="AY402" s="290"/>
      <c r="AZ402" s="290"/>
      <c r="BA402" s="290"/>
      <c r="BB402" s="290"/>
      <c r="BC402" s="290"/>
      <c r="BD402" s="290"/>
      <c r="BE402" s="290"/>
      <c r="BF402" s="290"/>
      <c r="BG402" s="290"/>
      <c r="BH402" s="290"/>
      <c r="BI402" s="290"/>
      <c r="BJ402" s="290"/>
      <c r="BK402" s="290"/>
      <c r="BL402" s="290"/>
      <c r="BM402" s="290"/>
      <c r="BN402" s="290"/>
      <c r="BO402" s="290"/>
      <c r="BP402" s="290"/>
      <c r="BQ402" s="290"/>
      <c r="BR402" s="290"/>
      <c r="BS402" s="290"/>
      <c r="BT402" s="290"/>
      <c r="BU402" s="290"/>
      <c r="BV402" s="290"/>
      <c r="BW402" s="290"/>
      <c r="BX402" s="290"/>
      <c r="BY402" s="290"/>
      <c r="BZ402" s="290"/>
      <c r="CA402" s="290"/>
      <c r="CB402" s="290"/>
      <c r="CC402" s="290"/>
      <c r="CD402" s="290"/>
      <c r="CE402" s="290"/>
      <c r="CF402" s="290"/>
      <c r="CG402" s="290"/>
      <c r="CH402" s="290"/>
      <c r="CI402" s="290"/>
      <c r="CJ402" s="290"/>
      <c r="CK402" s="290"/>
      <c r="CL402" s="290"/>
      <c r="CM402" s="290"/>
      <c r="CN402" s="290"/>
      <c r="CO402" s="290"/>
      <c r="CP402" s="290"/>
      <c r="CQ402" s="290"/>
      <c r="CR402" s="290"/>
      <c r="CS402" s="290"/>
      <c r="CT402" s="290"/>
      <c r="CU402" s="290"/>
      <c r="CV402" s="290"/>
      <c r="CW402" s="290"/>
      <c r="CX402" s="290"/>
      <c r="CY402" s="290"/>
      <c r="CZ402" s="290"/>
      <c r="DA402" s="290"/>
      <c r="DB402" s="290"/>
      <c r="DC402" s="290"/>
      <c r="DD402" s="290"/>
      <c r="DE402" s="290"/>
      <c r="DF402" s="290"/>
      <c r="DG402" s="290"/>
      <c r="DH402" s="290"/>
      <c r="DI402" s="290"/>
      <c r="DJ402" s="290"/>
      <c r="DK402" s="290"/>
      <c r="DL402" s="290"/>
      <c r="DM402" s="290"/>
      <c r="DN402" s="290"/>
      <c r="DO402" s="290"/>
      <c r="DP402" s="290"/>
      <c r="DQ402" s="290"/>
      <c r="DR402" s="290"/>
      <c r="DS402" s="290"/>
      <c r="DT402" s="290"/>
      <c r="DU402" s="290"/>
      <c r="DV402" s="290"/>
      <c r="DW402" s="290"/>
      <c r="DX402" s="290"/>
      <c r="DY402" s="290"/>
      <c r="DZ402" s="290"/>
      <c r="EA402" s="290"/>
      <c r="EB402" s="290"/>
      <c r="EC402" s="290"/>
      <c r="ED402" s="290"/>
      <c r="EE402" s="290"/>
      <c r="EF402" s="290"/>
      <c r="EG402" s="290"/>
      <c r="EH402" s="290"/>
      <c r="EI402" s="290"/>
      <c r="EJ402" s="290"/>
      <c r="EK402" s="290"/>
      <c r="EL402" s="290"/>
      <c r="EM402" s="290"/>
      <c r="EN402" s="290"/>
      <c r="EO402" s="290"/>
      <c r="EP402" s="290"/>
      <c r="EQ402" s="290"/>
      <c r="ER402" s="290"/>
      <c r="ES402" s="290"/>
      <c r="ET402" s="290"/>
      <c r="EU402" s="290"/>
      <c r="EV402" s="290"/>
      <c r="EW402" s="290"/>
      <c r="EX402" s="290"/>
      <c r="EY402" s="290"/>
      <c r="EZ402" s="290"/>
      <c r="FA402" s="290"/>
      <c r="FB402" s="290"/>
      <c r="FC402" s="290"/>
      <c r="FD402" s="290"/>
      <c r="FE402" s="290"/>
      <c r="FF402" s="290"/>
      <c r="FG402" s="290"/>
      <c r="FH402" s="290"/>
      <c r="FI402" s="290"/>
      <c r="FJ402" s="290"/>
      <c r="FK402" s="290"/>
      <c r="FL402" s="290"/>
      <c r="FM402" s="290"/>
      <c r="FN402" s="290"/>
      <c r="FO402" s="290"/>
      <c r="FP402" s="290"/>
      <c r="FQ402" s="290"/>
      <c r="FR402" s="290"/>
      <c r="FS402" s="290"/>
      <c r="FT402" s="290"/>
      <c r="FU402" s="290"/>
      <c r="FV402" s="290"/>
      <c r="FW402" s="290"/>
      <c r="FX402" s="290"/>
      <c r="FY402" s="290"/>
      <c r="FZ402" s="290"/>
      <c r="GA402" s="290"/>
      <c r="GB402" s="290"/>
      <c r="GC402" s="290"/>
      <c r="GD402" s="290"/>
      <c r="GE402" s="290"/>
      <c r="GF402" s="290"/>
      <c r="GG402" s="290"/>
      <c r="GH402" s="290"/>
      <c r="GI402" s="290"/>
      <c r="GJ402" s="290"/>
      <c r="GK402" s="290"/>
      <c r="GL402" s="290"/>
      <c r="GM402" s="290"/>
      <c r="GN402" s="290"/>
      <c r="GO402" s="290"/>
      <c r="GP402" s="290"/>
      <c r="GQ402" s="290"/>
      <c r="GR402" s="290"/>
      <c r="GS402" s="290"/>
      <c r="GT402" s="290"/>
      <c r="GU402" s="290"/>
      <c r="GV402" s="290"/>
      <c r="GW402" s="290"/>
      <c r="GX402" s="290"/>
      <c r="GY402" s="290"/>
      <c r="GZ402" s="290"/>
      <c r="HA402" s="290"/>
      <c r="HB402" s="290"/>
      <c r="HC402" s="290"/>
      <c r="HD402" s="290"/>
      <c r="HE402" s="290"/>
      <c r="HF402" s="290"/>
      <c r="HG402" s="290"/>
      <c r="HH402" s="290"/>
      <c r="HI402" s="290"/>
      <c r="HJ402" s="290"/>
      <c r="HK402" s="290"/>
      <c r="HL402" s="290"/>
      <c r="HM402" s="290"/>
      <c r="HN402" s="290"/>
      <c r="HO402" s="290"/>
      <c r="HP402" s="290"/>
      <c r="HQ402" s="290"/>
      <c r="HR402" s="290"/>
      <c r="HS402" s="290"/>
      <c r="HT402" s="290"/>
      <c r="HU402" s="290"/>
      <c r="HV402" s="290"/>
      <c r="HW402" s="290"/>
      <c r="HX402" s="290"/>
      <c r="HY402" s="290"/>
      <c r="HZ402" s="290"/>
      <c r="IA402" s="290"/>
      <c r="IB402" s="290"/>
      <c r="IC402" s="290"/>
      <c r="ID402" s="290"/>
      <c r="IE402" s="290"/>
      <c r="IF402" s="290"/>
      <c r="IG402" s="290"/>
      <c r="IH402" s="290"/>
      <c r="II402" s="290"/>
      <c r="IJ402" s="290"/>
      <c r="IK402" s="290"/>
      <c r="IL402" s="290"/>
      <c r="IM402" s="290"/>
      <c r="IN402" s="290"/>
      <c r="IO402" s="290"/>
      <c r="IP402" s="290"/>
      <c r="IQ402" s="290"/>
    </row>
    <row r="403" spans="1:251" x14ac:dyDescent="0.3">
      <c r="A403" s="270"/>
      <c r="B403" s="273"/>
      <c r="C403" s="276"/>
      <c r="D403" s="267"/>
      <c r="E403" s="267"/>
      <c r="F403" s="110" t="s">
        <v>235</v>
      </c>
      <c r="G403" s="288"/>
      <c r="H403" s="289"/>
      <c r="I403" s="290"/>
      <c r="J403" s="290"/>
      <c r="K403" s="290"/>
      <c r="L403" s="290"/>
      <c r="M403" s="290"/>
      <c r="N403" s="290"/>
      <c r="O403" s="290"/>
      <c r="P403" s="290"/>
      <c r="Q403" s="290"/>
      <c r="R403" s="290"/>
      <c r="S403" s="290"/>
      <c r="T403" s="290"/>
      <c r="U403" s="290"/>
      <c r="V403" s="290"/>
      <c r="W403" s="290"/>
      <c r="X403" s="290"/>
      <c r="Y403" s="290"/>
      <c r="Z403" s="290"/>
      <c r="AA403" s="290"/>
      <c r="AB403" s="290"/>
      <c r="AC403" s="290"/>
      <c r="AD403" s="290"/>
      <c r="AE403" s="290"/>
      <c r="AF403" s="290"/>
      <c r="AG403" s="290"/>
      <c r="AH403" s="290"/>
      <c r="AI403" s="290"/>
      <c r="AJ403" s="290"/>
      <c r="AK403" s="290"/>
      <c r="AL403" s="290"/>
      <c r="AM403" s="290"/>
      <c r="AN403" s="290"/>
      <c r="AO403" s="290"/>
      <c r="AP403" s="290"/>
      <c r="AQ403" s="290"/>
      <c r="AR403" s="290"/>
      <c r="AS403" s="290"/>
      <c r="AT403" s="290"/>
      <c r="AU403" s="290"/>
      <c r="AV403" s="290"/>
      <c r="AW403" s="290"/>
      <c r="AX403" s="290"/>
      <c r="AY403" s="290"/>
      <c r="AZ403" s="290"/>
      <c r="BA403" s="290"/>
      <c r="BB403" s="290"/>
      <c r="BC403" s="290"/>
      <c r="BD403" s="290"/>
      <c r="BE403" s="290"/>
      <c r="BF403" s="290"/>
      <c r="BG403" s="290"/>
      <c r="BH403" s="290"/>
      <c r="BI403" s="290"/>
      <c r="BJ403" s="290"/>
      <c r="BK403" s="290"/>
      <c r="BL403" s="290"/>
      <c r="BM403" s="290"/>
      <c r="BN403" s="290"/>
      <c r="BO403" s="290"/>
      <c r="BP403" s="290"/>
      <c r="BQ403" s="290"/>
      <c r="BR403" s="290"/>
      <c r="BS403" s="290"/>
      <c r="BT403" s="290"/>
      <c r="BU403" s="290"/>
      <c r="BV403" s="290"/>
      <c r="BW403" s="290"/>
      <c r="BX403" s="290"/>
      <c r="BY403" s="290"/>
      <c r="BZ403" s="290"/>
      <c r="CA403" s="290"/>
      <c r="CB403" s="290"/>
      <c r="CC403" s="290"/>
      <c r="CD403" s="290"/>
      <c r="CE403" s="290"/>
      <c r="CF403" s="290"/>
      <c r="CG403" s="290"/>
      <c r="CH403" s="290"/>
      <c r="CI403" s="290"/>
      <c r="CJ403" s="290"/>
      <c r="CK403" s="290"/>
      <c r="CL403" s="290"/>
      <c r="CM403" s="290"/>
      <c r="CN403" s="290"/>
      <c r="CO403" s="290"/>
      <c r="CP403" s="290"/>
      <c r="CQ403" s="290"/>
      <c r="CR403" s="290"/>
      <c r="CS403" s="290"/>
      <c r="CT403" s="290"/>
      <c r="CU403" s="290"/>
      <c r="CV403" s="290"/>
      <c r="CW403" s="290"/>
      <c r="CX403" s="290"/>
      <c r="CY403" s="290"/>
      <c r="CZ403" s="290"/>
      <c r="DA403" s="290"/>
      <c r="DB403" s="290"/>
      <c r="DC403" s="290"/>
      <c r="DD403" s="290"/>
      <c r="DE403" s="290"/>
      <c r="DF403" s="290"/>
      <c r="DG403" s="290"/>
      <c r="DH403" s="290"/>
      <c r="DI403" s="290"/>
      <c r="DJ403" s="290"/>
      <c r="DK403" s="290"/>
      <c r="DL403" s="290"/>
      <c r="DM403" s="290"/>
      <c r="DN403" s="290"/>
      <c r="DO403" s="290"/>
      <c r="DP403" s="290"/>
      <c r="DQ403" s="290"/>
      <c r="DR403" s="290"/>
      <c r="DS403" s="290"/>
      <c r="DT403" s="290"/>
      <c r="DU403" s="290"/>
      <c r="DV403" s="290"/>
      <c r="DW403" s="290"/>
      <c r="DX403" s="290"/>
      <c r="DY403" s="290"/>
      <c r="DZ403" s="290"/>
      <c r="EA403" s="290"/>
      <c r="EB403" s="290"/>
      <c r="EC403" s="290"/>
      <c r="ED403" s="290"/>
      <c r="EE403" s="290"/>
      <c r="EF403" s="290"/>
      <c r="EG403" s="290"/>
      <c r="EH403" s="290"/>
      <c r="EI403" s="290"/>
      <c r="EJ403" s="290"/>
      <c r="EK403" s="290"/>
      <c r="EL403" s="290"/>
      <c r="EM403" s="290"/>
      <c r="EN403" s="290"/>
      <c r="EO403" s="290"/>
      <c r="EP403" s="290"/>
      <c r="EQ403" s="290"/>
      <c r="ER403" s="290"/>
      <c r="ES403" s="290"/>
      <c r="ET403" s="290"/>
      <c r="EU403" s="290"/>
      <c r="EV403" s="290"/>
      <c r="EW403" s="290"/>
      <c r="EX403" s="290"/>
      <c r="EY403" s="290"/>
      <c r="EZ403" s="290"/>
      <c r="FA403" s="290"/>
      <c r="FB403" s="290"/>
      <c r="FC403" s="290"/>
      <c r="FD403" s="290"/>
      <c r="FE403" s="290"/>
      <c r="FF403" s="290"/>
      <c r="FG403" s="290"/>
      <c r="FH403" s="290"/>
      <c r="FI403" s="290"/>
      <c r="FJ403" s="290"/>
      <c r="FK403" s="290"/>
      <c r="FL403" s="290"/>
      <c r="FM403" s="290"/>
      <c r="FN403" s="290"/>
      <c r="FO403" s="290"/>
      <c r="FP403" s="290"/>
      <c r="FQ403" s="290"/>
      <c r="FR403" s="290"/>
      <c r="FS403" s="290"/>
      <c r="FT403" s="290"/>
      <c r="FU403" s="290"/>
      <c r="FV403" s="290"/>
      <c r="FW403" s="290"/>
      <c r="FX403" s="290"/>
      <c r="FY403" s="290"/>
      <c r="FZ403" s="290"/>
      <c r="GA403" s="290"/>
      <c r="GB403" s="290"/>
      <c r="GC403" s="290"/>
      <c r="GD403" s="290"/>
      <c r="GE403" s="290"/>
      <c r="GF403" s="290"/>
      <c r="GG403" s="290"/>
      <c r="GH403" s="290"/>
      <c r="GI403" s="290"/>
      <c r="GJ403" s="290"/>
      <c r="GK403" s="290"/>
      <c r="GL403" s="290"/>
      <c r="GM403" s="290"/>
      <c r="GN403" s="290"/>
      <c r="GO403" s="290"/>
      <c r="GP403" s="290"/>
      <c r="GQ403" s="290"/>
      <c r="GR403" s="290"/>
      <c r="GS403" s="290"/>
      <c r="GT403" s="290"/>
      <c r="GU403" s="290"/>
      <c r="GV403" s="290"/>
      <c r="GW403" s="290"/>
      <c r="GX403" s="290"/>
      <c r="GY403" s="290"/>
      <c r="GZ403" s="290"/>
      <c r="HA403" s="290"/>
      <c r="HB403" s="290"/>
      <c r="HC403" s="290"/>
      <c r="HD403" s="290"/>
      <c r="HE403" s="290"/>
      <c r="HF403" s="290"/>
      <c r="HG403" s="290"/>
      <c r="HH403" s="290"/>
      <c r="HI403" s="290"/>
      <c r="HJ403" s="290"/>
      <c r="HK403" s="290"/>
      <c r="HL403" s="290"/>
      <c r="HM403" s="290"/>
      <c r="HN403" s="290"/>
      <c r="HO403" s="290"/>
      <c r="HP403" s="290"/>
      <c r="HQ403" s="290"/>
      <c r="HR403" s="290"/>
      <c r="HS403" s="290"/>
      <c r="HT403" s="290"/>
      <c r="HU403" s="290"/>
      <c r="HV403" s="290"/>
      <c r="HW403" s="290"/>
      <c r="HX403" s="290"/>
      <c r="HY403" s="290"/>
      <c r="HZ403" s="290"/>
      <c r="IA403" s="290"/>
      <c r="IB403" s="290"/>
      <c r="IC403" s="290"/>
      <c r="ID403" s="290"/>
      <c r="IE403" s="290"/>
      <c r="IF403" s="290"/>
      <c r="IG403" s="290"/>
      <c r="IH403" s="290"/>
      <c r="II403" s="290"/>
      <c r="IJ403" s="290"/>
      <c r="IK403" s="290"/>
      <c r="IL403" s="290"/>
      <c r="IM403" s="290"/>
      <c r="IN403" s="290"/>
      <c r="IO403" s="290"/>
      <c r="IP403" s="290"/>
      <c r="IQ403" s="290"/>
    </row>
    <row r="404" spans="1:251" x14ac:dyDescent="0.3">
      <c r="A404" s="268" t="s">
        <v>286</v>
      </c>
      <c r="B404" s="271" t="s">
        <v>48</v>
      </c>
      <c r="C404" s="274" t="s">
        <v>49</v>
      </c>
      <c r="D404" s="265" t="s">
        <v>37</v>
      </c>
      <c r="E404" s="265" t="s">
        <v>38</v>
      </c>
      <c r="F404" s="111" t="s">
        <v>236</v>
      </c>
      <c r="G404" s="286"/>
      <c r="H404" s="289"/>
      <c r="I404" s="290"/>
      <c r="J404" s="290"/>
      <c r="K404" s="290"/>
      <c r="L404" s="290"/>
      <c r="M404" s="290"/>
      <c r="N404" s="290"/>
      <c r="O404" s="290"/>
      <c r="P404" s="290"/>
      <c r="Q404" s="290"/>
      <c r="R404" s="290"/>
      <c r="S404" s="290"/>
      <c r="T404" s="290"/>
      <c r="U404" s="290"/>
      <c r="V404" s="290"/>
      <c r="W404" s="290"/>
      <c r="X404" s="290"/>
      <c r="Y404" s="290"/>
      <c r="Z404" s="290"/>
      <c r="AA404" s="290"/>
      <c r="AB404" s="290"/>
      <c r="AC404" s="290"/>
      <c r="AD404" s="290"/>
      <c r="AE404" s="290"/>
      <c r="AF404" s="290"/>
      <c r="AG404" s="290"/>
      <c r="AH404" s="290"/>
      <c r="AI404" s="290"/>
      <c r="AJ404" s="290"/>
      <c r="AK404" s="290"/>
      <c r="AL404" s="290"/>
      <c r="AM404" s="290"/>
      <c r="AN404" s="290"/>
      <c r="AO404" s="290"/>
      <c r="AP404" s="290"/>
      <c r="AQ404" s="290"/>
      <c r="AR404" s="290"/>
      <c r="AS404" s="290"/>
      <c r="AT404" s="290"/>
      <c r="AU404" s="290"/>
      <c r="AV404" s="290"/>
      <c r="AW404" s="290"/>
      <c r="AX404" s="290"/>
      <c r="AY404" s="290"/>
      <c r="AZ404" s="290"/>
      <c r="BA404" s="290"/>
      <c r="BB404" s="290"/>
      <c r="BC404" s="290"/>
      <c r="BD404" s="290"/>
      <c r="BE404" s="290"/>
      <c r="BF404" s="290"/>
      <c r="BG404" s="290"/>
      <c r="BH404" s="290"/>
      <c r="BI404" s="290"/>
      <c r="BJ404" s="290"/>
      <c r="BK404" s="290"/>
      <c r="BL404" s="290"/>
      <c r="BM404" s="290"/>
      <c r="BN404" s="290"/>
      <c r="BO404" s="290"/>
      <c r="BP404" s="290"/>
      <c r="BQ404" s="290"/>
      <c r="BR404" s="290"/>
      <c r="BS404" s="290"/>
      <c r="BT404" s="290"/>
      <c r="BU404" s="290"/>
      <c r="BV404" s="290"/>
      <c r="BW404" s="290"/>
      <c r="BX404" s="290"/>
      <c r="BY404" s="290"/>
      <c r="BZ404" s="290"/>
      <c r="CA404" s="290"/>
      <c r="CB404" s="290"/>
      <c r="CC404" s="290"/>
      <c r="CD404" s="290"/>
      <c r="CE404" s="290"/>
      <c r="CF404" s="290"/>
      <c r="CG404" s="290"/>
      <c r="CH404" s="290"/>
      <c r="CI404" s="290"/>
      <c r="CJ404" s="290"/>
      <c r="CK404" s="290"/>
      <c r="CL404" s="290"/>
      <c r="CM404" s="290"/>
      <c r="CN404" s="290"/>
      <c r="CO404" s="290"/>
      <c r="CP404" s="290"/>
      <c r="CQ404" s="290"/>
      <c r="CR404" s="290"/>
      <c r="CS404" s="290"/>
      <c r="CT404" s="290"/>
      <c r="CU404" s="290"/>
      <c r="CV404" s="290"/>
      <c r="CW404" s="290"/>
      <c r="CX404" s="290"/>
      <c r="CY404" s="290"/>
      <c r="CZ404" s="290"/>
      <c r="DA404" s="290"/>
      <c r="DB404" s="290"/>
      <c r="DC404" s="290"/>
      <c r="DD404" s="290"/>
      <c r="DE404" s="290"/>
      <c r="DF404" s="290"/>
      <c r="DG404" s="290"/>
      <c r="DH404" s="290"/>
      <c r="DI404" s="290"/>
      <c r="DJ404" s="290"/>
      <c r="DK404" s="290"/>
      <c r="DL404" s="290"/>
      <c r="DM404" s="290"/>
      <c r="DN404" s="290"/>
      <c r="DO404" s="290"/>
      <c r="DP404" s="290"/>
      <c r="DQ404" s="290"/>
      <c r="DR404" s="290"/>
      <c r="DS404" s="290"/>
      <c r="DT404" s="290"/>
      <c r="DU404" s="290"/>
      <c r="DV404" s="290"/>
      <c r="DW404" s="290"/>
      <c r="DX404" s="290"/>
      <c r="DY404" s="290"/>
      <c r="DZ404" s="290"/>
      <c r="EA404" s="290"/>
      <c r="EB404" s="290"/>
      <c r="EC404" s="290"/>
      <c r="ED404" s="290"/>
      <c r="EE404" s="290"/>
      <c r="EF404" s="290"/>
      <c r="EG404" s="290"/>
      <c r="EH404" s="290"/>
      <c r="EI404" s="290"/>
      <c r="EJ404" s="290"/>
      <c r="EK404" s="290"/>
      <c r="EL404" s="290"/>
      <c r="EM404" s="290"/>
      <c r="EN404" s="290"/>
      <c r="EO404" s="290"/>
      <c r="EP404" s="290"/>
      <c r="EQ404" s="290"/>
      <c r="ER404" s="290"/>
      <c r="ES404" s="290"/>
      <c r="ET404" s="290"/>
      <c r="EU404" s="290"/>
      <c r="EV404" s="290"/>
      <c r="EW404" s="290"/>
      <c r="EX404" s="290"/>
      <c r="EY404" s="290"/>
      <c r="EZ404" s="290"/>
      <c r="FA404" s="290"/>
      <c r="FB404" s="290"/>
      <c r="FC404" s="290"/>
      <c r="FD404" s="290"/>
      <c r="FE404" s="290"/>
      <c r="FF404" s="290"/>
      <c r="FG404" s="290"/>
      <c r="FH404" s="290"/>
      <c r="FI404" s="290"/>
      <c r="FJ404" s="290"/>
      <c r="FK404" s="290"/>
      <c r="FL404" s="290"/>
      <c r="FM404" s="290"/>
      <c r="FN404" s="290"/>
      <c r="FO404" s="290"/>
      <c r="FP404" s="290"/>
      <c r="FQ404" s="290"/>
      <c r="FR404" s="290"/>
      <c r="FS404" s="290"/>
      <c r="FT404" s="290"/>
      <c r="FU404" s="290"/>
      <c r="FV404" s="290"/>
      <c r="FW404" s="290"/>
      <c r="FX404" s="290"/>
      <c r="FY404" s="290"/>
      <c r="FZ404" s="290"/>
      <c r="GA404" s="290"/>
      <c r="GB404" s="290"/>
      <c r="GC404" s="290"/>
      <c r="GD404" s="290"/>
      <c r="GE404" s="290"/>
      <c r="GF404" s="290"/>
      <c r="GG404" s="290"/>
      <c r="GH404" s="290"/>
      <c r="GI404" s="290"/>
      <c r="GJ404" s="290"/>
      <c r="GK404" s="290"/>
      <c r="GL404" s="290"/>
      <c r="GM404" s="290"/>
      <c r="GN404" s="290"/>
      <c r="GO404" s="290"/>
      <c r="GP404" s="290"/>
      <c r="GQ404" s="290"/>
      <c r="GR404" s="290"/>
      <c r="GS404" s="290"/>
      <c r="GT404" s="290"/>
      <c r="GU404" s="290"/>
      <c r="GV404" s="290"/>
      <c r="GW404" s="290"/>
      <c r="GX404" s="290"/>
      <c r="GY404" s="290"/>
      <c r="GZ404" s="290"/>
      <c r="HA404" s="290"/>
      <c r="HB404" s="290"/>
      <c r="HC404" s="290"/>
      <c r="HD404" s="290"/>
      <c r="HE404" s="290"/>
      <c r="HF404" s="290"/>
      <c r="HG404" s="290"/>
      <c r="HH404" s="290"/>
      <c r="HI404" s="290"/>
      <c r="HJ404" s="290"/>
      <c r="HK404" s="290"/>
      <c r="HL404" s="290"/>
      <c r="HM404" s="290"/>
      <c r="HN404" s="290"/>
      <c r="HO404" s="290"/>
      <c r="HP404" s="290"/>
      <c r="HQ404" s="290"/>
      <c r="HR404" s="290"/>
      <c r="HS404" s="290"/>
      <c r="HT404" s="290"/>
      <c r="HU404" s="290"/>
      <c r="HV404" s="290"/>
      <c r="HW404" s="290"/>
      <c r="HX404" s="290"/>
      <c r="HY404" s="290"/>
      <c r="HZ404" s="290"/>
      <c r="IA404" s="290"/>
      <c r="IB404" s="290"/>
      <c r="IC404" s="290"/>
      <c r="ID404" s="290"/>
      <c r="IE404" s="290"/>
      <c r="IF404" s="290"/>
      <c r="IG404" s="290"/>
      <c r="IH404" s="290"/>
      <c r="II404" s="290"/>
      <c r="IJ404" s="290"/>
      <c r="IK404" s="290"/>
      <c r="IL404" s="290"/>
      <c r="IM404" s="290"/>
      <c r="IN404" s="290"/>
      <c r="IO404" s="290"/>
      <c r="IP404" s="290"/>
      <c r="IQ404" s="290"/>
    </row>
    <row r="405" spans="1:251" x14ac:dyDescent="0.3">
      <c r="A405" s="269"/>
      <c r="B405" s="272"/>
      <c r="C405" s="275"/>
      <c r="D405" s="266"/>
      <c r="E405" s="266"/>
      <c r="F405" s="112" t="s">
        <v>237</v>
      </c>
      <c r="G405" s="287"/>
      <c r="H405" s="289"/>
      <c r="I405" s="290"/>
      <c r="J405" s="290"/>
      <c r="K405" s="290"/>
      <c r="L405" s="290"/>
      <c r="M405" s="290"/>
      <c r="N405" s="290"/>
      <c r="O405" s="290"/>
      <c r="P405" s="290"/>
      <c r="Q405" s="290"/>
      <c r="R405" s="290"/>
      <c r="S405" s="290"/>
      <c r="T405" s="290"/>
      <c r="U405" s="290"/>
      <c r="V405" s="290"/>
      <c r="W405" s="290"/>
      <c r="X405" s="290"/>
      <c r="Y405" s="290"/>
      <c r="Z405" s="290"/>
      <c r="AA405" s="290"/>
      <c r="AB405" s="290"/>
      <c r="AC405" s="290"/>
      <c r="AD405" s="290"/>
      <c r="AE405" s="290"/>
      <c r="AF405" s="290"/>
      <c r="AG405" s="290"/>
      <c r="AH405" s="290"/>
      <c r="AI405" s="290"/>
      <c r="AJ405" s="290"/>
      <c r="AK405" s="290"/>
      <c r="AL405" s="290"/>
      <c r="AM405" s="290"/>
      <c r="AN405" s="290"/>
      <c r="AO405" s="290"/>
      <c r="AP405" s="290"/>
      <c r="AQ405" s="290"/>
      <c r="AR405" s="290"/>
      <c r="AS405" s="290"/>
      <c r="AT405" s="290"/>
      <c r="AU405" s="290"/>
      <c r="AV405" s="290"/>
      <c r="AW405" s="290"/>
      <c r="AX405" s="290"/>
      <c r="AY405" s="290"/>
      <c r="AZ405" s="290"/>
      <c r="BA405" s="290"/>
      <c r="BB405" s="290"/>
      <c r="BC405" s="290"/>
      <c r="BD405" s="290"/>
      <c r="BE405" s="290"/>
      <c r="BF405" s="290"/>
      <c r="BG405" s="290"/>
      <c r="BH405" s="290"/>
      <c r="BI405" s="290"/>
      <c r="BJ405" s="290"/>
      <c r="BK405" s="290"/>
      <c r="BL405" s="290"/>
      <c r="BM405" s="290"/>
      <c r="BN405" s="290"/>
      <c r="BO405" s="290"/>
      <c r="BP405" s="290"/>
      <c r="BQ405" s="290"/>
      <c r="BR405" s="290"/>
      <c r="BS405" s="290"/>
      <c r="BT405" s="290"/>
      <c r="BU405" s="290"/>
      <c r="BV405" s="290"/>
      <c r="BW405" s="290"/>
      <c r="BX405" s="290"/>
      <c r="BY405" s="290"/>
      <c r="BZ405" s="290"/>
      <c r="CA405" s="290"/>
      <c r="CB405" s="290"/>
      <c r="CC405" s="290"/>
      <c r="CD405" s="290"/>
      <c r="CE405" s="290"/>
      <c r="CF405" s="290"/>
      <c r="CG405" s="290"/>
      <c r="CH405" s="290"/>
      <c r="CI405" s="290"/>
      <c r="CJ405" s="290"/>
      <c r="CK405" s="290"/>
      <c r="CL405" s="290"/>
      <c r="CM405" s="290"/>
      <c r="CN405" s="290"/>
      <c r="CO405" s="290"/>
      <c r="CP405" s="290"/>
      <c r="CQ405" s="290"/>
      <c r="CR405" s="290"/>
      <c r="CS405" s="290"/>
      <c r="CT405" s="290"/>
      <c r="CU405" s="290"/>
      <c r="CV405" s="290"/>
      <c r="CW405" s="290"/>
      <c r="CX405" s="290"/>
      <c r="CY405" s="290"/>
      <c r="CZ405" s="290"/>
      <c r="DA405" s="290"/>
      <c r="DB405" s="290"/>
      <c r="DC405" s="290"/>
      <c r="DD405" s="290"/>
      <c r="DE405" s="290"/>
      <c r="DF405" s="290"/>
      <c r="DG405" s="290"/>
      <c r="DH405" s="290"/>
      <c r="DI405" s="290"/>
      <c r="DJ405" s="290"/>
      <c r="DK405" s="290"/>
      <c r="DL405" s="290"/>
      <c r="DM405" s="290"/>
      <c r="DN405" s="290"/>
      <c r="DO405" s="290"/>
      <c r="DP405" s="290"/>
      <c r="DQ405" s="290"/>
      <c r="DR405" s="290"/>
      <c r="DS405" s="290"/>
      <c r="DT405" s="290"/>
      <c r="DU405" s="290"/>
      <c r="DV405" s="290"/>
      <c r="DW405" s="290"/>
      <c r="DX405" s="290"/>
      <c r="DY405" s="290"/>
      <c r="DZ405" s="290"/>
      <c r="EA405" s="290"/>
      <c r="EB405" s="290"/>
      <c r="EC405" s="290"/>
      <c r="ED405" s="290"/>
      <c r="EE405" s="290"/>
      <c r="EF405" s="290"/>
      <c r="EG405" s="290"/>
      <c r="EH405" s="290"/>
      <c r="EI405" s="290"/>
      <c r="EJ405" s="290"/>
      <c r="EK405" s="290"/>
      <c r="EL405" s="290"/>
      <c r="EM405" s="290"/>
      <c r="EN405" s="290"/>
      <c r="EO405" s="290"/>
      <c r="EP405" s="290"/>
      <c r="EQ405" s="290"/>
      <c r="ER405" s="290"/>
      <c r="ES405" s="290"/>
      <c r="ET405" s="290"/>
      <c r="EU405" s="290"/>
      <c r="EV405" s="290"/>
      <c r="EW405" s="290"/>
      <c r="EX405" s="290"/>
      <c r="EY405" s="290"/>
      <c r="EZ405" s="290"/>
      <c r="FA405" s="290"/>
      <c r="FB405" s="290"/>
      <c r="FC405" s="290"/>
      <c r="FD405" s="290"/>
      <c r="FE405" s="290"/>
      <c r="FF405" s="290"/>
      <c r="FG405" s="290"/>
      <c r="FH405" s="290"/>
      <c r="FI405" s="290"/>
      <c r="FJ405" s="290"/>
      <c r="FK405" s="290"/>
      <c r="FL405" s="290"/>
      <c r="FM405" s="290"/>
      <c r="FN405" s="290"/>
      <c r="FO405" s="290"/>
      <c r="FP405" s="290"/>
      <c r="FQ405" s="290"/>
      <c r="FR405" s="290"/>
      <c r="FS405" s="290"/>
      <c r="FT405" s="290"/>
      <c r="FU405" s="290"/>
      <c r="FV405" s="290"/>
      <c r="FW405" s="290"/>
      <c r="FX405" s="290"/>
      <c r="FY405" s="290"/>
      <c r="FZ405" s="290"/>
      <c r="GA405" s="290"/>
      <c r="GB405" s="290"/>
      <c r="GC405" s="290"/>
      <c r="GD405" s="290"/>
      <c r="GE405" s="290"/>
      <c r="GF405" s="290"/>
      <c r="GG405" s="290"/>
      <c r="GH405" s="290"/>
      <c r="GI405" s="290"/>
      <c r="GJ405" s="290"/>
      <c r="GK405" s="290"/>
      <c r="GL405" s="290"/>
      <c r="GM405" s="290"/>
      <c r="GN405" s="290"/>
      <c r="GO405" s="290"/>
      <c r="GP405" s="290"/>
      <c r="GQ405" s="290"/>
      <c r="GR405" s="290"/>
      <c r="GS405" s="290"/>
      <c r="GT405" s="290"/>
      <c r="GU405" s="290"/>
      <c r="GV405" s="290"/>
      <c r="GW405" s="290"/>
      <c r="GX405" s="290"/>
      <c r="GY405" s="290"/>
      <c r="GZ405" s="290"/>
      <c r="HA405" s="290"/>
      <c r="HB405" s="290"/>
      <c r="HC405" s="290"/>
      <c r="HD405" s="290"/>
      <c r="HE405" s="290"/>
      <c r="HF405" s="290"/>
      <c r="HG405" s="290"/>
      <c r="HH405" s="290"/>
      <c r="HI405" s="290"/>
      <c r="HJ405" s="290"/>
      <c r="HK405" s="290"/>
      <c r="HL405" s="290"/>
      <c r="HM405" s="290"/>
      <c r="HN405" s="290"/>
      <c r="HO405" s="290"/>
      <c r="HP405" s="290"/>
      <c r="HQ405" s="290"/>
      <c r="HR405" s="290"/>
      <c r="HS405" s="290"/>
      <c r="HT405" s="290"/>
      <c r="HU405" s="290"/>
      <c r="HV405" s="290"/>
      <c r="HW405" s="290"/>
      <c r="HX405" s="290"/>
      <c r="HY405" s="290"/>
      <c r="HZ405" s="290"/>
      <c r="IA405" s="290"/>
      <c r="IB405" s="290"/>
      <c r="IC405" s="290"/>
      <c r="ID405" s="290"/>
      <c r="IE405" s="290"/>
      <c r="IF405" s="290"/>
      <c r="IG405" s="290"/>
      <c r="IH405" s="290"/>
      <c r="II405" s="290"/>
      <c r="IJ405" s="290"/>
      <c r="IK405" s="290"/>
      <c r="IL405" s="290"/>
      <c r="IM405" s="290"/>
      <c r="IN405" s="290"/>
      <c r="IO405" s="290"/>
      <c r="IP405" s="290"/>
      <c r="IQ405" s="290"/>
    </row>
    <row r="406" spans="1:251" x14ac:dyDescent="0.3">
      <c r="A406" s="270"/>
      <c r="B406" s="273"/>
      <c r="C406" s="276"/>
      <c r="D406" s="267"/>
      <c r="E406" s="267"/>
      <c r="F406" s="113" t="s">
        <v>238</v>
      </c>
      <c r="G406" s="288"/>
      <c r="H406" s="289"/>
      <c r="I406" s="290"/>
      <c r="J406" s="290"/>
      <c r="K406" s="290"/>
      <c r="L406" s="290"/>
      <c r="M406" s="290"/>
      <c r="N406" s="290"/>
      <c r="O406" s="290"/>
      <c r="P406" s="290"/>
      <c r="Q406" s="290"/>
      <c r="R406" s="290"/>
      <c r="S406" s="290"/>
      <c r="T406" s="290"/>
      <c r="U406" s="290"/>
      <c r="V406" s="290"/>
      <c r="W406" s="290"/>
      <c r="X406" s="290"/>
      <c r="Y406" s="290"/>
      <c r="Z406" s="290"/>
      <c r="AA406" s="290"/>
      <c r="AB406" s="290"/>
      <c r="AC406" s="290"/>
      <c r="AD406" s="290"/>
      <c r="AE406" s="290"/>
      <c r="AF406" s="290"/>
      <c r="AG406" s="290"/>
      <c r="AH406" s="290"/>
      <c r="AI406" s="290"/>
      <c r="AJ406" s="290"/>
      <c r="AK406" s="290"/>
      <c r="AL406" s="290"/>
      <c r="AM406" s="290"/>
      <c r="AN406" s="290"/>
      <c r="AO406" s="290"/>
      <c r="AP406" s="290"/>
      <c r="AQ406" s="290"/>
      <c r="AR406" s="290"/>
      <c r="AS406" s="290"/>
      <c r="AT406" s="290"/>
      <c r="AU406" s="290"/>
      <c r="AV406" s="290"/>
      <c r="AW406" s="290"/>
      <c r="AX406" s="290"/>
      <c r="AY406" s="290"/>
      <c r="AZ406" s="290"/>
      <c r="BA406" s="290"/>
      <c r="BB406" s="290"/>
      <c r="BC406" s="290"/>
      <c r="BD406" s="290"/>
      <c r="BE406" s="290"/>
      <c r="BF406" s="290"/>
      <c r="BG406" s="290"/>
      <c r="BH406" s="290"/>
      <c r="BI406" s="290"/>
      <c r="BJ406" s="290"/>
      <c r="BK406" s="290"/>
      <c r="BL406" s="290"/>
      <c r="BM406" s="290"/>
      <c r="BN406" s="290"/>
      <c r="BO406" s="290"/>
      <c r="BP406" s="290"/>
      <c r="BQ406" s="290"/>
      <c r="BR406" s="290"/>
      <c r="BS406" s="290"/>
      <c r="BT406" s="290"/>
      <c r="BU406" s="290"/>
      <c r="BV406" s="290"/>
      <c r="BW406" s="290"/>
      <c r="BX406" s="290"/>
      <c r="BY406" s="290"/>
      <c r="BZ406" s="290"/>
      <c r="CA406" s="290"/>
      <c r="CB406" s="290"/>
      <c r="CC406" s="290"/>
      <c r="CD406" s="290"/>
      <c r="CE406" s="290"/>
      <c r="CF406" s="290"/>
      <c r="CG406" s="290"/>
      <c r="CH406" s="290"/>
      <c r="CI406" s="290"/>
      <c r="CJ406" s="290"/>
      <c r="CK406" s="290"/>
      <c r="CL406" s="290"/>
      <c r="CM406" s="290"/>
      <c r="CN406" s="290"/>
      <c r="CO406" s="290"/>
      <c r="CP406" s="290"/>
      <c r="CQ406" s="290"/>
      <c r="CR406" s="290"/>
      <c r="CS406" s="290"/>
      <c r="CT406" s="290"/>
      <c r="CU406" s="290"/>
      <c r="CV406" s="290"/>
      <c r="CW406" s="290"/>
      <c r="CX406" s="290"/>
      <c r="CY406" s="290"/>
      <c r="CZ406" s="290"/>
      <c r="DA406" s="290"/>
      <c r="DB406" s="290"/>
      <c r="DC406" s="290"/>
      <c r="DD406" s="290"/>
      <c r="DE406" s="290"/>
      <c r="DF406" s="290"/>
      <c r="DG406" s="290"/>
      <c r="DH406" s="290"/>
      <c r="DI406" s="290"/>
      <c r="DJ406" s="290"/>
      <c r="DK406" s="290"/>
      <c r="DL406" s="290"/>
      <c r="DM406" s="290"/>
      <c r="DN406" s="290"/>
      <c r="DO406" s="290"/>
      <c r="DP406" s="290"/>
      <c r="DQ406" s="290"/>
      <c r="DR406" s="290"/>
      <c r="DS406" s="290"/>
      <c r="DT406" s="290"/>
      <c r="DU406" s="290"/>
      <c r="DV406" s="290"/>
      <c r="DW406" s="290"/>
      <c r="DX406" s="290"/>
      <c r="DY406" s="290"/>
      <c r="DZ406" s="290"/>
      <c r="EA406" s="290"/>
      <c r="EB406" s="290"/>
      <c r="EC406" s="290"/>
      <c r="ED406" s="290"/>
      <c r="EE406" s="290"/>
      <c r="EF406" s="290"/>
      <c r="EG406" s="290"/>
      <c r="EH406" s="290"/>
      <c r="EI406" s="290"/>
      <c r="EJ406" s="290"/>
      <c r="EK406" s="290"/>
      <c r="EL406" s="290"/>
      <c r="EM406" s="290"/>
      <c r="EN406" s="290"/>
      <c r="EO406" s="290"/>
      <c r="EP406" s="290"/>
      <c r="EQ406" s="290"/>
      <c r="ER406" s="290"/>
      <c r="ES406" s="290"/>
      <c r="ET406" s="290"/>
      <c r="EU406" s="290"/>
      <c r="EV406" s="290"/>
      <c r="EW406" s="290"/>
      <c r="EX406" s="290"/>
      <c r="EY406" s="290"/>
      <c r="EZ406" s="290"/>
      <c r="FA406" s="290"/>
      <c r="FB406" s="290"/>
      <c r="FC406" s="290"/>
      <c r="FD406" s="290"/>
      <c r="FE406" s="290"/>
      <c r="FF406" s="290"/>
      <c r="FG406" s="290"/>
      <c r="FH406" s="290"/>
      <c r="FI406" s="290"/>
      <c r="FJ406" s="290"/>
      <c r="FK406" s="290"/>
      <c r="FL406" s="290"/>
      <c r="FM406" s="290"/>
      <c r="FN406" s="290"/>
      <c r="FO406" s="290"/>
      <c r="FP406" s="290"/>
      <c r="FQ406" s="290"/>
      <c r="FR406" s="290"/>
      <c r="FS406" s="290"/>
      <c r="FT406" s="290"/>
      <c r="FU406" s="290"/>
      <c r="FV406" s="290"/>
      <c r="FW406" s="290"/>
      <c r="FX406" s="290"/>
      <c r="FY406" s="290"/>
      <c r="FZ406" s="290"/>
      <c r="GA406" s="290"/>
      <c r="GB406" s="290"/>
      <c r="GC406" s="290"/>
      <c r="GD406" s="290"/>
      <c r="GE406" s="290"/>
      <c r="GF406" s="290"/>
      <c r="GG406" s="290"/>
      <c r="GH406" s="290"/>
      <c r="GI406" s="290"/>
      <c r="GJ406" s="290"/>
      <c r="GK406" s="290"/>
      <c r="GL406" s="290"/>
      <c r="GM406" s="290"/>
      <c r="GN406" s="290"/>
      <c r="GO406" s="290"/>
      <c r="GP406" s="290"/>
      <c r="GQ406" s="290"/>
      <c r="GR406" s="290"/>
      <c r="GS406" s="290"/>
      <c r="GT406" s="290"/>
      <c r="GU406" s="290"/>
      <c r="GV406" s="290"/>
      <c r="GW406" s="290"/>
      <c r="GX406" s="290"/>
      <c r="GY406" s="290"/>
      <c r="GZ406" s="290"/>
      <c r="HA406" s="290"/>
      <c r="HB406" s="290"/>
      <c r="HC406" s="290"/>
      <c r="HD406" s="290"/>
      <c r="HE406" s="290"/>
      <c r="HF406" s="290"/>
      <c r="HG406" s="290"/>
      <c r="HH406" s="290"/>
      <c r="HI406" s="290"/>
      <c r="HJ406" s="290"/>
      <c r="HK406" s="290"/>
      <c r="HL406" s="290"/>
      <c r="HM406" s="290"/>
      <c r="HN406" s="290"/>
      <c r="HO406" s="290"/>
      <c r="HP406" s="290"/>
      <c r="HQ406" s="290"/>
      <c r="HR406" s="290"/>
      <c r="HS406" s="290"/>
      <c r="HT406" s="290"/>
      <c r="HU406" s="290"/>
      <c r="HV406" s="290"/>
      <c r="HW406" s="290"/>
      <c r="HX406" s="290"/>
      <c r="HY406" s="290"/>
      <c r="HZ406" s="290"/>
      <c r="IA406" s="290"/>
      <c r="IB406" s="290"/>
      <c r="IC406" s="290"/>
      <c r="ID406" s="290"/>
      <c r="IE406" s="290"/>
      <c r="IF406" s="290"/>
      <c r="IG406" s="290"/>
      <c r="IH406" s="290"/>
      <c r="II406" s="290"/>
      <c r="IJ406" s="290"/>
      <c r="IK406" s="290"/>
      <c r="IL406" s="290"/>
      <c r="IM406" s="290"/>
      <c r="IN406" s="290"/>
      <c r="IO406" s="290"/>
      <c r="IP406" s="290"/>
      <c r="IQ406" s="290"/>
    </row>
    <row r="407" spans="1:251" ht="39" x14ac:dyDescent="0.3">
      <c r="A407" s="239" t="s">
        <v>286</v>
      </c>
      <c r="B407" s="21" t="s">
        <v>1852</v>
      </c>
      <c r="C407" s="129" t="s">
        <v>49</v>
      </c>
      <c r="D407" s="166" t="s">
        <v>37</v>
      </c>
      <c r="E407" s="166" t="s">
        <v>38</v>
      </c>
      <c r="F407" s="100" t="s">
        <v>1854</v>
      </c>
      <c r="G407" s="183"/>
      <c r="H407" s="183"/>
      <c r="I407" s="183"/>
      <c r="J407" s="183"/>
      <c r="K407" s="183"/>
      <c r="L407" s="183"/>
      <c r="M407" s="183"/>
      <c r="N407" s="183"/>
      <c r="O407" s="183"/>
      <c r="P407" s="183"/>
      <c r="Q407" s="183"/>
      <c r="R407" s="183"/>
      <c r="S407" s="183"/>
      <c r="T407" s="183"/>
      <c r="U407" s="183"/>
      <c r="V407" s="183"/>
      <c r="W407" s="183"/>
      <c r="X407" s="183"/>
      <c r="Y407" s="183"/>
      <c r="Z407" s="183"/>
      <c r="AA407" s="183"/>
      <c r="AB407" s="183"/>
      <c r="AC407" s="183"/>
      <c r="AD407" s="183"/>
      <c r="AE407" s="183"/>
      <c r="AF407" s="183"/>
      <c r="AG407" s="183"/>
      <c r="AH407" s="183"/>
      <c r="AI407" s="183"/>
      <c r="AJ407" s="183"/>
      <c r="AK407" s="183"/>
      <c r="AL407" s="183"/>
      <c r="AM407" s="183"/>
      <c r="AN407" s="183"/>
      <c r="AO407" s="183"/>
      <c r="AP407" s="183"/>
      <c r="AQ407" s="183"/>
      <c r="AR407" s="183"/>
      <c r="AS407" s="183"/>
      <c r="AT407" s="183"/>
      <c r="AU407" s="183"/>
      <c r="AV407" s="183"/>
      <c r="AW407" s="183"/>
      <c r="AX407" s="183"/>
      <c r="AY407" s="183"/>
      <c r="AZ407" s="183"/>
      <c r="BA407" s="183"/>
      <c r="BB407" s="183"/>
      <c r="BC407" s="183"/>
      <c r="BD407" s="183"/>
      <c r="BE407" s="183"/>
      <c r="BF407" s="183"/>
      <c r="BG407" s="183"/>
      <c r="BH407" s="183"/>
      <c r="BI407" s="183"/>
      <c r="BJ407" s="183"/>
      <c r="BK407" s="183"/>
      <c r="BL407" s="183"/>
      <c r="BM407" s="183"/>
      <c r="BN407" s="183"/>
      <c r="BO407" s="183"/>
      <c r="BP407" s="183"/>
      <c r="BQ407" s="183"/>
      <c r="BR407" s="183"/>
      <c r="BS407" s="183"/>
      <c r="BT407" s="183"/>
      <c r="BU407" s="183"/>
      <c r="BV407" s="183"/>
      <c r="BW407" s="183"/>
      <c r="BX407" s="183"/>
      <c r="BY407" s="183"/>
      <c r="BZ407" s="183"/>
      <c r="CA407" s="183"/>
      <c r="CB407" s="183"/>
      <c r="CC407" s="183"/>
      <c r="CD407" s="183"/>
      <c r="CE407" s="183"/>
      <c r="CF407" s="183"/>
      <c r="CG407" s="183"/>
      <c r="CH407" s="183"/>
      <c r="CI407" s="183"/>
      <c r="CJ407" s="183"/>
      <c r="CK407" s="183"/>
      <c r="CL407" s="183"/>
      <c r="CM407" s="183"/>
      <c r="CN407" s="183"/>
      <c r="CO407" s="183"/>
      <c r="CP407" s="183"/>
      <c r="CQ407" s="183"/>
      <c r="CR407" s="183"/>
      <c r="CS407" s="183"/>
      <c r="CT407" s="183"/>
      <c r="CU407" s="183"/>
      <c r="CV407" s="183"/>
      <c r="CW407" s="183"/>
      <c r="CX407" s="183"/>
      <c r="CY407" s="183"/>
      <c r="CZ407" s="183"/>
      <c r="DA407" s="183"/>
      <c r="DB407" s="183"/>
      <c r="DC407" s="183"/>
      <c r="DD407" s="183"/>
      <c r="DE407" s="183"/>
      <c r="DF407" s="183"/>
      <c r="DG407" s="183"/>
      <c r="DH407" s="183"/>
      <c r="DI407" s="183"/>
      <c r="DJ407" s="183"/>
      <c r="DK407" s="183"/>
      <c r="DL407" s="183"/>
      <c r="DM407" s="183"/>
      <c r="DN407" s="183"/>
      <c r="DO407" s="183"/>
      <c r="DP407" s="183"/>
      <c r="DQ407" s="183"/>
      <c r="DR407" s="183"/>
      <c r="DS407" s="183"/>
      <c r="DT407" s="183"/>
      <c r="DU407" s="183"/>
      <c r="DV407" s="183"/>
      <c r="DW407" s="183"/>
      <c r="DX407" s="183"/>
      <c r="DY407" s="183"/>
      <c r="DZ407" s="183"/>
      <c r="EA407" s="183"/>
      <c r="EB407" s="183"/>
      <c r="EC407" s="183"/>
      <c r="ED407" s="183"/>
      <c r="EE407" s="183"/>
      <c r="EF407" s="183"/>
      <c r="EG407" s="183"/>
      <c r="EH407" s="183"/>
      <c r="EI407" s="183"/>
      <c r="EJ407" s="183"/>
      <c r="EK407" s="183"/>
      <c r="EL407" s="183"/>
      <c r="EM407" s="183"/>
      <c r="EN407" s="183"/>
      <c r="EO407" s="183"/>
      <c r="EP407" s="183"/>
      <c r="EQ407" s="183"/>
      <c r="ER407" s="183"/>
      <c r="ES407" s="183"/>
      <c r="ET407" s="183"/>
      <c r="EU407" s="183"/>
      <c r="EV407" s="183"/>
      <c r="EW407" s="183"/>
      <c r="EX407" s="183"/>
      <c r="EY407" s="183"/>
      <c r="EZ407" s="183"/>
      <c r="FA407" s="183"/>
      <c r="FB407" s="183"/>
      <c r="FC407" s="183"/>
      <c r="FD407" s="183"/>
      <c r="FE407" s="183"/>
      <c r="FF407" s="183"/>
      <c r="FG407" s="183"/>
      <c r="FH407" s="183"/>
      <c r="FI407" s="183"/>
      <c r="FJ407" s="183"/>
      <c r="FK407" s="183"/>
      <c r="FL407" s="183"/>
      <c r="FM407" s="183"/>
      <c r="FN407" s="183"/>
      <c r="FO407" s="183"/>
      <c r="FP407" s="183"/>
      <c r="FQ407" s="183"/>
      <c r="FR407" s="183"/>
      <c r="FS407" s="183"/>
      <c r="FT407" s="183"/>
      <c r="FU407" s="183"/>
      <c r="FV407" s="183"/>
      <c r="FW407" s="183"/>
      <c r="FX407" s="183"/>
      <c r="FY407" s="183"/>
      <c r="FZ407" s="183"/>
      <c r="GA407" s="183"/>
      <c r="GB407" s="183"/>
      <c r="GC407" s="183"/>
      <c r="GD407" s="183"/>
      <c r="GE407" s="183"/>
      <c r="GF407" s="183"/>
      <c r="GG407" s="183"/>
      <c r="GH407" s="183"/>
      <c r="GI407" s="183"/>
      <c r="GJ407" s="183"/>
      <c r="GK407" s="183"/>
      <c r="GL407" s="183"/>
      <c r="GM407" s="183"/>
      <c r="GN407" s="183"/>
      <c r="GO407" s="183"/>
      <c r="GP407" s="183"/>
      <c r="GQ407" s="183"/>
      <c r="GR407" s="183"/>
      <c r="GS407" s="183"/>
      <c r="GT407" s="183"/>
      <c r="GU407" s="183"/>
      <c r="GV407" s="183"/>
      <c r="GW407" s="183"/>
      <c r="GX407" s="183"/>
      <c r="GY407" s="183"/>
      <c r="GZ407" s="183"/>
      <c r="HA407" s="183"/>
      <c r="HB407" s="183"/>
      <c r="HC407" s="183"/>
      <c r="HD407" s="183"/>
      <c r="HE407" s="183"/>
      <c r="HF407" s="183"/>
      <c r="HG407" s="183"/>
      <c r="HH407" s="183"/>
      <c r="HI407" s="183"/>
      <c r="HJ407" s="183"/>
      <c r="HK407" s="183"/>
      <c r="HL407" s="183"/>
      <c r="HM407" s="183"/>
      <c r="HN407" s="183"/>
      <c r="HO407" s="183"/>
      <c r="HP407" s="183"/>
      <c r="HQ407" s="183"/>
      <c r="HR407" s="183"/>
      <c r="HS407" s="183"/>
      <c r="HT407" s="183"/>
      <c r="HU407" s="183"/>
      <c r="HV407" s="183"/>
      <c r="HW407" s="183"/>
      <c r="HX407" s="183"/>
      <c r="HY407" s="183"/>
      <c r="HZ407" s="183"/>
      <c r="IA407" s="183"/>
      <c r="IB407" s="183"/>
      <c r="IC407" s="183"/>
      <c r="ID407" s="183"/>
      <c r="IE407" s="183"/>
      <c r="IF407" s="183"/>
      <c r="IG407" s="183"/>
      <c r="IH407" s="183"/>
      <c r="II407" s="183"/>
      <c r="IJ407" s="183"/>
      <c r="IK407" s="183"/>
      <c r="IL407" s="183"/>
      <c r="IM407" s="183"/>
      <c r="IN407" s="183"/>
      <c r="IO407" s="183"/>
      <c r="IP407" s="183"/>
      <c r="IQ407" s="183"/>
    </row>
    <row r="408" spans="1:251" ht="39" x14ac:dyDescent="0.3">
      <c r="A408" s="83" t="s">
        <v>184</v>
      </c>
      <c r="B408" s="196" t="s">
        <v>287</v>
      </c>
      <c r="C408" s="191" t="s">
        <v>30</v>
      </c>
      <c r="D408" s="192" t="s">
        <v>31</v>
      </c>
      <c r="E408" s="192" t="s">
        <v>32</v>
      </c>
      <c r="F408" s="114" t="s">
        <v>33</v>
      </c>
    </row>
    <row r="409" spans="1:251" x14ac:dyDescent="0.3">
      <c r="A409" s="268" t="s">
        <v>1867</v>
      </c>
      <c r="B409" s="271" t="s">
        <v>46</v>
      </c>
      <c r="C409" s="274" t="s">
        <v>36</v>
      </c>
      <c r="D409" s="265" t="s">
        <v>37</v>
      </c>
      <c r="E409" s="265" t="s">
        <v>38</v>
      </c>
      <c r="F409" s="108" t="s">
        <v>233</v>
      </c>
    </row>
    <row r="410" spans="1:251" x14ac:dyDescent="0.3">
      <c r="A410" s="269"/>
      <c r="B410" s="272"/>
      <c r="C410" s="275"/>
      <c r="D410" s="266"/>
      <c r="E410" s="266"/>
      <c r="F410" s="109" t="s">
        <v>234</v>
      </c>
    </row>
    <row r="411" spans="1:251" x14ac:dyDescent="0.3">
      <c r="A411" s="270"/>
      <c r="B411" s="273"/>
      <c r="C411" s="276"/>
      <c r="D411" s="267"/>
      <c r="E411" s="267"/>
      <c r="F411" s="110" t="s">
        <v>235</v>
      </c>
    </row>
    <row r="412" spans="1:251" x14ac:dyDescent="0.3">
      <c r="A412" s="268" t="s">
        <v>1867</v>
      </c>
      <c r="B412" s="271" t="s">
        <v>48</v>
      </c>
      <c r="C412" s="274" t="s">
        <v>49</v>
      </c>
      <c r="D412" s="265" t="s">
        <v>37</v>
      </c>
      <c r="E412" s="265" t="s">
        <v>38</v>
      </c>
      <c r="F412" s="111" t="s">
        <v>236</v>
      </c>
    </row>
    <row r="413" spans="1:251" x14ac:dyDescent="0.3">
      <c r="A413" s="269"/>
      <c r="B413" s="272"/>
      <c r="C413" s="275"/>
      <c r="D413" s="266"/>
      <c r="E413" s="266"/>
      <c r="F413" s="112" t="s">
        <v>237</v>
      </c>
    </row>
    <row r="414" spans="1:251" x14ac:dyDescent="0.3">
      <c r="A414" s="270"/>
      <c r="B414" s="273"/>
      <c r="C414" s="276"/>
      <c r="D414" s="267"/>
      <c r="E414" s="267"/>
      <c r="F414" s="113" t="s">
        <v>238</v>
      </c>
    </row>
    <row r="415" spans="1:251" ht="39" x14ac:dyDescent="0.3">
      <c r="A415" s="246" t="s">
        <v>1867</v>
      </c>
      <c r="B415" s="21" t="s">
        <v>1852</v>
      </c>
      <c r="C415" s="129" t="s">
        <v>49</v>
      </c>
      <c r="D415" s="166" t="s">
        <v>37</v>
      </c>
      <c r="E415" s="166" t="s">
        <v>38</v>
      </c>
      <c r="F415" s="100" t="s">
        <v>1854</v>
      </c>
    </row>
    <row r="416" spans="1:251" ht="39" x14ac:dyDescent="0.3">
      <c r="A416" s="241" t="s">
        <v>184</v>
      </c>
      <c r="B416" s="242" t="s">
        <v>1957</v>
      </c>
      <c r="C416" s="243" t="s">
        <v>30</v>
      </c>
      <c r="D416" s="244" t="s">
        <v>31</v>
      </c>
      <c r="E416" s="244" t="s">
        <v>32</v>
      </c>
      <c r="F416" s="245" t="s">
        <v>33</v>
      </c>
      <c r="G416" s="243" t="s">
        <v>5</v>
      </c>
      <c r="H416" s="183"/>
      <c r="I416" s="183"/>
      <c r="J416" s="183"/>
      <c r="K416" s="183"/>
      <c r="L416" s="183"/>
      <c r="M416" s="183"/>
      <c r="N416" s="183"/>
      <c r="O416" s="183"/>
      <c r="P416" s="183"/>
      <c r="Q416" s="183"/>
      <c r="R416" s="183"/>
      <c r="S416" s="183"/>
      <c r="T416" s="183"/>
      <c r="U416" s="183"/>
      <c r="V416" s="183"/>
      <c r="W416" s="183"/>
      <c r="X416" s="183"/>
      <c r="Y416" s="183"/>
      <c r="Z416" s="183"/>
      <c r="AA416" s="183"/>
      <c r="AB416" s="183"/>
      <c r="AC416" s="183"/>
      <c r="AD416" s="183"/>
      <c r="AE416" s="183"/>
      <c r="AF416" s="183"/>
      <c r="AG416" s="183"/>
      <c r="AH416" s="183"/>
      <c r="AI416" s="183"/>
      <c r="AJ416" s="183"/>
      <c r="AK416" s="183"/>
      <c r="AL416" s="183"/>
      <c r="AM416" s="183"/>
      <c r="AN416" s="183"/>
      <c r="AO416" s="183"/>
      <c r="AP416" s="183"/>
      <c r="AQ416" s="183"/>
      <c r="AR416" s="183"/>
      <c r="AS416" s="183"/>
      <c r="AT416" s="183"/>
      <c r="AU416" s="183"/>
      <c r="AV416" s="183"/>
      <c r="AW416" s="183"/>
      <c r="AX416" s="183"/>
      <c r="AY416" s="183"/>
      <c r="AZ416" s="183"/>
      <c r="BA416" s="183"/>
      <c r="BB416" s="183"/>
      <c r="BC416" s="183"/>
      <c r="BD416" s="183"/>
      <c r="BE416" s="183"/>
      <c r="BF416" s="183"/>
      <c r="BG416" s="183"/>
      <c r="BH416" s="183"/>
      <c r="BI416" s="183"/>
      <c r="BJ416" s="183"/>
      <c r="BK416" s="183"/>
      <c r="BL416" s="183"/>
      <c r="BM416" s="183"/>
      <c r="BN416" s="183"/>
      <c r="BO416" s="183"/>
      <c r="BP416" s="183"/>
      <c r="BQ416" s="183"/>
      <c r="BR416" s="183"/>
      <c r="BS416" s="183"/>
      <c r="BT416" s="183"/>
      <c r="BU416" s="183"/>
      <c r="BV416" s="183"/>
      <c r="BW416" s="183"/>
      <c r="BX416" s="183"/>
      <c r="BY416" s="183"/>
      <c r="BZ416" s="183"/>
      <c r="CA416" s="183"/>
      <c r="CB416" s="183"/>
      <c r="CC416" s="183"/>
      <c r="CD416" s="183"/>
      <c r="CE416" s="183"/>
      <c r="CF416" s="183"/>
      <c r="CG416" s="183"/>
      <c r="CH416" s="183"/>
      <c r="CI416" s="183"/>
      <c r="CJ416" s="183"/>
      <c r="CK416" s="183"/>
      <c r="CL416" s="183"/>
      <c r="CM416" s="183"/>
      <c r="CN416" s="183"/>
      <c r="CO416" s="183"/>
      <c r="CP416" s="183"/>
      <c r="CQ416" s="183"/>
      <c r="CR416" s="183"/>
      <c r="CS416" s="183"/>
      <c r="CT416" s="183"/>
      <c r="CU416" s="183"/>
      <c r="CV416" s="183"/>
      <c r="CW416" s="183"/>
      <c r="CX416" s="183"/>
      <c r="CY416" s="183"/>
      <c r="CZ416" s="183"/>
      <c r="DA416" s="183"/>
      <c r="DB416" s="183"/>
      <c r="DC416" s="183"/>
      <c r="DD416" s="183"/>
      <c r="DE416" s="183"/>
      <c r="DF416" s="183"/>
      <c r="DG416" s="183"/>
      <c r="DH416" s="183"/>
      <c r="DI416" s="183"/>
      <c r="DJ416" s="183"/>
      <c r="DK416" s="183"/>
      <c r="DL416" s="183"/>
      <c r="DM416" s="183"/>
      <c r="DN416" s="183"/>
      <c r="DO416" s="183"/>
      <c r="DP416" s="183"/>
      <c r="DQ416" s="183"/>
      <c r="DR416" s="183"/>
      <c r="DS416" s="183"/>
      <c r="DT416" s="183"/>
      <c r="DU416" s="183"/>
      <c r="DV416" s="183"/>
      <c r="DW416" s="183"/>
      <c r="DX416" s="183"/>
      <c r="DY416" s="183"/>
      <c r="DZ416" s="183"/>
      <c r="EA416" s="183"/>
      <c r="EB416" s="183"/>
      <c r="EC416" s="183"/>
      <c r="ED416" s="183"/>
      <c r="EE416" s="183"/>
      <c r="EF416" s="183"/>
      <c r="EG416" s="183"/>
      <c r="EH416" s="183"/>
      <c r="EI416" s="183"/>
      <c r="EJ416" s="183"/>
      <c r="EK416" s="183"/>
      <c r="EL416" s="183"/>
      <c r="EM416" s="183"/>
      <c r="EN416" s="183"/>
      <c r="EO416" s="183"/>
      <c r="EP416" s="183"/>
      <c r="EQ416" s="183"/>
      <c r="ER416" s="183"/>
      <c r="ES416" s="183"/>
      <c r="ET416" s="183"/>
      <c r="EU416" s="183"/>
      <c r="EV416" s="183"/>
      <c r="EW416" s="183"/>
      <c r="EX416" s="183"/>
      <c r="EY416" s="183"/>
      <c r="EZ416" s="183"/>
      <c r="FA416" s="183"/>
      <c r="FB416" s="183"/>
      <c r="FC416" s="183"/>
      <c r="FD416" s="183"/>
      <c r="FE416" s="183"/>
      <c r="FF416" s="183"/>
      <c r="FG416" s="183"/>
      <c r="FH416" s="183"/>
      <c r="FI416" s="183"/>
      <c r="FJ416" s="183"/>
      <c r="FK416" s="183"/>
      <c r="FL416" s="183"/>
      <c r="FM416" s="183"/>
      <c r="FN416" s="183"/>
      <c r="FO416" s="183"/>
      <c r="FP416" s="183"/>
      <c r="FQ416" s="183"/>
      <c r="FR416" s="183"/>
      <c r="FS416" s="183"/>
      <c r="FT416" s="183"/>
      <c r="FU416" s="183"/>
      <c r="FV416" s="183"/>
      <c r="FW416" s="183"/>
      <c r="FX416" s="183"/>
      <c r="FY416" s="183"/>
      <c r="FZ416" s="183"/>
      <c r="GA416" s="183"/>
      <c r="GB416" s="183"/>
      <c r="GC416" s="183"/>
      <c r="GD416" s="183"/>
      <c r="GE416" s="183"/>
      <c r="GF416" s="183"/>
      <c r="GG416" s="183"/>
      <c r="GH416" s="183"/>
      <c r="GI416" s="183"/>
      <c r="GJ416" s="183"/>
      <c r="GK416" s="183"/>
      <c r="GL416" s="183"/>
      <c r="GM416" s="183"/>
      <c r="GN416" s="183"/>
      <c r="GO416" s="183"/>
      <c r="GP416" s="183"/>
      <c r="GQ416" s="183"/>
      <c r="GR416" s="183"/>
      <c r="GS416" s="183"/>
      <c r="GT416" s="183"/>
      <c r="GU416" s="183"/>
      <c r="GV416" s="183"/>
      <c r="GW416" s="183"/>
      <c r="GX416" s="183"/>
      <c r="GY416" s="183"/>
      <c r="GZ416" s="183"/>
      <c r="HA416" s="183"/>
      <c r="HB416" s="183"/>
      <c r="HC416" s="183"/>
      <c r="HD416" s="183"/>
      <c r="HE416" s="183"/>
      <c r="HF416" s="183"/>
      <c r="HG416" s="183"/>
      <c r="HH416" s="183"/>
      <c r="HI416" s="183"/>
      <c r="HJ416" s="183"/>
      <c r="HK416" s="183"/>
      <c r="HL416" s="183"/>
      <c r="HM416" s="183"/>
      <c r="HN416" s="183"/>
      <c r="HO416" s="183"/>
      <c r="HP416" s="183"/>
      <c r="HQ416" s="183"/>
      <c r="HR416" s="183"/>
      <c r="HS416" s="183"/>
      <c r="HT416" s="183"/>
      <c r="HU416" s="183"/>
      <c r="HV416" s="183"/>
      <c r="HW416" s="183"/>
      <c r="HX416" s="183"/>
      <c r="HY416" s="183"/>
      <c r="HZ416" s="183"/>
      <c r="IA416" s="183"/>
      <c r="IB416" s="183"/>
      <c r="IC416" s="183"/>
      <c r="ID416" s="183"/>
      <c r="IE416" s="183"/>
      <c r="IF416" s="183"/>
      <c r="IG416" s="183"/>
      <c r="IH416" s="183"/>
      <c r="II416" s="183"/>
      <c r="IJ416" s="183"/>
      <c r="IK416" s="183"/>
      <c r="IL416" s="183"/>
      <c r="IM416" s="183"/>
      <c r="IN416" s="183"/>
      <c r="IO416" s="183"/>
      <c r="IP416" s="183"/>
      <c r="IQ416" s="183"/>
    </row>
    <row r="417" spans="1:251" x14ac:dyDescent="0.3">
      <c r="A417" s="268" t="s">
        <v>1868</v>
      </c>
      <c r="B417" s="271" t="s">
        <v>46</v>
      </c>
      <c r="C417" s="274" t="s">
        <v>36</v>
      </c>
      <c r="D417" s="265" t="s">
        <v>37</v>
      </c>
      <c r="E417" s="265" t="s">
        <v>38</v>
      </c>
      <c r="F417" s="108" t="s">
        <v>233</v>
      </c>
      <c r="G417" s="286"/>
      <c r="H417" s="289"/>
      <c r="I417" s="290"/>
      <c r="J417" s="290"/>
      <c r="K417" s="290"/>
      <c r="L417" s="290"/>
      <c r="M417" s="290"/>
      <c r="N417" s="290"/>
      <c r="O417" s="290"/>
      <c r="P417" s="290"/>
      <c r="Q417" s="290"/>
      <c r="R417" s="290"/>
      <c r="S417" s="290"/>
      <c r="T417" s="290"/>
      <c r="U417" s="290"/>
      <c r="V417" s="290"/>
      <c r="W417" s="290"/>
      <c r="X417" s="290"/>
      <c r="Y417" s="290"/>
      <c r="Z417" s="290"/>
      <c r="AA417" s="290"/>
      <c r="AB417" s="290"/>
      <c r="AC417" s="290"/>
      <c r="AD417" s="290"/>
      <c r="AE417" s="290"/>
      <c r="AF417" s="290"/>
      <c r="AG417" s="290"/>
      <c r="AH417" s="290"/>
      <c r="AI417" s="290"/>
      <c r="AJ417" s="290"/>
      <c r="AK417" s="290"/>
      <c r="AL417" s="290"/>
      <c r="AM417" s="290"/>
      <c r="AN417" s="290"/>
      <c r="AO417" s="290"/>
      <c r="AP417" s="290"/>
      <c r="AQ417" s="290"/>
      <c r="AR417" s="290"/>
      <c r="AS417" s="290"/>
      <c r="AT417" s="290"/>
      <c r="AU417" s="290"/>
      <c r="AV417" s="290"/>
      <c r="AW417" s="290"/>
      <c r="AX417" s="290"/>
      <c r="AY417" s="290"/>
      <c r="AZ417" s="290"/>
      <c r="BA417" s="290"/>
      <c r="BB417" s="290"/>
      <c r="BC417" s="290"/>
      <c r="BD417" s="290"/>
      <c r="BE417" s="290"/>
      <c r="BF417" s="290"/>
      <c r="BG417" s="290"/>
      <c r="BH417" s="290"/>
      <c r="BI417" s="290"/>
      <c r="BJ417" s="290"/>
      <c r="BK417" s="290"/>
      <c r="BL417" s="290"/>
      <c r="BM417" s="290"/>
      <c r="BN417" s="290"/>
      <c r="BO417" s="290"/>
      <c r="BP417" s="290"/>
      <c r="BQ417" s="290"/>
      <c r="BR417" s="290"/>
      <c r="BS417" s="290"/>
      <c r="BT417" s="290"/>
      <c r="BU417" s="290"/>
      <c r="BV417" s="290"/>
      <c r="BW417" s="290"/>
      <c r="BX417" s="290"/>
      <c r="BY417" s="290"/>
      <c r="BZ417" s="290"/>
      <c r="CA417" s="290"/>
      <c r="CB417" s="290"/>
      <c r="CC417" s="290"/>
      <c r="CD417" s="290"/>
      <c r="CE417" s="290"/>
      <c r="CF417" s="290"/>
      <c r="CG417" s="290"/>
      <c r="CH417" s="290"/>
      <c r="CI417" s="290"/>
      <c r="CJ417" s="290"/>
      <c r="CK417" s="290"/>
      <c r="CL417" s="290"/>
      <c r="CM417" s="290"/>
      <c r="CN417" s="290"/>
      <c r="CO417" s="290"/>
      <c r="CP417" s="290"/>
      <c r="CQ417" s="290"/>
      <c r="CR417" s="290"/>
      <c r="CS417" s="290"/>
      <c r="CT417" s="290"/>
      <c r="CU417" s="290"/>
      <c r="CV417" s="290"/>
      <c r="CW417" s="290"/>
      <c r="CX417" s="290"/>
      <c r="CY417" s="290"/>
      <c r="CZ417" s="290"/>
      <c r="DA417" s="290"/>
      <c r="DB417" s="290"/>
      <c r="DC417" s="290"/>
      <c r="DD417" s="290"/>
      <c r="DE417" s="290"/>
      <c r="DF417" s="290"/>
      <c r="DG417" s="290"/>
      <c r="DH417" s="290"/>
      <c r="DI417" s="290"/>
      <c r="DJ417" s="290"/>
      <c r="DK417" s="290"/>
      <c r="DL417" s="290"/>
      <c r="DM417" s="290"/>
      <c r="DN417" s="290"/>
      <c r="DO417" s="290"/>
      <c r="DP417" s="290"/>
      <c r="DQ417" s="290"/>
      <c r="DR417" s="290"/>
      <c r="DS417" s="290"/>
      <c r="DT417" s="290"/>
      <c r="DU417" s="290"/>
      <c r="DV417" s="290"/>
      <c r="DW417" s="290"/>
      <c r="DX417" s="290"/>
      <c r="DY417" s="290"/>
      <c r="DZ417" s="290"/>
      <c r="EA417" s="290"/>
      <c r="EB417" s="290"/>
      <c r="EC417" s="290"/>
      <c r="ED417" s="290"/>
      <c r="EE417" s="290"/>
      <c r="EF417" s="290"/>
      <c r="EG417" s="290"/>
      <c r="EH417" s="290"/>
      <c r="EI417" s="290"/>
      <c r="EJ417" s="290"/>
      <c r="EK417" s="290"/>
      <c r="EL417" s="290"/>
      <c r="EM417" s="290"/>
      <c r="EN417" s="290"/>
      <c r="EO417" s="290"/>
      <c r="EP417" s="290"/>
      <c r="EQ417" s="290"/>
      <c r="ER417" s="290"/>
      <c r="ES417" s="290"/>
      <c r="ET417" s="290"/>
      <c r="EU417" s="290"/>
      <c r="EV417" s="290"/>
      <c r="EW417" s="290"/>
      <c r="EX417" s="290"/>
      <c r="EY417" s="290"/>
      <c r="EZ417" s="290"/>
      <c r="FA417" s="290"/>
      <c r="FB417" s="290"/>
      <c r="FC417" s="290"/>
      <c r="FD417" s="290"/>
      <c r="FE417" s="290"/>
      <c r="FF417" s="290"/>
      <c r="FG417" s="290"/>
      <c r="FH417" s="290"/>
      <c r="FI417" s="290"/>
      <c r="FJ417" s="290"/>
      <c r="FK417" s="290"/>
      <c r="FL417" s="290"/>
      <c r="FM417" s="290"/>
      <c r="FN417" s="290"/>
      <c r="FO417" s="290"/>
      <c r="FP417" s="290"/>
      <c r="FQ417" s="290"/>
      <c r="FR417" s="290"/>
      <c r="FS417" s="290"/>
      <c r="FT417" s="290"/>
      <c r="FU417" s="290"/>
      <c r="FV417" s="290"/>
      <c r="FW417" s="290"/>
      <c r="FX417" s="290"/>
      <c r="FY417" s="290"/>
      <c r="FZ417" s="290"/>
      <c r="GA417" s="290"/>
      <c r="GB417" s="290"/>
      <c r="GC417" s="290"/>
      <c r="GD417" s="290"/>
      <c r="GE417" s="290"/>
      <c r="GF417" s="290"/>
      <c r="GG417" s="290"/>
      <c r="GH417" s="290"/>
      <c r="GI417" s="290"/>
      <c r="GJ417" s="290"/>
      <c r="GK417" s="290"/>
      <c r="GL417" s="290"/>
      <c r="GM417" s="290"/>
      <c r="GN417" s="290"/>
      <c r="GO417" s="290"/>
      <c r="GP417" s="290"/>
      <c r="GQ417" s="290"/>
      <c r="GR417" s="290"/>
      <c r="GS417" s="290"/>
      <c r="GT417" s="290"/>
      <c r="GU417" s="290"/>
      <c r="GV417" s="290"/>
      <c r="GW417" s="290"/>
      <c r="GX417" s="290"/>
      <c r="GY417" s="290"/>
      <c r="GZ417" s="290"/>
      <c r="HA417" s="290"/>
      <c r="HB417" s="290"/>
      <c r="HC417" s="290"/>
      <c r="HD417" s="290"/>
      <c r="HE417" s="290"/>
      <c r="HF417" s="290"/>
      <c r="HG417" s="290"/>
      <c r="HH417" s="290"/>
      <c r="HI417" s="290"/>
      <c r="HJ417" s="290"/>
      <c r="HK417" s="290"/>
      <c r="HL417" s="290"/>
      <c r="HM417" s="290"/>
      <c r="HN417" s="290"/>
      <c r="HO417" s="290"/>
      <c r="HP417" s="290"/>
      <c r="HQ417" s="290"/>
      <c r="HR417" s="290"/>
      <c r="HS417" s="290"/>
      <c r="HT417" s="290"/>
      <c r="HU417" s="290"/>
      <c r="HV417" s="290"/>
      <c r="HW417" s="290"/>
      <c r="HX417" s="290"/>
      <c r="HY417" s="290"/>
      <c r="HZ417" s="290"/>
      <c r="IA417" s="290"/>
      <c r="IB417" s="290"/>
      <c r="IC417" s="290"/>
      <c r="ID417" s="290"/>
      <c r="IE417" s="290"/>
      <c r="IF417" s="290"/>
      <c r="IG417" s="290"/>
      <c r="IH417" s="290"/>
      <c r="II417" s="290"/>
      <c r="IJ417" s="290"/>
      <c r="IK417" s="290"/>
      <c r="IL417" s="290"/>
      <c r="IM417" s="290"/>
      <c r="IN417" s="290"/>
      <c r="IO417" s="290"/>
      <c r="IP417" s="290"/>
      <c r="IQ417" s="290"/>
    </row>
    <row r="418" spans="1:251" x14ac:dyDescent="0.3">
      <c r="A418" s="269"/>
      <c r="B418" s="272"/>
      <c r="C418" s="275"/>
      <c r="D418" s="266"/>
      <c r="E418" s="266"/>
      <c r="F418" s="109" t="s">
        <v>234</v>
      </c>
      <c r="G418" s="287"/>
      <c r="H418" s="289"/>
      <c r="I418" s="290"/>
      <c r="J418" s="290"/>
      <c r="K418" s="290"/>
      <c r="L418" s="290"/>
      <c r="M418" s="290"/>
      <c r="N418" s="290"/>
      <c r="O418" s="290"/>
      <c r="P418" s="290"/>
      <c r="Q418" s="290"/>
      <c r="R418" s="290"/>
      <c r="S418" s="290"/>
      <c r="T418" s="290"/>
      <c r="U418" s="290"/>
      <c r="V418" s="290"/>
      <c r="W418" s="290"/>
      <c r="X418" s="290"/>
      <c r="Y418" s="290"/>
      <c r="Z418" s="290"/>
      <c r="AA418" s="290"/>
      <c r="AB418" s="290"/>
      <c r="AC418" s="290"/>
      <c r="AD418" s="290"/>
      <c r="AE418" s="290"/>
      <c r="AF418" s="290"/>
      <c r="AG418" s="290"/>
      <c r="AH418" s="290"/>
      <c r="AI418" s="290"/>
      <c r="AJ418" s="290"/>
      <c r="AK418" s="290"/>
      <c r="AL418" s="290"/>
      <c r="AM418" s="290"/>
      <c r="AN418" s="290"/>
      <c r="AO418" s="290"/>
      <c r="AP418" s="290"/>
      <c r="AQ418" s="290"/>
      <c r="AR418" s="290"/>
      <c r="AS418" s="290"/>
      <c r="AT418" s="290"/>
      <c r="AU418" s="290"/>
      <c r="AV418" s="290"/>
      <c r="AW418" s="290"/>
      <c r="AX418" s="290"/>
      <c r="AY418" s="290"/>
      <c r="AZ418" s="290"/>
      <c r="BA418" s="290"/>
      <c r="BB418" s="290"/>
      <c r="BC418" s="290"/>
      <c r="BD418" s="290"/>
      <c r="BE418" s="290"/>
      <c r="BF418" s="290"/>
      <c r="BG418" s="290"/>
      <c r="BH418" s="290"/>
      <c r="BI418" s="290"/>
      <c r="BJ418" s="290"/>
      <c r="BK418" s="290"/>
      <c r="BL418" s="290"/>
      <c r="BM418" s="290"/>
      <c r="BN418" s="290"/>
      <c r="BO418" s="290"/>
      <c r="BP418" s="290"/>
      <c r="BQ418" s="290"/>
      <c r="BR418" s="290"/>
      <c r="BS418" s="290"/>
      <c r="BT418" s="290"/>
      <c r="BU418" s="290"/>
      <c r="BV418" s="290"/>
      <c r="BW418" s="290"/>
      <c r="BX418" s="290"/>
      <c r="BY418" s="290"/>
      <c r="BZ418" s="290"/>
      <c r="CA418" s="290"/>
      <c r="CB418" s="290"/>
      <c r="CC418" s="290"/>
      <c r="CD418" s="290"/>
      <c r="CE418" s="290"/>
      <c r="CF418" s="290"/>
      <c r="CG418" s="290"/>
      <c r="CH418" s="290"/>
      <c r="CI418" s="290"/>
      <c r="CJ418" s="290"/>
      <c r="CK418" s="290"/>
      <c r="CL418" s="290"/>
      <c r="CM418" s="290"/>
      <c r="CN418" s="290"/>
      <c r="CO418" s="290"/>
      <c r="CP418" s="290"/>
      <c r="CQ418" s="290"/>
      <c r="CR418" s="290"/>
      <c r="CS418" s="290"/>
      <c r="CT418" s="290"/>
      <c r="CU418" s="290"/>
      <c r="CV418" s="290"/>
      <c r="CW418" s="290"/>
      <c r="CX418" s="290"/>
      <c r="CY418" s="290"/>
      <c r="CZ418" s="290"/>
      <c r="DA418" s="290"/>
      <c r="DB418" s="290"/>
      <c r="DC418" s="290"/>
      <c r="DD418" s="290"/>
      <c r="DE418" s="290"/>
      <c r="DF418" s="290"/>
      <c r="DG418" s="290"/>
      <c r="DH418" s="290"/>
      <c r="DI418" s="290"/>
      <c r="DJ418" s="290"/>
      <c r="DK418" s="290"/>
      <c r="DL418" s="290"/>
      <c r="DM418" s="290"/>
      <c r="DN418" s="290"/>
      <c r="DO418" s="290"/>
      <c r="DP418" s="290"/>
      <c r="DQ418" s="290"/>
      <c r="DR418" s="290"/>
      <c r="DS418" s="290"/>
      <c r="DT418" s="290"/>
      <c r="DU418" s="290"/>
      <c r="DV418" s="290"/>
      <c r="DW418" s="290"/>
      <c r="DX418" s="290"/>
      <c r="DY418" s="290"/>
      <c r="DZ418" s="290"/>
      <c r="EA418" s="290"/>
      <c r="EB418" s="290"/>
      <c r="EC418" s="290"/>
      <c r="ED418" s="290"/>
      <c r="EE418" s="290"/>
      <c r="EF418" s="290"/>
      <c r="EG418" s="290"/>
      <c r="EH418" s="290"/>
      <c r="EI418" s="290"/>
      <c r="EJ418" s="290"/>
      <c r="EK418" s="290"/>
      <c r="EL418" s="290"/>
      <c r="EM418" s="290"/>
      <c r="EN418" s="290"/>
      <c r="EO418" s="290"/>
      <c r="EP418" s="290"/>
      <c r="EQ418" s="290"/>
      <c r="ER418" s="290"/>
      <c r="ES418" s="290"/>
      <c r="ET418" s="290"/>
      <c r="EU418" s="290"/>
      <c r="EV418" s="290"/>
      <c r="EW418" s="290"/>
      <c r="EX418" s="290"/>
      <c r="EY418" s="290"/>
      <c r="EZ418" s="290"/>
      <c r="FA418" s="290"/>
      <c r="FB418" s="290"/>
      <c r="FC418" s="290"/>
      <c r="FD418" s="290"/>
      <c r="FE418" s="290"/>
      <c r="FF418" s="290"/>
      <c r="FG418" s="290"/>
      <c r="FH418" s="290"/>
      <c r="FI418" s="290"/>
      <c r="FJ418" s="290"/>
      <c r="FK418" s="290"/>
      <c r="FL418" s="290"/>
      <c r="FM418" s="290"/>
      <c r="FN418" s="290"/>
      <c r="FO418" s="290"/>
      <c r="FP418" s="290"/>
      <c r="FQ418" s="290"/>
      <c r="FR418" s="290"/>
      <c r="FS418" s="290"/>
      <c r="FT418" s="290"/>
      <c r="FU418" s="290"/>
      <c r="FV418" s="290"/>
      <c r="FW418" s="290"/>
      <c r="FX418" s="290"/>
      <c r="FY418" s="290"/>
      <c r="FZ418" s="290"/>
      <c r="GA418" s="290"/>
      <c r="GB418" s="290"/>
      <c r="GC418" s="290"/>
      <c r="GD418" s="290"/>
      <c r="GE418" s="290"/>
      <c r="GF418" s="290"/>
      <c r="GG418" s="290"/>
      <c r="GH418" s="290"/>
      <c r="GI418" s="290"/>
      <c r="GJ418" s="290"/>
      <c r="GK418" s="290"/>
      <c r="GL418" s="290"/>
      <c r="GM418" s="290"/>
      <c r="GN418" s="290"/>
      <c r="GO418" s="290"/>
      <c r="GP418" s="290"/>
      <c r="GQ418" s="290"/>
      <c r="GR418" s="290"/>
      <c r="GS418" s="290"/>
      <c r="GT418" s="290"/>
      <c r="GU418" s="290"/>
      <c r="GV418" s="290"/>
      <c r="GW418" s="290"/>
      <c r="GX418" s="290"/>
      <c r="GY418" s="290"/>
      <c r="GZ418" s="290"/>
      <c r="HA418" s="290"/>
      <c r="HB418" s="290"/>
      <c r="HC418" s="290"/>
      <c r="HD418" s="290"/>
      <c r="HE418" s="290"/>
      <c r="HF418" s="290"/>
      <c r="HG418" s="290"/>
      <c r="HH418" s="290"/>
      <c r="HI418" s="290"/>
      <c r="HJ418" s="290"/>
      <c r="HK418" s="290"/>
      <c r="HL418" s="290"/>
      <c r="HM418" s="290"/>
      <c r="HN418" s="290"/>
      <c r="HO418" s="290"/>
      <c r="HP418" s="290"/>
      <c r="HQ418" s="290"/>
      <c r="HR418" s="290"/>
      <c r="HS418" s="290"/>
      <c r="HT418" s="290"/>
      <c r="HU418" s="290"/>
      <c r="HV418" s="290"/>
      <c r="HW418" s="290"/>
      <c r="HX418" s="290"/>
      <c r="HY418" s="290"/>
      <c r="HZ418" s="290"/>
      <c r="IA418" s="290"/>
      <c r="IB418" s="290"/>
      <c r="IC418" s="290"/>
      <c r="ID418" s="290"/>
      <c r="IE418" s="290"/>
      <c r="IF418" s="290"/>
      <c r="IG418" s="290"/>
      <c r="IH418" s="290"/>
      <c r="II418" s="290"/>
      <c r="IJ418" s="290"/>
      <c r="IK418" s="290"/>
      <c r="IL418" s="290"/>
      <c r="IM418" s="290"/>
      <c r="IN418" s="290"/>
      <c r="IO418" s="290"/>
      <c r="IP418" s="290"/>
      <c r="IQ418" s="290"/>
    </row>
    <row r="419" spans="1:251" x14ac:dyDescent="0.3">
      <c r="A419" s="270"/>
      <c r="B419" s="273"/>
      <c r="C419" s="276"/>
      <c r="D419" s="267"/>
      <c r="E419" s="267"/>
      <c r="F419" s="110" t="s">
        <v>235</v>
      </c>
      <c r="G419" s="288"/>
      <c r="H419" s="289"/>
      <c r="I419" s="290"/>
      <c r="J419" s="290"/>
      <c r="K419" s="290"/>
      <c r="L419" s="290"/>
      <c r="M419" s="290"/>
      <c r="N419" s="290"/>
      <c r="O419" s="290"/>
      <c r="P419" s="290"/>
      <c r="Q419" s="290"/>
      <c r="R419" s="290"/>
      <c r="S419" s="290"/>
      <c r="T419" s="290"/>
      <c r="U419" s="290"/>
      <c r="V419" s="290"/>
      <c r="W419" s="290"/>
      <c r="X419" s="290"/>
      <c r="Y419" s="290"/>
      <c r="Z419" s="290"/>
      <c r="AA419" s="290"/>
      <c r="AB419" s="290"/>
      <c r="AC419" s="290"/>
      <c r="AD419" s="290"/>
      <c r="AE419" s="290"/>
      <c r="AF419" s="290"/>
      <c r="AG419" s="290"/>
      <c r="AH419" s="290"/>
      <c r="AI419" s="290"/>
      <c r="AJ419" s="290"/>
      <c r="AK419" s="290"/>
      <c r="AL419" s="290"/>
      <c r="AM419" s="290"/>
      <c r="AN419" s="290"/>
      <c r="AO419" s="290"/>
      <c r="AP419" s="290"/>
      <c r="AQ419" s="290"/>
      <c r="AR419" s="290"/>
      <c r="AS419" s="290"/>
      <c r="AT419" s="290"/>
      <c r="AU419" s="290"/>
      <c r="AV419" s="290"/>
      <c r="AW419" s="290"/>
      <c r="AX419" s="290"/>
      <c r="AY419" s="290"/>
      <c r="AZ419" s="290"/>
      <c r="BA419" s="290"/>
      <c r="BB419" s="290"/>
      <c r="BC419" s="290"/>
      <c r="BD419" s="290"/>
      <c r="BE419" s="290"/>
      <c r="BF419" s="290"/>
      <c r="BG419" s="290"/>
      <c r="BH419" s="290"/>
      <c r="BI419" s="290"/>
      <c r="BJ419" s="290"/>
      <c r="BK419" s="290"/>
      <c r="BL419" s="290"/>
      <c r="BM419" s="290"/>
      <c r="BN419" s="290"/>
      <c r="BO419" s="290"/>
      <c r="BP419" s="290"/>
      <c r="BQ419" s="290"/>
      <c r="BR419" s="290"/>
      <c r="BS419" s="290"/>
      <c r="BT419" s="290"/>
      <c r="BU419" s="290"/>
      <c r="BV419" s="290"/>
      <c r="BW419" s="290"/>
      <c r="BX419" s="290"/>
      <c r="BY419" s="290"/>
      <c r="BZ419" s="290"/>
      <c r="CA419" s="290"/>
      <c r="CB419" s="290"/>
      <c r="CC419" s="290"/>
      <c r="CD419" s="290"/>
      <c r="CE419" s="290"/>
      <c r="CF419" s="290"/>
      <c r="CG419" s="290"/>
      <c r="CH419" s="290"/>
      <c r="CI419" s="290"/>
      <c r="CJ419" s="290"/>
      <c r="CK419" s="290"/>
      <c r="CL419" s="290"/>
      <c r="CM419" s="290"/>
      <c r="CN419" s="290"/>
      <c r="CO419" s="290"/>
      <c r="CP419" s="290"/>
      <c r="CQ419" s="290"/>
      <c r="CR419" s="290"/>
      <c r="CS419" s="290"/>
      <c r="CT419" s="290"/>
      <c r="CU419" s="290"/>
      <c r="CV419" s="290"/>
      <c r="CW419" s="290"/>
      <c r="CX419" s="290"/>
      <c r="CY419" s="290"/>
      <c r="CZ419" s="290"/>
      <c r="DA419" s="290"/>
      <c r="DB419" s="290"/>
      <c r="DC419" s="290"/>
      <c r="DD419" s="290"/>
      <c r="DE419" s="290"/>
      <c r="DF419" s="290"/>
      <c r="DG419" s="290"/>
      <c r="DH419" s="290"/>
      <c r="DI419" s="290"/>
      <c r="DJ419" s="290"/>
      <c r="DK419" s="290"/>
      <c r="DL419" s="290"/>
      <c r="DM419" s="290"/>
      <c r="DN419" s="290"/>
      <c r="DO419" s="290"/>
      <c r="DP419" s="290"/>
      <c r="DQ419" s="290"/>
      <c r="DR419" s="290"/>
      <c r="DS419" s="290"/>
      <c r="DT419" s="290"/>
      <c r="DU419" s="290"/>
      <c r="DV419" s="290"/>
      <c r="DW419" s="290"/>
      <c r="DX419" s="290"/>
      <c r="DY419" s="290"/>
      <c r="DZ419" s="290"/>
      <c r="EA419" s="290"/>
      <c r="EB419" s="290"/>
      <c r="EC419" s="290"/>
      <c r="ED419" s="290"/>
      <c r="EE419" s="290"/>
      <c r="EF419" s="290"/>
      <c r="EG419" s="290"/>
      <c r="EH419" s="290"/>
      <c r="EI419" s="290"/>
      <c r="EJ419" s="290"/>
      <c r="EK419" s="290"/>
      <c r="EL419" s="290"/>
      <c r="EM419" s="290"/>
      <c r="EN419" s="290"/>
      <c r="EO419" s="290"/>
      <c r="EP419" s="290"/>
      <c r="EQ419" s="290"/>
      <c r="ER419" s="290"/>
      <c r="ES419" s="290"/>
      <c r="ET419" s="290"/>
      <c r="EU419" s="290"/>
      <c r="EV419" s="290"/>
      <c r="EW419" s="290"/>
      <c r="EX419" s="290"/>
      <c r="EY419" s="290"/>
      <c r="EZ419" s="290"/>
      <c r="FA419" s="290"/>
      <c r="FB419" s="290"/>
      <c r="FC419" s="290"/>
      <c r="FD419" s="290"/>
      <c r="FE419" s="290"/>
      <c r="FF419" s="290"/>
      <c r="FG419" s="290"/>
      <c r="FH419" s="290"/>
      <c r="FI419" s="290"/>
      <c r="FJ419" s="290"/>
      <c r="FK419" s="290"/>
      <c r="FL419" s="290"/>
      <c r="FM419" s="290"/>
      <c r="FN419" s="290"/>
      <c r="FO419" s="290"/>
      <c r="FP419" s="290"/>
      <c r="FQ419" s="290"/>
      <c r="FR419" s="290"/>
      <c r="FS419" s="290"/>
      <c r="FT419" s="290"/>
      <c r="FU419" s="290"/>
      <c r="FV419" s="290"/>
      <c r="FW419" s="290"/>
      <c r="FX419" s="290"/>
      <c r="FY419" s="290"/>
      <c r="FZ419" s="290"/>
      <c r="GA419" s="290"/>
      <c r="GB419" s="290"/>
      <c r="GC419" s="290"/>
      <c r="GD419" s="290"/>
      <c r="GE419" s="290"/>
      <c r="GF419" s="290"/>
      <c r="GG419" s="290"/>
      <c r="GH419" s="290"/>
      <c r="GI419" s="290"/>
      <c r="GJ419" s="290"/>
      <c r="GK419" s="290"/>
      <c r="GL419" s="290"/>
      <c r="GM419" s="290"/>
      <c r="GN419" s="290"/>
      <c r="GO419" s="290"/>
      <c r="GP419" s="290"/>
      <c r="GQ419" s="290"/>
      <c r="GR419" s="290"/>
      <c r="GS419" s="290"/>
      <c r="GT419" s="290"/>
      <c r="GU419" s="290"/>
      <c r="GV419" s="290"/>
      <c r="GW419" s="290"/>
      <c r="GX419" s="290"/>
      <c r="GY419" s="290"/>
      <c r="GZ419" s="290"/>
      <c r="HA419" s="290"/>
      <c r="HB419" s="290"/>
      <c r="HC419" s="290"/>
      <c r="HD419" s="290"/>
      <c r="HE419" s="290"/>
      <c r="HF419" s="290"/>
      <c r="HG419" s="290"/>
      <c r="HH419" s="290"/>
      <c r="HI419" s="290"/>
      <c r="HJ419" s="290"/>
      <c r="HK419" s="290"/>
      <c r="HL419" s="290"/>
      <c r="HM419" s="290"/>
      <c r="HN419" s="290"/>
      <c r="HO419" s="290"/>
      <c r="HP419" s="290"/>
      <c r="HQ419" s="290"/>
      <c r="HR419" s="290"/>
      <c r="HS419" s="290"/>
      <c r="HT419" s="290"/>
      <c r="HU419" s="290"/>
      <c r="HV419" s="290"/>
      <c r="HW419" s="290"/>
      <c r="HX419" s="290"/>
      <c r="HY419" s="290"/>
      <c r="HZ419" s="290"/>
      <c r="IA419" s="290"/>
      <c r="IB419" s="290"/>
      <c r="IC419" s="290"/>
      <c r="ID419" s="290"/>
      <c r="IE419" s="290"/>
      <c r="IF419" s="290"/>
      <c r="IG419" s="290"/>
      <c r="IH419" s="290"/>
      <c r="II419" s="290"/>
      <c r="IJ419" s="290"/>
      <c r="IK419" s="290"/>
      <c r="IL419" s="290"/>
      <c r="IM419" s="290"/>
      <c r="IN419" s="290"/>
      <c r="IO419" s="290"/>
      <c r="IP419" s="290"/>
      <c r="IQ419" s="290"/>
    </row>
    <row r="420" spans="1:251" x14ac:dyDescent="0.3">
      <c r="A420" s="268" t="s">
        <v>1868</v>
      </c>
      <c r="B420" s="271" t="s">
        <v>48</v>
      </c>
      <c r="C420" s="274" t="s">
        <v>49</v>
      </c>
      <c r="D420" s="265" t="s">
        <v>37</v>
      </c>
      <c r="E420" s="265" t="s">
        <v>38</v>
      </c>
      <c r="F420" s="111" t="s">
        <v>236</v>
      </c>
      <c r="G420" s="286"/>
      <c r="H420" s="289"/>
      <c r="I420" s="290"/>
      <c r="J420" s="290"/>
      <c r="K420" s="290"/>
      <c r="L420" s="290"/>
      <c r="M420" s="290"/>
      <c r="N420" s="290"/>
      <c r="O420" s="290"/>
      <c r="P420" s="290"/>
      <c r="Q420" s="290"/>
      <c r="R420" s="290"/>
      <c r="S420" s="290"/>
      <c r="T420" s="290"/>
      <c r="U420" s="290"/>
      <c r="V420" s="290"/>
      <c r="W420" s="290"/>
      <c r="X420" s="290"/>
      <c r="Y420" s="290"/>
      <c r="Z420" s="290"/>
      <c r="AA420" s="290"/>
      <c r="AB420" s="290"/>
      <c r="AC420" s="290"/>
      <c r="AD420" s="290"/>
      <c r="AE420" s="290"/>
      <c r="AF420" s="290"/>
      <c r="AG420" s="290"/>
      <c r="AH420" s="290"/>
      <c r="AI420" s="290"/>
      <c r="AJ420" s="290"/>
      <c r="AK420" s="290"/>
      <c r="AL420" s="290"/>
      <c r="AM420" s="290"/>
      <c r="AN420" s="290"/>
      <c r="AO420" s="290"/>
      <c r="AP420" s="290"/>
      <c r="AQ420" s="290"/>
      <c r="AR420" s="290"/>
      <c r="AS420" s="290"/>
      <c r="AT420" s="290"/>
      <c r="AU420" s="290"/>
      <c r="AV420" s="290"/>
      <c r="AW420" s="290"/>
      <c r="AX420" s="290"/>
      <c r="AY420" s="290"/>
      <c r="AZ420" s="290"/>
      <c r="BA420" s="290"/>
      <c r="BB420" s="290"/>
      <c r="BC420" s="290"/>
      <c r="BD420" s="290"/>
      <c r="BE420" s="290"/>
      <c r="BF420" s="290"/>
      <c r="BG420" s="290"/>
      <c r="BH420" s="290"/>
      <c r="BI420" s="290"/>
      <c r="BJ420" s="290"/>
      <c r="BK420" s="290"/>
      <c r="BL420" s="290"/>
      <c r="BM420" s="290"/>
      <c r="BN420" s="290"/>
      <c r="BO420" s="290"/>
      <c r="BP420" s="290"/>
      <c r="BQ420" s="290"/>
      <c r="BR420" s="290"/>
      <c r="BS420" s="290"/>
      <c r="BT420" s="290"/>
      <c r="BU420" s="290"/>
      <c r="BV420" s="290"/>
      <c r="BW420" s="290"/>
      <c r="BX420" s="290"/>
      <c r="BY420" s="290"/>
      <c r="BZ420" s="290"/>
      <c r="CA420" s="290"/>
      <c r="CB420" s="290"/>
      <c r="CC420" s="290"/>
      <c r="CD420" s="290"/>
      <c r="CE420" s="290"/>
      <c r="CF420" s="290"/>
      <c r="CG420" s="290"/>
      <c r="CH420" s="290"/>
      <c r="CI420" s="290"/>
      <c r="CJ420" s="290"/>
      <c r="CK420" s="290"/>
      <c r="CL420" s="290"/>
      <c r="CM420" s="290"/>
      <c r="CN420" s="290"/>
      <c r="CO420" s="290"/>
      <c r="CP420" s="290"/>
      <c r="CQ420" s="290"/>
      <c r="CR420" s="290"/>
      <c r="CS420" s="290"/>
      <c r="CT420" s="290"/>
      <c r="CU420" s="290"/>
      <c r="CV420" s="290"/>
      <c r="CW420" s="290"/>
      <c r="CX420" s="290"/>
      <c r="CY420" s="290"/>
      <c r="CZ420" s="290"/>
      <c r="DA420" s="290"/>
      <c r="DB420" s="290"/>
      <c r="DC420" s="290"/>
      <c r="DD420" s="290"/>
      <c r="DE420" s="290"/>
      <c r="DF420" s="290"/>
      <c r="DG420" s="290"/>
      <c r="DH420" s="290"/>
      <c r="DI420" s="290"/>
      <c r="DJ420" s="290"/>
      <c r="DK420" s="290"/>
      <c r="DL420" s="290"/>
      <c r="DM420" s="290"/>
      <c r="DN420" s="290"/>
      <c r="DO420" s="290"/>
      <c r="DP420" s="290"/>
      <c r="DQ420" s="290"/>
      <c r="DR420" s="290"/>
      <c r="DS420" s="290"/>
      <c r="DT420" s="290"/>
      <c r="DU420" s="290"/>
      <c r="DV420" s="290"/>
      <c r="DW420" s="290"/>
      <c r="DX420" s="290"/>
      <c r="DY420" s="290"/>
      <c r="DZ420" s="290"/>
      <c r="EA420" s="290"/>
      <c r="EB420" s="290"/>
      <c r="EC420" s="290"/>
      <c r="ED420" s="290"/>
      <c r="EE420" s="290"/>
      <c r="EF420" s="290"/>
      <c r="EG420" s="290"/>
      <c r="EH420" s="290"/>
      <c r="EI420" s="290"/>
      <c r="EJ420" s="290"/>
      <c r="EK420" s="290"/>
      <c r="EL420" s="290"/>
      <c r="EM420" s="290"/>
      <c r="EN420" s="290"/>
      <c r="EO420" s="290"/>
      <c r="EP420" s="290"/>
      <c r="EQ420" s="290"/>
      <c r="ER420" s="290"/>
      <c r="ES420" s="290"/>
      <c r="ET420" s="290"/>
      <c r="EU420" s="290"/>
      <c r="EV420" s="290"/>
      <c r="EW420" s="290"/>
      <c r="EX420" s="290"/>
      <c r="EY420" s="290"/>
      <c r="EZ420" s="290"/>
      <c r="FA420" s="290"/>
      <c r="FB420" s="290"/>
      <c r="FC420" s="290"/>
      <c r="FD420" s="290"/>
      <c r="FE420" s="290"/>
      <c r="FF420" s="290"/>
      <c r="FG420" s="290"/>
      <c r="FH420" s="290"/>
      <c r="FI420" s="290"/>
      <c r="FJ420" s="290"/>
      <c r="FK420" s="290"/>
      <c r="FL420" s="290"/>
      <c r="FM420" s="290"/>
      <c r="FN420" s="290"/>
      <c r="FO420" s="290"/>
      <c r="FP420" s="290"/>
      <c r="FQ420" s="290"/>
      <c r="FR420" s="290"/>
      <c r="FS420" s="290"/>
      <c r="FT420" s="290"/>
      <c r="FU420" s="290"/>
      <c r="FV420" s="290"/>
      <c r="FW420" s="290"/>
      <c r="FX420" s="290"/>
      <c r="FY420" s="290"/>
      <c r="FZ420" s="290"/>
      <c r="GA420" s="290"/>
      <c r="GB420" s="290"/>
      <c r="GC420" s="290"/>
      <c r="GD420" s="290"/>
      <c r="GE420" s="290"/>
      <c r="GF420" s="290"/>
      <c r="GG420" s="290"/>
      <c r="GH420" s="290"/>
      <c r="GI420" s="290"/>
      <c r="GJ420" s="290"/>
      <c r="GK420" s="290"/>
      <c r="GL420" s="290"/>
      <c r="GM420" s="290"/>
      <c r="GN420" s="290"/>
      <c r="GO420" s="290"/>
      <c r="GP420" s="290"/>
      <c r="GQ420" s="290"/>
      <c r="GR420" s="290"/>
      <c r="GS420" s="290"/>
      <c r="GT420" s="290"/>
      <c r="GU420" s="290"/>
      <c r="GV420" s="290"/>
      <c r="GW420" s="290"/>
      <c r="GX420" s="290"/>
      <c r="GY420" s="290"/>
      <c r="GZ420" s="290"/>
      <c r="HA420" s="290"/>
      <c r="HB420" s="290"/>
      <c r="HC420" s="290"/>
      <c r="HD420" s="290"/>
      <c r="HE420" s="290"/>
      <c r="HF420" s="290"/>
      <c r="HG420" s="290"/>
      <c r="HH420" s="290"/>
      <c r="HI420" s="290"/>
      <c r="HJ420" s="290"/>
      <c r="HK420" s="290"/>
      <c r="HL420" s="290"/>
      <c r="HM420" s="290"/>
      <c r="HN420" s="290"/>
      <c r="HO420" s="290"/>
      <c r="HP420" s="290"/>
      <c r="HQ420" s="290"/>
      <c r="HR420" s="290"/>
      <c r="HS420" s="290"/>
      <c r="HT420" s="290"/>
      <c r="HU420" s="290"/>
      <c r="HV420" s="290"/>
      <c r="HW420" s="290"/>
      <c r="HX420" s="290"/>
      <c r="HY420" s="290"/>
      <c r="HZ420" s="290"/>
      <c r="IA420" s="290"/>
      <c r="IB420" s="290"/>
      <c r="IC420" s="290"/>
      <c r="ID420" s="290"/>
      <c r="IE420" s="290"/>
      <c r="IF420" s="290"/>
      <c r="IG420" s="290"/>
      <c r="IH420" s="290"/>
      <c r="II420" s="290"/>
      <c r="IJ420" s="290"/>
      <c r="IK420" s="290"/>
      <c r="IL420" s="290"/>
      <c r="IM420" s="290"/>
      <c r="IN420" s="290"/>
      <c r="IO420" s="290"/>
      <c r="IP420" s="290"/>
      <c r="IQ420" s="290"/>
    </row>
    <row r="421" spans="1:251" x14ac:dyDescent="0.3">
      <c r="A421" s="269"/>
      <c r="B421" s="272"/>
      <c r="C421" s="275"/>
      <c r="D421" s="266"/>
      <c r="E421" s="266"/>
      <c r="F421" s="112" t="s">
        <v>237</v>
      </c>
      <c r="G421" s="287"/>
      <c r="H421" s="289"/>
      <c r="I421" s="290"/>
      <c r="J421" s="290"/>
      <c r="K421" s="290"/>
      <c r="L421" s="290"/>
      <c r="M421" s="290"/>
      <c r="N421" s="290"/>
      <c r="O421" s="290"/>
      <c r="P421" s="290"/>
      <c r="Q421" s="290"/>
      <c r="R421" s="290"/>
      <c r="S421" s="290"/>
      <c r="T421" s="290"/>
      <c r="U421" s="290"/>
      <c r="V421" s="290"/>
      <c r="W421" s="290"/>
      <c r="X421" s="290"/>
      <c r="Y421" s="290"/>
      <c r="Z421" s="290"/>
      <c r="AA421" s="290"/>
      <c r="AB421" s="290"/>
      <c r="AC421" s="290"/>
      <c r="AD421" s="290"/>
      <c r="AE421" s="290"/>
      <c r="AF421" s="290"/>
      <c r="AG421" s="290"/>
      <c r="AH421" s="290"/>
      <c r="AI421" s="290"/>
      <c r="AJ421" s="290"/>
      <c r="AK421" s="290"/>
      <c r="AL421" s="290"/>
      <c r="AM421" s="290"/>
      <c r="AN421" s="290"/>
      <c r="AO421" s="290"/>
      <c r="AP421" s="290"/>
      <c r="AQ421" s="290"/>
      <c r="AR421" s="290"/>
      <c r="AS421" s="290"/>
      <c r="AT421" s="290"/>
      <c r="AU421" s="290"/>
      <c r="AV421" s="290"/>
      <c r="AW421" s="290"/>
      <c r="AX421" s="290"/>
      <c r="AY421" s="290"/>
      <c r="AZ421" s="290"/>
      <c r="BA421" s="290"/>
      <c r="BB421" s="290"/>
      <c r="BC421" s="290"/>
      <c r="BD421" s="290"/>
      <c r="BE421" s="290"/>
      <c r="BF421" s="290"/>
      <c r="BG421" s="290"/>
      <c r="BH421" s="290"/>
      <c r="BI421" s="290"/>
      <c r="BJ421" s="290"/>
      <c r="BK421" s="290"/>
      <c r="BL421" s="290"/>
      <c r="BM421" s="290"/>
      <c r="BN421" s="290"/>
      <c r="BO421" s="290"/>
      <c r="BP421" s="290"/>
      <c r="BQ421" s="290"/>
      <c r="BR421" s="290"/>
      <c r="BS421" s="290"/>
      <c r="BT421" s="290"/>
      <c r="BU421" s="290"/>
      <c r="BV421" s="290"/>
      <c r="BW421" s="290"/>
      <c r="BX421" s="290"/>
      <c r="BY421" s="290"/>
      <c r="BZ421" s="290"/>
      <c r="CA421" s="290"/>
      <c r="CB421" s="290"/>
      <c r="CC421" s="290"/>
      <c r="CD421" s="290"/>
      <c r="CE421" s="290"/>
      <c r="CF421" s="290"/>
      <c r="CG421" s="290"/>
      <c r="CH421" s="290"/>
      <c r="CI421" s="290"/>
      <c r="CJ421" s="290"/>
      <c r="CK421" s="290"/>
      <c r="CL421" s="290"/>
      <c r="CM421" s="290"/>
      <c r="CN421" s="290"/>
      <c r="CO421" s="290"/>
      <c r="CP421" s="290"/>
      <c r="CQ421" s="290"/>
      <c r="CR421" s="290"/>
      <c r="CS421" s="290"/>
      <c r="CT421" s="290"/>
      <c r="CU421" s="290"/>
      <c r="CV421" s="290"/>
      <c r="CW421" s="290"/>
      <c r="CX421" s="290"/>
      <c r="CY421" s="290"/>
      <c r="CZ421" s="290"/>
      <c r="DA421" s="290"/>
      <c r="DB421" s="290"/>
      <c r="DC421" s="290"/>
      <c r="DD421" s="290"/>
      <c r="DE421" s="290"/>
      <c r="DF421" s="290"/>
      <c r="DG421" s="290"/>
      <c r="DH421" s="290"/>
      <c r="DI421" s="290"/>
      <c r="DJ421" s="290"/>
      <c r="DK421" s="290"/>
      <c r="DL421" s="290"/>
      <c r="DM421" s="290"/>
      <c r="DN421" s="290"/>
      <c r="DO421" s="290"/>
      <c r="DP421" s="290"/>
      <c r="DQ421" s="290"/>
      <c r="DR421" s="290"/>
      <c r="DS421" s="290"/>
      <c r="DT421" s="290"/>
      <c r="DU421" s="290"/>
      <c r="DV421" s="290"/>
      <c r="DW421" s="290"/>
      <c r="DX421" s="290"/>
      <c r="DY421" s="290"/>
      <c r="DZ421" s="290"/>
      <c r="EA421" s="290"/>
      <c r="EB421" s="290"/>
      <c r="EC421" s="290"/>
      <c r="ED421" s="290"/>
      <c r="EE421" s="290"/>
      <c r="EF421" s="290"/>
      <c r="EG421" s="290"/>
      <c r="EH421" s="290"/>
      <c r="EI421" s="290"/>
      <c r="EJ421" s="290"/>
      <c r="EK421" s="290"/>
      <c r="EL421" s="290"/>
      <c r="EM421" s="290"/>
      <c r="EN421" s="290"/>
      <c r="EO421" s="290"/>
      <c r="EP421" s="290"/>
      <c r="EQ421" s="290"/>
      <c r="ER421" s="290"/>
      <c r="ES421" s="290"/>
      <c r="ET421" s="290"/>
      <c r="EU421" s="290"/>
      <c r="EV421" s="290"/>
      <c r="EW421" s="290"/>
      <c r="EX421" s="290"/>
      <c r="EY421" s="290"/>
      <c r="EZ421" s="290"/>
      <c r="FA421" s="290"/>
      <c r="FB421" s="290"/>
      <c r="FC421" s="290"/>
      <c r="FD421" s="290"/>
      <c r="FE421" s="290"/>
      <c r="FF421" s="290"/>
      <c r="FG421" s="290"/>
      <c r="FH421" s="290"/>
      <c r="FI421" s="290"/>
      <c r="FJ421" s="290"/>
      <c r="FK421" s="290"/>
      <c r="FL421" s="290"/>
      <c r="FM421" s="290"/>
      <c r="FN421" s="290"/>
      <c r="FO421" s="290"/>
      <c r="FP421" s="290"/>
      <c r="FQ421" s="290"/>
      <c r="FR421" s="290"/>
      <c r="FS421" s="290"/>
      <c r="FT421" s="290"/>
      <c r="FU421" s="290"/>
      <c r="FV421" s="290"/>
      <c r="FW421" s="290"/>
      <c r="FX421" s="290"/>
      <c r="FY421" s="290"/>
      <c r="FZ421" s="290"/>
      <c r="GA421" s="290"/>
      <c r="GB421" s="290"/>
      <c r="GC421" s="290"/>
      <c r="GD421" s="290"/>
      <c r="GE421" s="290"/>
      <c r="GF421" s="290"/>
      <c r="GG421" s="290"/>
      <c r="GH421" s="290"/>
      <c r="GI421" s="290"/>
      <c r="GJ421" s="290"/>
      <c r="GK421" s="290"/>
      <c r="GL421" s="290"/>
      <c r="GM421" s="290"/>
      <c r="GN421" s="290"/>
      <c r="GO421" s="290"/>
      <c r="GP421" s="290"/>
      <c r="GQ421" s="290"/>
      <c r="GR421" s="290"/>
      <c r="GS421" s="290"/>
      <c r="GT421" s="290"/>
      <c r="GU421" s="290"/>
      <c r="GV421" s="290"/>
      <c r="GW421" s="290"/>
      <c r="GX421" s="290"/>
      <c r="GY421" s="290"/>
      <c r="GZ421" s="290"/>
      <c r="HA421" s="290"/>
      <c r="HB421" s="290"/>
      <c r="HC421" s="290"/>
      <c r="HD421" s="290"/>
      <c r="HE421" s="290"/>
      <c r="HF421" s="290"/>
      <c r="HG421" s="290"/>
      <c r="HH421" s="290"/>
      <c r="HI421" s="290"/>
      <c r="HJ421" s="290"/>
      <c r="HK421" s="290"/>
      <c r="HL421" s="290"/>
      <c r="HM421" s="290"/>
      <c r="HN421" s="290"/>
      <c r="HO421" s="290"/>
      <c r="HP421" s="290"/>
      <c r="HQ421" s="290"/>
      <c r="HR421" s="290"/>
      <c r="HS421" s="290"/>
      <c r="HT421" s="290"/>
      <c r="HU421" s="290"/>
      <c r="HV421" s="290"/>
      <c r="HW421" s="290"/>
      <c r="HX421" s="290"/>
      <c r="HY421" s="290"/>
      <c r="HZ421" s="290"/>
      <c r="IA421" s="290"/>
      <c r="IB421" s="290"/>
      <c r="IC421" s="290"/>
      <c r="ID421" s="290"/>
      <c r="IE421" s="290"/>
      <c r="IF421" s="290"/>
      <c r="IG421" s="290"/>
      <c r="IH421" s="290"/>
      <c r="II421" s="290"/>
      <c r="IJ421" s="290"/>
      <c r="IK421" s="290"/>
      <c r="IL421" s="290"/>
      <c r="IM421" s="290"/>
      <c r="IN421" s="290"/>
      <c r="IO421" s="290"/>
      <c r="IP421" s="290"/>
      <c r="IQ421" s="290"/>
    </row>
    <row r="422" spans="1:251" x14ac:dyDescent="0.3">
      <c r="A422" s="270"/>
      <c r="B422" s="273"/>
      <c r="C422" s="276"/>
      <c r="D422" s="267"/>
      <c r="E422" s="267"/>
      <c r="F422" s="113" t="s">
        <v>238</v>
      </c>
      <c r="G422" s="288"/>
      <c r="H422" s="289"/>
      <c r="I422" s="290"/>
      <c r="J422" s="290"/>
      <c r="K422" s="290"/>
      <c r="L422" s="290"/>
      <c r="M422" s="290"/>
      <c r="N422" s="290"/>
      <c r="O422" s="290"/>
      <c r="P422" s="290"/>
      <c r="Q422" s="290"/>
      <c r="R422" s="290"/>
      <c r="S422" s="290"/>
      <c r="T422" s="290"/>
      <c r="U422" s="290"/>
      <c r="V422" s="290"/>
      <c r="W422" s="290"/>
      <c r="X422" s="290"/>
      <c r="Y422" s="290"/>
      <c r="Z422" s="290"/>
      <c r="AA422" s="290"/>
      <c r="AB422" s="290"/>
      <c r="AC422" s="290"/>
      <c r="AD422" s="290"/>
      <c r="AE422" s="290"/>
      <c r="AF422" s="290"/>
      <c r="AG422" s="290"/>
      <c r="AH422" s="290"/>
      <c r="AI422" s="290"/>
      <c r="AJ422" s="290"/>
      <c r="AK422" s="290"/>
      <c r="AL422" s="290"/>
      <c r="AM422" s="290"/>
      <c r="AN422" s="290"/>
      <c r="AO422" s="290"/>
      <c r="AP422" s="290"/>
      <c r="AQ422" s="290"/>
      <c r="AR422" s="290"/>
      <c r="AS422" s="290"/>
      <c r="AT422" s="290"/>
      <c r="AU422" s="290"/>
      <c r="AV422" s="290"/>
      <c r="AW422" s="290"/>
      <c r="AX422" s="290"/>
      <c r="AY422" s="290"/>
      <c r="AZ422" s="290"/>
      <c r="BA422" s="290"/>
      <c r="BB422" s="290"/>
      <c r="BC422" s="290"/>
      <c r="BD422" s="290"/>
      <c r="BE422" s="290"/>
      <c r="BF422" s="290"/>
      <c r="BG422" s="290"/>
      <c r="BH422" s="290"/>
      <c r="BI422" s="290"/>
      <c r="BJ422" s="290"/>
      <c r="BK422" s="290"/>
      <c r="BL422" s="290"/>
      <c r="BM422" s="290"/>
      <c r="BN422" s="290"/>
      <c r="BO422" s="290"/>
      <c r="BP422" s="290"/>
      <c r="BQ422" s="290"/>
      <c r="BR422" s="290"/>
      <c r="BS422" s="290"/>
      <c r="BT422" s="290"/>
      <c r="BU422" s="290"/>
      <c r="BV422" s="290"/>
      <c r="BW422" s="290"/>
      <c r="BX422" s="290"/>
      <c r="BY422" s="290"/>
      <c r="BZ422" s="290"/>
      <c r="CA422" s="290"/>
      <c r="CB422" s="290"/>
      <c r="CC422" s="290"/>
      <c r="CD422" s="290"/>
      <c r="CE422" s="290"/>
      <c r="CF422" s="290"/>
      <c r="CG422" s="290"/>
      <c r="CH422" s="290"/>
      <c r="CI422" s="290"/>
      <c r="CJ422" s="290"/>
      <c r="CK422" s="290"/>
      <c r="CL422" s="290"/>
      <c r="CM422" s="290"/>
      <c r="CN422" s="290"/>
      <c r="CO422" s="290"/>
      <c r="CP422" s="290"/>
      <c r="CQ422" s="290"/>
      <c r="CR422" s="290"/>
      <c r="CS422" s="290"/>
      <c r="CT422" s="290"/>
      <c r="CU422" s="290"/>
      <c r="CV422" s="290"/>
      <c r="CW422" s="290"/>
      <c r="CX422" s="290"/>
      <c r="CY422" s="290"/>
      <c r="CZ422" s="290"/>
      <c r="DA422" s="290"/>
      <c r="DB422" s="290"/>
      <c r="DC422" s="290"/>
      <c r="DD422" s="290"/>
      <c r="DE422" s="290"/>
      <c r="DF422" s="290"/>
      <c r="DG422" s="290"/>
      <c r="DH422" s="290"/>
      <c r="DI422" s="290"/>
      <c r="DJ422" s="290"/>
      <c r="DK422" s="290"/>
      <c r="DL422" s="290"/>
      <c r="DM422" s="290"/>
      <c r="DN422" s="290"/>
      <c r="DO422" s="290"/>
      <c r="DP422" s="290"/>
      <c r="DQ422" s="290"/>
      <c r="DR422" s="290"/>
      <c r="DS422" s="290"/>
      <c r="DT422" s="290"/>
      <c r="DU422" s="290"/>
      <c r="DV422" s="290"/>
      <c r="DW422" s="290"/>
      <c r="DX422" s="290"/>
      <c r="DY422" s="290"/>
      <c r="DZ422" s="290"/>
      <c r="EA422" s="290"/>
      <c r="EB422" s="290"/>
      <c r="EC422" s="290"/>
      <c r="ED422" s="290"/>
      <c r="EE422" s="290"/>
      <c r="EF422" s="290"/>
      <c r="EG422" s="290"/>
      <c r="EH422" s="290"/>
      <c r="EI422" s="290"/>
      <c r="EJ422" s="290"/>
      <c r="EK422" s="290"/>
      <c r="EL422" s="290"/>
      <c r="EM422" s="290"/>
      <c r="EN422" s="290"/>
      <c r="EO422" s="290"/>
      <c r="EP422" s="290"/>
      <c r="EQ422" s="290"/>
      <c r="ER422" s="290"/>
      <c r="ES422" s="290"/>
      <c r="ET422" s="290"/>
      <c r="EU422" s="290"/>
      <c r="EV422" s="290"/>
      <c r="EW422" s="290"/>
      <c r="EX422" s="290"/>
      <c r="EY422" s="290"/>
      <c r="EZ422" s="290"/>
      <c r="FA422" s="290"/>
      <c r="FB422" s="290"/>
      <c r="FC422" s="290"/>
      <c r="FD422" s="290"/>
      <c r="FE422" s="290"/>
      <c r="FF422" s="290"/>
      <c r="FG422" s="290"/>
      <c r="FH422" s="290"/>
      <c r="FI422" s="290"/>
      <c r="FJ422" s="290"/>
      <c r="FK422" s="290"/>
      <c r="FL422" s="290"/>
      <c r="FM422" s="290"/>
      <c r="FN422" s="290"/>
      <c r="FO422" s="290"/>
      <c r="FP422" s="290"/>
      <c r="FQ422" s="290"/>
      <c r="FR422" s="290"/>
      <c r="FS422" s="290"/>
      <c r="FT422" s="290"/>
      <c r="FU422" s="290"/>
      <c r="FV422" s="290"/>
      <c r="FW422" s="290"/>
      <c r="FX422" s="290"/>
      <c r="FY422" s="290"/>
      <c r="FZ422" s="290"/>
      <c r="GA422" s="290"/>
      <c r="GB422" s="290"/>
      <c r="GC422" s="290"/>
      <c r="GD422" s="290"/>
      <c r="GE422" s="290"/>
      <c r="GF422" s="290"/>
      <c r="GG422" s="290"/>
      <c r="GH422" s="290"/>
      <c r="GI422" s="290"/>
      <c r="GJ422" s="290"/>
      <c r="GK422" s="290"/>
      <c r="GL422" s="290"/>
      <c r="GM422" s="290"/>
      <c r="GN422" s="290"/>
      <c r="GO422" s="290"/>
      <c r="GP422" s="290"/>
      <c r="GQ422" s="290"/>
      <c r="GR422" s="290"/>
      <c r="GS422" s="290"/>
      <c r="GT422" s="290"/>
      <c r="GU422" s="290"/>
      <c r="GV422" s="290"/>
      <c r="GW422" s="290"/>
      <c r="GX422" s="290"/>
      <c r="GY422" s="290"/>
      <c r="GZ422" s="290"/>
      <c r="HA422" s="290"/>
      <c r="HB422" s="290"/>
      <c r="HC422" s="290"/>
      <c r="HD422" s="290"/>
      <c r="HE422" s="290"/>
      <c r="HF422" s="290"/>
      <c r="HG422" s="290"/>
      <c r="HH422" s="290"/>
      <c r="HI422" s="290"/>
      <c r="HJ422" s="290"/>
      <c r="HK422" s="290"/>
      <c r="HL422" s="290"/>
      <c r="HM422" s="290"/>
      <c r="HN422" s="290"/>
      <c r="HO422" s="290"/>
      <c r="HP422" s="290"/>
      <c r="HQ422" s="290"/>
      <c r="HR422" s="290"/>
      <c r="HS422" s="290"/>
      <c r="HT422" s="290"/>
      <c r="HU422" s="290"/>
      <c r="HV422" s="290"/>
      <c r="HW422" s="290"/>
      <c r="HX422" s="290"/>
      <c r="HY422" s="290"/>
      <c r="HZ422" s="290"/>
      <c r="IA422" s="290"/>
      <c r="IB422" s="290"/>
      <c r="IC422" s="290"/>
      <c r="ID422" s="290"/>
      <c r="IE422" s="290"/>
      <c r="IF422" s="290"/>
      <c r="IG422" s="290"/>
      <c r="IH422" s="290"/>
      <c r="II422" s="290"/>
      <c r="IJ422" s="290"/>
      <c r="IK422" s="290"/>
      <c r="IL422" s="290"/>
      <c r="IM422" s="290"/>
      <c r="IN422" s="290"/>
      <c r="IO422" s="290"/>
      <c r="IP422" s="290"/>
      <c r="IQ422" s="290"/>
    </row>
    <row r="423" spans="1:251" ht="39" x14ac:dyDescent="0.3">
      <c r="A423" s="239" t="s">
        <v>1868</v>
      </c>
      <c r="B423" s="21" t="s">
        <v>1852</v>
      </c>
      <c r="C423" s="129" t="s">
        <v>49</v>
      </c>
      <c r="D423" s="166" t="s">
        <v>37</v>
      </c>
      <c r="E423" s="166" t="s">
        <v>38</v>
      </c>
      <c r="F423" s="100" t="s">
        <v>1854</v>
      </c>
      <c r="G423" s="240"/>
      <c r="H423" s="199"/>
      <c r="I423" s="183"/>
      <c r="J423" s="183"/>
      <c r="K423" s="183"/>
      <c r="L423" s="183"/>
      <c r="M423" s="183"/>
      <c r="N423" s="183"/>
      <c r="O423" s="183"/>
      <c r="P423" s="183"/>
      <c r="Q423" s="183"/>
      <c r="R423" s="183"/>
      <c r="S423" s="183"/>
      <c r="T423" s="183"/>
      <c r="U423" s="183"/>
      <c r="V423" s="183"/>
      <c r="W423" s="183"/>
      <c r="X423" s="183"/>
      <c r="Y423" s="183"/>
      <c r="Z423" s="183"/>
      <c r="AA423" s="183"/>
      <c r="AB423" s="183"/>
      <c r="AC423" s="183"/>
      <c r="AD423" s="183"/>
      <c r="AE423" s="183"/>
      <c r="AF423" s="183"/>
      <c r="AG423" s="183"/>
      <c r="AH423" s="183"/>
      <c r="AI423" s="183"/>
      <c r="AJ423" s="183"/>
      <c r="AK423" s="183"/>
      <c r="AL423" s="183"/>
      <c r="AM423" s="183"/>
      <c r="AN423" s="183"/>
      <c r="AO423" s="183"/>
      <c r="AP423" s="183"/>
      <c r="AQ423" s="183"/>
      <c r="AR423" s="183"/>
      <c r="AS423" s="183"/>
      <c r="AT423" s="183"/>
      <c r="AU423" s="183"/>
      <c r="AV423" s="183"/>
      <c r="AW423" s="183"/>
      <c r="AX423" s="183"/>
      <c r="AY423" s="183"/>
      <c r="AZ423" s="183"/>
      <c r="BA423" s="183"/>
      <c r="BB423" s="183"/>
      <c r="BC423" s="183"/>
      <c r="BD423" s="183"/>
      <c r="BE423" s="183"/>
      <c r="BF423" s="183"/>
      <c r="BG423" s="183"/>
      <c r="BH423" s="183"/>
      <c r="BI423" s="183"/>
      <c r="BJ423" s="183"/>
      <c r="BK423" s="183"/>
      <c r="BL423" s="183"/>
      <c r="BM423" s="183"/>
      <c r="BN423" s="183"/>
      <c r="BO423" s="183"/>
      <c r="BP423" s="183"/>
      <c r="BQ423" s="183"/>
      <c r="BR423" s="183"/>
      <c r="BS423" s="183"/>
      <c r="BT423" s="183"/>
      <c r="BU423" s="183"/>
      <c r="BV423" s="183"/>
      <c r="BW423" s="183"/>
      <c r="BX423" s="183"/>
      <c r="BY423" s="183"/>
      <c r="BZ423" s="183"/>
      <c r="CA423" s="183"/>
      <c r="CB423" s="183"/>
      <c r="CC423" s="183"/>
      <c r="CD423" s="183"/>
      <c r="CE423" s="183"/>
      <c r="CF423" s="183"/>
      <c r="CG423" s="183"/>
      <c r="CH423" s="183"/>
      <c r="CI423" s="183"/>
      <c r="CJ423" s="183"/>
      <c r="CK423" s="183"/>
      <c r="CL423" s="183"/>
      <c r="CM423" s="183"/>
      <c r="CN423" s="183"/>
      <c r="CO423" s="183"/>
      <c r="CP423" s="183"/>
      <c r="CQ423" s="183"/>
      <c r="CR423" s="183"/>
      <c r="CS423" s="183"/>
      <c r="CT423" s="183"/>
      <c r="CU423" s="183"/>
      <c r="CV423" s="183"/>
      <c r="CW423" s="183"/>
      <c r="CX423" s="183"/>
      <c r="CY423" s="183"/>
      <c r="CZ423" s="183"/>
      <c r="DA423" s="183"/>
      <c r="DB423" s="183"/>
      <c r="DC423" s="183"/>
      <c r="DD423" s="183"/>
      <c r="DE423" s="183"/>
      <c r="DF423" s="183"/>
      <c r="DG423" s="183"/>
      <c r="DH423" s="183"/>
      <c r="DI423" s="183"/>
      <c r="DJ423" s="183"/>
      <c r="DK423" s="183"/>
      <c r="DL423" s="183"/>
      <c r="DM423" s="183"/>
      <c r="DN423" s="183"/>
      <c r="DO423" s="183"/>
      <c r="DP423" s="183"/>
      <c r="DQ423" s="183"/>
      <c r="DR423" s="183"/>
      <c r="DS423" s="183"/>
      <c r="DT423" s="183"/>
      <c r="DU423" s="183"/>
      <c r="DV423" s="183"/>
      <c r="DW423" s="183"/>
      <c r="DX423" s="183"/>
      <c r="DY423" s="183"/>
      <c r="DZ423" s="183"/>
      <c r="EA423" s="183"/>
      <c r="EB423" s="183"/>
      <c r="EC423" s="183"/>
      <c r="ED423" s="183"/>
      <c r="EE423" s="183"/>
      <c r="EF423" s="183"/>
      <c r="EG423" s="183"/>
      <c r="EH423" s="183"/>
      <c r="EI423" s="183"/>
      <c r="EJ423" s="183"/>
      <c r="EK423" s="183"/>
      <c r="EL423" s="183"/>
      <c r="EM423" s="183"/>
      <c r="EN423" s="183"/>
      <c r="EO423" s="183"/>
      <c r="EP423" s="183"/>
      <c r="EQ423" s="183"/>
      <c r="ER423" s="183"/>
      <c r="ES423" s="183"/>
      <c r="ET423" s="183"/>
      <c r="EU423" s="183"/>
      <c r="EV423" s="183"/>
      <c r="EW423" s="183"/>
      <c r="EX423" s="183"/>
      <c r="EY423" s="183"/>
      <c r="EZ423" s="183"/>
      <c r="FA423" s="183"/>
      <c r="FB423" s="183"/>
      <c r="FC423" s="183"/>
      <c r="FD423" s="183"/>
      <c r="FE423" s="183"/>
      <c r="FF423" s="183"/>
      <c r="FG423" s="183"/>
      <c r="FH423" s="183"/>
      <c r="FI423" s="183"/>
      <c r="FJ423" s="183"/>
      <c r="FK423" s="183"/>
      <c r="FL423" s="183"/>
      <c r="FM423" s="183"/>
      <c r="FN423" s="183"/>
      <c r="FO423" s="183"/>
      <c r="FP423" s="183"/>
      <c r="FQ423" s="183"/>
      <c r="FR423" s="183"/>
      <c r="FS423" s="183"/>
      <c r="FT423" s="183"/>
      <c r="FU423" s="183"/>
      <c r="FV423" s="183"/>
      <c r="FW423" s="183"/>
      <c r="FX423" s="183"/>
      <c r="FY423" s="183"/>
      <c r="FZ423" s="183"/>
      <c r="GA423" s="183"/>
      <c r="GB423" s="183"/>
      <c r="GC423" s="183"/>
      <c r="GD423" s="183"/>
      <c r="GE423" s="183"/>
      <c r="GF423" s="183"/>
      <c r="GG423" s="183"/>
      <c r="GH423" s="183"/>
      <c r="GI423" s="183"/>
      <c r="GJ423" s="183"/>
      <c r="GK423" s="183"/>
      <c r="GL423" s="183"/>
      <c r="GM423" s="183"/>
      <c r="GN423" s="183"/>
      <c r="GO423" s="183"/>
      <c r="GP423" s="183"/>
      <c r="GQ423" s="183"/>
      <c r="GR423" s="183"/>
      <c r="GS423" s="183"/>
      <c r="GT423" s="183"/>
      <c r="GU423" s="183"/>
      <c r="GV423" s="183"/>
      <c r="GW423" s="183"/>
      <c r="GX423" s="183"/>
      <c r="GY423" s="183"/>
      <c r="GZ423" s="183"/>
      <c r="HA423" s="183"/>
      <c r="HB423" s="183"/>
      <c r="HC423" s="183"/>
      <c r="HD423" s="183"/>
      <c r="HE423" s="183"/>
      <c r="HF423" s="183"/>
      <c r="HG423" s="183"/>
      <c r="HH423" s="183"/>
      <c r="HI423" s="183"/>
      <c r="HJ423" s="183"/>
      <c r="HK423" s="183"/>
      <c r="HL423" s="183"/>
      <c r="HM423" s="183"/>
      <c r="HN423" s="183"/>
      <c r="HO423" s="183"/>
      <c r="HP423" s="183"/>
      <c r="HQ423" s="183"/>
      <c r="HR423" s="183"/>
      <c r="HS423" s="183"/>
      <c r="HT423" s="183"/>
      <c r="HU423" s="183"/>
      <c r="HV423" s="183"/>
      <c r="HW423" s="183"/>
      <c r="HX423" s="183"/>
      <c r="HY423" s="183"/>
      <c r="HZ423" s="183"/>
      <c r="IA423" s="183"/>
      <c r="IB423" s="183"/>
      <c r="IC423" s="183"/>
      <c r="ID423" s="183"/>
      <c r="IE423" s="183"/>
      <c r="IF423" s="183"/>
      <c r="IG423" s="183"/>
      <c r="IH423" s="183"/>
      <c r="II423" s="183"/>
      <c r="IJ423" s="183"/>
      <c r="IK423" s="183"/>
      <c r="IL423" s="183"/>
      <c r="IM423" s="183"/>
      <c r="IN423" s="183"/>
      <c r="IO423" s="183"/>
      <c r="IP423" s="183"/>
      <c r="IQ423" s="183"/>
    </row>
    <row r="424" spans="1:251" ht="39" x14ac:dyDescent="0.3">
      <c r="A424" s="83" t="s">
        <v>184</v>
      </c>
      <c r="B424" s="196" t="s">
        <v>1958</v>
      </c>
      <c r="C424" s="191" t="s">
        <v>30</v>
      </c>
      <c r="D424" s="192" t="s">
        <v>31</v>
      </c>
      <c r="E424" s="192" t="s">
        <v>32</v>
      </c>
      <c r="F424" s="114" t="s">
        <v>33</v>
      </c>
      <c r="G424" s="191" t="s">
        <v>5</v>
      </c>
      <c r="H424" s="199"/>
      <c r="I424" s="183"/>
      <c r="J424" s="183"/>
      <c r="K424" s="183"/>
      <c r="L424" s="183"/>
      <c r="M424" s="183"/>
      <c r="N424" s="183"/>
      <c r="O424" s="183"/>
      <c r="P424" s="183"/>
      <c r="Q424" s="183"/>
      <c r="R424" s="183"/>
      <c r="S424" s="183"/>
      <c r="T424" s="183"/>
      <c r="U424" s="183"/>
      <c r="V424" s="183"/>
      <c r="W424" s="183"/>
      <c r="X424" s="183"/>
      <c r="Y424" s="183"/>
      <c r="Z424" s="183"/>
      <c r="AA424" s="183"/>
      <c r="AB424" s="183"/>
      <c r="AC424" s="183"/>
      <c r="AD424" s="183"/>
      <c r="AE424" s="183"/>
      <c r="AF424" s="183"/>
      <c r="AG424" s="183"/>
      <c r="AH424" s="183"/>
      <c r="AI424" s="183"/>
      <c r="AJ424" s="183"/>
      <c r="AK424" s="183"/>
      <c r="AL424" s="183"/>
      <c r="AM424" s="183"/>
      <c r="AN424" s="183"/>
      <c r="AO424" s="183"/>
      <c r="AP424" s="183"/>
      <c r="AQ424" s="183"/>
      <c r="AR424" s="183"/>
      <c r="AS424" s="183"/>
      <c r="AT424" s="183"/>
      <c r="AU424" s="183"/>
      <c r="AV424" s="183"/>
      <c r="AW424" s="183"/>
      <c r="AX424" s="183"/>
      <c r="AY424" s="183"/>
      <c r="AZ424" s="183"/>
      <c r="BA424" s="183"/>
      <c r="BB424" s="183"/>
      <c r="BC424" s="183"/>
      <c r="BD424" s="183"/>
      <c r="BE424" s="183"/>
      <c r="BF424" s="183"/>
      <c r="BG424" s="183"/>
      <c r="BH424" s="183"/>
      <c r="BI424" s="183"/>
      <c r="BJ424" s="183"/>
      <c r="BK424" s="183"/>
      <c r="BL424" s="183"/>
      <c r="BM424" s="183"/>
      <c r="BN424" s="183"/>
      <c r="BO424" s="183"/>
      <c r="BP424" s="183"/>
      <c r="BQ424" s="183"/>
      <c r="BR424" s="183"/>
      <c r="BS424" s="183"/>
      <c r="BT424" s="183"/>
      <c r="BU424" s="183"/>
      <c r="BV424" s="183"/>
      <c r="BW424" s="183"/>
      <c r="BX424" s="183"/>
      <c r="BY424" s="183"/>
      <c r="BZ424" s="183"/>
      <c r="CA424" s="183"/>
      <c r="CB424" s="183"/>
      <c r="CC424" s="183"/>
      <c r="CD424" s="183"/>
      <c r="CE424" s="183"/>
      <c r="CF424" s="183"/>
      <c r="CG424" s="183"/>
      <c r="CH424" s="183"/>
      <c r="CI424" s="183"/>
      <c r="CJ424" s="183"/>
      <c r="CK424" s="183"/>
      <c r="CL424" s="183"/>
      <c r="CM424" s="183"/>
      <c r="CN424" s="183"/>
      <c r="CO424" s="183"/>
      <c r="CP424" s="183"/>
      <c r="CQ424" s="183"/>
      <c r="CR424" s="183"/>
      <c r="CS424" s="183"/>
      <c r="CT424" s="183"/>
      <c r="CU424" s="183"/>
      <c r="CV424" s="183"/>
      <c r="CW424" s="183"/>
      <c r="CX424" s="183"/>
      <c r="CY424" s="183"/>
      <c r="CZ424" s="183"/>
      <c r="DA424" s="183"/>
      <c r="DB424" s="183"/>
      <c r="DC424" s="183"/>
      <c r="DD424" s="183"/>
      <c r="DE424" s="183"/>
      <c r="DF424" s="183"/>
      <c r="DG424" s="183"/>
      <c r="DH424" s="183"/>
      <c r="DI424" s="183"/>
      <c r="DJ424" s="183"/>
      <c r="DK424" s="183"/>
      <c r="DL424" s="183"/>
      <c r="DM424" s="183"/>
      <c r="DN424" s="183"/>
      <c r="DO424" s="183"/>
      <c r="DP424" s="183"/>
      <c r="DQ424" s="183"/>
      <c r="DR424" s="183"/>
      <c r="DS424" s="183"/>
      <c r="DT424" s="183"/>
      <c r="DU424" s="183"/>
      <c r="DV424" s="183"/>
      <c r="DW424" s="183"/>
      <c r="DX424" s="183"/>
      <c r="DY424" s="183"/>
      <c r="DZ424" s="183"/>
      <c r="EA424" s="183"/>
      <c r="EB424" s="183"/>
      <c r="EC424" s="183"/>
      <c r="ED424" s="183"/>
      <c r="EE424" s="183"/>
      <c r="EF424" s="183"/>
      <c r="EG424" s="183"/>
      <c r="EH424" s="183"/>
      <c r="EI424" s="183"/>
      <c r="EJ424" s="183"/>
      <c r="EK424" s="183"/>
      <c r="EL424" s="183"/>
      <c r="EM424" s="183"/>
      <c r="EN424" s="183"/>
      <c r="EO424" s="183"/>
      <c r="EP424" s="183"/>
      <c r="EQ424" s="183"/>
      <c r="ER424" s="183"/>
      <c r="ES424" s="183"/>
      <c r="ET424" s="183"/>
      <c r="EU424" s="183"/>
      <c r="EV424" s="183"/>
      <c r="EW424" s="183"/>
      <c r="EX424" s="183"/>
      <c r="EY424" s="183"/>
      <c r="EZ424" s="183"/>
      <c r="FA424" s="183"/>
      <c r="FB424" s="183"/>
      <c r="FC424" s="183"/>
      <c r="FD424" s="183"/>
      <c r="FE424" s="183"/>
      <c r="FF424" s="183"/>
      <c r="FG424" s="183"/>
      <c r="FH424" s="183"/>
      <c r="FI424" s="183"/>
      <c r="FJ424" s="183"/>
      <c r="FK424" s="183"/>
      <c r="FL424" s="183"/>
      <c r="FM424" s="183"/>
      <c r="FN424" s="183"/>
      <c r="FO424" s="183"/>
      <c r="FP424" s="183"/>
      <c r="FQ424" s="183"/>
      <c r="FR424" s="183"/>
      <c r="FS424" s="183"/>
      <c r="FT424" s="183"/>
      <c r="FU424" s="183"/>
      <c r="FV424" s="183"/>
      <c r="FW424" s="183"/>
      <c r="FX424" s="183"/>
      <c r="FY424" s="183"/>
      <c r="FZ424" s="183"/>
      <c r="GA424" s="183"/>
      <c r="GB424" s="183"/>
      <c r="GC424" s="183"/>
      <c r="GD424" s="183"/>
      <c r="GE424" s="183"/>
      <c r="GF424" s="183"/>
      <c r="GG424" s="183"/>
      <c r="GH424" s="183"/>
      <c r="GI424" s="183"/>
      <c r="GJ424" s="183"/>
      <c r="GK424" s="183"/>
      <c r="GL424" s="183"/>
      <c r="GM424" s="183"/>
      <c r="GN424" s="183"/>
      <c r="GO424" s="183"/>
      <c r="GP424" s="183"/>
      <c r="GQ424" s="183"/>
      <c r="GR424" s="183"/>
      <c r="GS424" s="183"/>
      <c r="GT424" s="183"/>
      <c r="GU424" s="183"/>
      <c r="GV424" s="183"/>
      <c r="GW424" s="183"/>
      <c r="GX424" s="183"/>
      <c r="GY424" s="183"/>
      <c r="GZ424" s="183"/>
      <c r="HA424" s="183"/>
      <c r="HB424" s="183"/>
      <c r="HC424" s="183"/>
      <c r="HD424" s="183"/>
      <c r="HE424" s="183"/>
      <c r="HF424" s="183"/>
      <c r="HG424" s="183"/>
      <c r="HH424" s="183"/>
      <c r="HI424" s="183"/>
      <c r="HJ424" s="183"/>
      <c r="HK424" s="183"/>
      <c r="HL424" s="183"/>
      <c r="HM424" s="183"/>
      <c r="HN424" s="183"/>
      <c r="HO424" s="183"/>
      <c r="HP424" s="183"/>
      <c r="HQ424" s="183"/>
      <c r="HR424" s="183"/>
      <c r="HS424" s="183"/>
      <c r="HT424" s="183"/>
      <c r="HU424" s="183"/>
      <c r="HV424" s="183"/>
      <c r="HW424" s="183"/>
      <c r="HX424" s="183"/>
      <c r="HY424" s="183"/>
      <c r="HZ424" s="183"/>
      <c r="IA424" s="183"/>
      <c r="IB424" s="183"/>
      <c r="IC424" s="183"/>
      <c r="ID424" s="183"/>
      <c r="IE424" s="183"/>
      <c r="IF424" s="183"/>
      <c r="IG424" s="183"/>
      <c r="IH424" s="183"/>
      <c r="II424" s="183"/>
      <c r="IJ424" s="183"/>
      <c r="IK424" s="183"/>
      <c r="IL424" s="183"/>
      <c r="IM424" s="183"/>
      <c r="IN424" s="183"/>
      <c r="IO424" s="183"/>
      <c r="IP424" s="183"/>
      <c r="IQ424" s="183"/>
    </row>
    <row r="425" spans="1:251" x14ac:dyDescent="0.3">
      <c r="A425" s="268" t="s">
        <v>288</v>
      </c>
      <c r="B425" s="271" t="s">
        <v>46</v>
      </c>
      <c r="C425" s="274" t="s">
        <v>36</v>
      </c>
      <c r="D425" s="265" t="s">
        <v>37</v>
      </c>
      <c r="E425" s="265" t="s">
        <v>38</v>
      </c>
      <c r="F425" s="108" t="s">
        <v>233</v>
      </c>
      <c r="G425" s="286"/>
      <c r="H425" s="289"/>
      <c r="I425" s="290"/>
      <c r="J425" s="290"/>
      <c r="K425" s="290"/>
      <c r="L425" s="290"/>
      <c r="M425" s="290"/>
      <c r="N425" s="290"/>
      <c r="O425" s="290"/>
      <c r="P425" s="290"/>
      <c r="Q425" s="290"/>
      <c r="R425" s="290"/>
      <c r="S425" s="290"/>
      <c r="T425" s="290"/>
      <c r="U425" s="290"/>
      <c r="V425" s="290"/>
      <c r="W425" s="290"/>
      <c r="X425" s="290"/>
      <c r="Y425" s="290"/>
      <c r="Z425" s="290"/>
      <c r="AA425" s="290"/>
      <c r="AB425" s="290"/>
      <c r="AC425" s="290"/>
      <c r="AD425" s="290"/>
      <c r="AE425" s="290"/>
      <c r="AF425" s="290"/>
      <c r="AG425" s="290"/>
      <c r="AH425" s="290"/>
      <c r="AI425" s="290"/>
      <c r="AJ425" s="290"/>
      <c r="AK425" s="290"/>
      <c r="AL425" s="290"/>
      <c r="AM425" s="290"/>
      <c r="AN425" s="290"/>
      <c r="AO425" s="290"/>
      <c r="AP425" s="290"/>
      <c r="AQ425" s="290"/>
      <c r="AR425" s="290"/>
      <c r="AS425" s="290"/>
      <c r="AT425" s="290"/>
      <c r="AU425" s="290"/>
      <c r="AV425" s="290"/>
      <c r="AW425" s="290"/>
      <c r="AX425" s="290"/>
      <c r="AY425" s="290"/>
      <c r="AZ425" s="290"/>
      <c r="BA425" s="290"/>
      <c r="BB425" s="290"/>
      <c r="BC425" s="290"/>
      <c r="BD425" s="290"/>
      <c r="BE425" s="290"/>
      <c r="BF425" s="290"/>
      <c r="BG425" s="290"/>
      <c r="BH425" s="290"/>
      <c r="BI425" s="290"/>
      <c r="BJ425" s="290"/>
      <c r="BK425" s="290"/>
      <c r="BL425" s="290"/>
      <c r="BM425" s="290"/>
      <c r="BN425" s="290"/>
      <c r="BO425" s="290"/>
      <c r="BP425" s="290"/>
      <c r="BQ425" s="290"/>
      <c r="BR425" s="290"/>
      <c r="BS425" s="290"/>
      <c r="BT425" s="290"/>
      <c r="BU425" s="290"/>
      <c r="BV425" s="290"/>
      <c r="BW425" s="290"/>
      <c r="BX425" s="290"/>
      <c r="BY425" s="290"/>
      <c r="BZ425" s="290"/>
      <c r="CA425" s="290"/>
      <c r="CB425" s="290"/>
      <c r="CC425" s="290"/>
      <c r="CD425" s="290"/>
      <c r="CE425" s="290"/>
      <c r="CF425" s="290"/>
      <c r="CG425" s="290"/>
      <c r="CH425" s="290"/>
      <c r="CI425" s="290"/>
      <c r="CJ425" s="290"/>
      <c r="CK425" s="290"/>
      <c r="CL425" s="290"/>
      <c r="CM425" s="290"/>
      <c r="CN425" s="290"/>
      <c r="CO425" s="290"/>
      <c r="CP425" s="290"/>
      <c r="CQ425" s="290"/>
      <c r="CR425" s="290"/>
      <c r="CS425" s="290"/>
      <c r="CT425" s="290"/>
      <c r="CU425" s="290"/>
      <c r="CV425" s="290"/>
      <c r="CW425" s="290"/>
      <c r="CX425" s="290"/>
      <c r="CY425" s="290"/>
      <c r="CZ425" s="290"/>
      <c r="DA425" s="290"/>
      <c r="DB425" s="290"/>
      <c r="DC425" s="290"/>
      <c r="DD425" s="290"/>
      <c r="DE425" s="290"/>
      <c r="DF425" s="290"/>
      <c r="DG425" s="290"/>
      <c r="DH425" s="290"/>
      <c r="DI425" s="290"/>
      <c r="DJ425" s="290"/>
      <c r="DK425" s="290"/>
      <c r="DL425" s="290"/>
      <c r="DM425" s="290"/>
      <c r="DN425" s="290"/>
      <c r="DO425" s="290"/>
      <c r="DP425" s="290"/>
      <c r="DQ425" s="290"/>
      <c r="DR425" s="290"/>
      <c r="DS425" s="290"/>
      <c r="DT425" s="290"/>
      <c r="DU425" s="290"/>
      <c r="DV425" s="290"/>
      <c r="DW425" s="290"/>
      <c r="DX425" s="290"/>
      <c r="DY425" s="290"/>
      <c r="DZ425" s="290"/>
      <c r="EA425" s="290"/>
      <c r="EB425" s="290"/>
      <c r="EC425" s="290"/>
      <c r="ED425" s="290"/>
      <c r="EE425" s="290"/>
      <c r="EF425" s="290"/>
      <c r="EG425" s="290"/>
      <c r="EH425" s="290"/>
      <c r="EI425" s="290"/>
      <c r="EJ425" s="290"/>
      <c r="EK425" s="290"/>
      <c r="EL425" s="290"/>
      <c r="EM425" s="290"/>
      <c r="EN425" s="290"/>
      <c r="EO425" s="290"/>
      <c r="EP425" s="290"/>
      <c r="EQ425" s="290"/>
      <c r="ER425" s="290"/>
      <c r="ES425" s="290"/>
      <c r="ET425" s="290"/>
      <c r="EU425" s="290"/>
      <c r="EV425" s="290"/>
      <c r="EW425" s="290"/>
      <c r="EX425" s="290"/>
      <c r="EY425" s="290"/>
      <c r="EZ425" s="290"/>
      <c r="FA425" s="290"/>
      <c r="FB425" s="290"/>
      <c r="FC425" s="290"/>
      <c r="FD425" s="290"/>
      <c r="FE425" s="290"/>
      <c r="FF425" s="290"/>
      <c r="FG425" s="290"/>
      <c r="FH425" s="290"/>
      <c r="FI425" s="290"/>
      <c r="FJ425" s="290"/>
      <c r="FK425" s="290"/>
      <c r="FL425" s="290"/>
      <c r="FM425" s="290"/>
      <c r="FN425" s="290"/>
      <c r="FO425" s="290"/>
      <c r="FP425" s="290"/>
      <c r="FQ425" s="290"/>
      <c r="FR425" s="290"/>
      <c r="FS425" s="290"/>
      <c r="FT425" s="290"/>
      <c r="FU425" s="290"/>
      <c r="FV425" s="290"/>
      <c r="FW425" s="290"/>
      <c r="FX425" s="290"/>
      <c r="FY425" s="290"/>
      <c r="FZ425" s="290"/>
      <c r="GA425" s="290"/>
      <c r="GB425" s="290"/>
      <c r="GC425" s="290"/>
      <c r="GD425" s="290"/>
      <c r="GE425" s="290"/>
      <c r="GF425" s="290"/>
      <c r="GG425" s="290"/>
      <c r="GH425" s="290"/>
      <c r="GI425" s="290"/>
      <c r="GJ425" s="290"/>
      <c r="GK425" s="290"/>
      <c r="GL425" s="290"/>
      <c r="GM425" s="290"/>
      <c r="GN425" s="290"/>
      <c r="GO425" s="290"/>
      <c r="GP425" s="290"/>
      <c r="GQ425" s="290"/>
      <c r="GR425" s="290"/>
      <c r="GS425" s="290"/>
      <c r="GT425" s="290"/>
      <c r="GU425" s="290"/>
      <c r="GV425" s="290"/>
      <c r="GW425" s="290"/>
      <c r="GX425" s="290"/>
      <c r="GY425" s="290"/>
      <c r="GZ425" s="290"/>
      <c r="HA425" s="290"/>
      <c r="HB425" s="290"/>
      <c r="HC425" s="290"/>
      <c r="HD425" s="290"/>
      <c r="HE425" s="290"/>
      <c r="HF425" s="290"/>
      <c r="HG425" s="290"/>
      <c r="HH425" s="290"/>
      <c r="HI425" s="290"/>
      <c r="HJ425" s="290"/>
      <c r="HK425" s="290"/>
      <c r="HL425" s="290"/>
      <c r="HM425" s="290"/>
      <c r="HN425" s="290"/>
      <c r="HO425" s="290"/>
      <c r="HP425" s="290"/>
      <c r="HQ425" s="290"/>
      <c r="HR425" s="290"/>
      <c r="HS425" s="290"/>
      <c r="HT425" s="290"/>
      <c r="HU425" s="290"/>
      <c r="HV425" s="290"/>
      <c r="HW425" s="290"/>
      <c r="HX425" s="290"/>
      <c r="HY425" s="290"/>
      <c r="HZ425" s="290"/>
      <c r="IA425" s="290"/>
      <c r="IB425" s="290"/>
      <c r="IC425" s="290"/>
      <c r="ID425" s="290"/>
      <c r="IE425" s="290"/>
      <c r="IF425" s="290"/>
      <c r="IG425" s="290"/>
      <c r="IH425" s="290"/>
      <c r="II425" s="290"/>
      <c r="IJ425" s="290"/>
      <c r="IK425" s="290"/>
      <c r="IL425" s="290"/>
      <c r="IM425" s="290"/>
      <c r="IN425" s="290"/>
      <c r="IO425" s="290"/>
      <c r="IP425" s="290"/>
      <c r="IQ425" s="290"/>
    </row>
    <row r="426" spans="1:251" x14ac:dyDescent="0.3">
      <c r="A426" s="269"/>
      <c r="B426" s="272"/>
      <c r="C426" s="275"/>
      <c r="D426" s="266"/>
      <c r="E426" s="266"/>
      <c r="F426" s="109" t="s">
        <v>234</v>
      </c>
      <c r="G426" s="287"/>
      <c r="H426" s="289"/>
      <c r="I426" s="290"/>
      <c r="J426" s="290"/>
      <c r="K426" s="290"/>
      <c r="L426" s="290"/>
      <c r="M426" s="290"/>
      <c r="N426" s="290"/>
      <c r="O426" s="290"/>
      <c r="P426" s="290"/>
      <c r="Q426" s="290"/>
      <c r="R426" s="290"/>
      <c r="S426" s="290"/>
      <c r="T426" s="290"/>
      <c r="U426" s="290"/>
      <c r="V426" s="290"/>
      <c r="W426" s="290"/>
      <c r="X426" s="290"/>
      <c r="Y426" s="290"/>
      <c r="Z426" s="290"/>
      <c r="AA426" s="290"/>
      <c r="AB426" s="290"/>
      <c r="AC426" s="290"/>
      <c r="AD426" s="290"/>
      <c r="AE426" s="290"/>
      <c r="AF426" s="290"/>
      <c r="AG426" s="290"/>
      <c r="AH426" s="290"/>
      <c r="AI426" s="290"/>
      <c r="AJ426" s="290"/>
      <c r="AK426" s="290"/>
      <c r="AL426" s="290"/>
      <c r="AM426" s="290"/>
      <c r="AN426" s="290"/>
      <c r="AO426" s="290"/>
      <c r="AP426" s="290"/>
      <c r="AQ426" s="290"/>
      <c r="AR426" s="290"/>
      <c r="AS426" s="290"/>
      <c r="AT426" s="290"/>
      <c r="AU426" s="290"/>
      <c r="AV426" s="290"/>
      <c r="AW426" s="290"/>
      <c r="AX426" s="290"/>
      <c r="AY426" s="290"/>
      <c r="AZ426" s="290"/>
      <c r="BA426" s="290"/>
      <c r="BB426" s="290"/>
      <c r="BC426" s="290"/>
      <c r="BD426" s="290"/>
      <c r="BE426" s="290"/>
      <c r="BF426" s="290"/>
      <c r="BG426" s="290"/>
      <c r="BH426" s="290"/>
      <c r="BI426" s="290"/>
      <c r="BJ426" s="290"/>
      <c r="BK426" s="290"/>
      <c r="BL426" s="290"/>
      <c r="BM426" s="290"/>
      <c r="BN426" s="290"/>
      <c r="BO426" s="290"/>
      <c r="BP426" s="290"/>
      <c r="BQ426" s="290"/>
      <c r="BR426" s="290"/>
      <c r="BS426" s="290"/>
      <c r="BT426" s="290"/>
      <c r="BU426" s="290"/>
      <c r="BV426" s="290"/>
      <c r="BW426" s="290"/>
      <c r="BX426" s="290"/>
      <c r="BY426" s="290"/>
      <c r="BZ426" s="290"/>
      <c r="CA426" s="290"/>
      <c r="CB426" s="290"/>
      <c r="CC426" s="290"/>
      <c r="CD426" s="290"/>
      <c r="CE426" s="290"/>
      <c r="CF426" s="290"/>
      <c r="CG426" s="290"/>
      <c r="CH426" s="290"/>
      <c r="CI426" s="290"/>
      <c r="CJ426" s="290"/>
      <c r="CK426" s="290"/>
      <c r="CL426" s="290"/>
      <c r="CM426" s="290"/>
      <c r="CN426" s="290"/>
      <c r="CO426" s="290"/>
      <c r="CP426" s="290"/>
      <c r="CQ426" s="290"/>
      <c r="CR426" s="290"/>
      <c r="CS426" s="290"/>
      <c r="CT426" s="290"/>
      <c r="CU426" s="290"/>
      <c r="CV426" s="290"/>
      <c r="CW426" s="290"/>
      <c r="CX426" s="290"/>
      <c r="CY426" s="290"/>
      <c r="CZ426" s="290"/>
      <c r="DA426" s="290"/>
      <c r="DB426" s="290"/>
      <c r="DC426" s="290"/>
      <c r="DD426" s="290"/>
      <c r="DE426" s="290"/>
      <c r="DF426" s="290"/>
      <c r="DG426" s="290"/>
      <c r="DH426" s="290"/>
      <c r="DI426" s="290"/>
      <c r="DJ426" s="290"/>
      <c r="DK426" s="290"/>
      <c r="DL426" s="290"/>
      <c r="DM426" s="290"/>
      <c r="DN426" s="290"/>
      <c r="DO426" s="290"/>
      <c r="DP426" s="290"/>
      <c r="DQ426" s="290"/>
      <c r="DR426" s="290"/>
      <c r="DS426" s="290"/>
      <c r="DT426" s="290"/>
      <c r="DU426" s="290"/>
      <c r="DV426" s="290"/>
      <c r="DW426" s="290"/>
      <c r="DX426" s="290"/>
      <c r="DY426" s="290"/>
      <c r="DZ426" s="290"/>
      <c r="EA426" s="290"/>
      <c r="EB426" s="290"/>
      <c r="EC426" s="290"/>
      <c r="ED426" s="290"/>
      <c r="EE426" s="290"/>
      <c r="EF426" s="290"/>
      <c r="EG426" s="290"/>
      <c r="EH426" s="290"/>
      <c r="EI426" s="290"/>
      <c r="EJ426" s="290"/>
      <c r="EK426" s="290"/>
      <c r="EL426" s="290"/>
      <c r="EM426" s="290"/>
      <c r="EN426" s="290"/>
      <c r="EO426" s="290"/>
      <c r="EP426" s="290"/>
      <c r="EQ426" s="290"/>
      <c r="ER426" s="290"/>
      <c r="ES426" s="290"/>
      <c r="ET426" s="290"/>
      <c r="EU426" s="290"/>
      <c r="EV426" s="290"/>
      <c r="EW426" s="290"/>
      <c r="EX426" s="290"/>
      <c r="EY426" s="290"/>
      <c r="EZ426" s="290"/>
      <c r="FA426" s="290"/>
      <c r="FB426" s="290"/>
      <c r="FC426" s="290"/>
      <c r="FD426" s="290"/>
      <c r="FE426" s="290"/>
      <c r="FF426" s="290"/>
      <c r="FG426" s="290"/>
      <c r="FH426" s="290"/>
      <c r="FI426" s="290"/>
      <c r="FJ426" s="290"/>
      <c r="FK426" s="290"/>
      <c r="FL426" s="290"/>
      <c r="FM426" s="290"/>
      <c r="FN426" s="290"/>
      <c r="FO426" s="290"/>
      <c r="FP426" s="290"/>
      <c r="FQ426" s="290"/>
      <c r="FR426" s="290"/>
      <c r="FS426" s="290"/>
      <c r="FT426" s="290"/>
      <c r="FU426" s="290"/>
      <c r="FV426" s="290"/>
      <c r="FW426" s="290"/>
      <c r="FX426" s="290"/>
      <c r="FY426" s="290"/>
      <c r="FZ426" s="290"/>
      <c r="GA426" s="290"/>
      <c r="GB426" s="290"/>
      <c r="GC426" s="290"/>
      <c r="GD426" s="290"/>
      <c r="GE426" s="290"/>
      <c r="GF426" s="290"/>
      <c r="GG426" s="290"/>
      <c r="GH426" s="290"/>
      <c r="GI426" s="290"/>
      <c r="GJ426" s="290"/>
      <c r="GK426" s="290"/>
      <c r="GL426" s="290"/>
      <c r="GM426" s="290"/>
      <c r="GN426" s="290"/>
      <c r="GO426" s="290"/>
      <c r="GP426" s="290"/>
      <c r="GQ426" s="290"/>
      <c r="GR426" s="290"/>
      <c r="GS426" s="290"/>
      <c r="GT426" s="290"/>
      <c r="GU426" s="290"/>
      <c r="GV426" s="290"/>
      <c r="GW426" s="290"/>
      <c r="GX426" s="290"/>
      <c r="GY426" s="290"/>
      <c r="GZ426" s="290"/>
      <c r="HA426" s="290"/>
      <c r="HB426" s="290"/>
      <c r="HC426" s="290"/>
      <c r="HD426" s="290"/>
      <c r="HE426" s="290"/>
      <c r="HF426" s="290"/>
      <c r="HG426" s="290"/>
      <c r="HH426" s="290"/>
      <c r="HI426" s="290"/>
      <c r="HJ426" s="290"/>
      <c r="HK426" s="290"/>
      <c r="HL426" s="290"/>
      <c r="HM426" s="290"/>
      <c r="HN426" s="290"/>
      <c r="HO426" s="290"/>
      <c r="HP426" s="290"/>
      <c r="HQ426" s="290"/>
      <c r="HR426" s="290"/>
      <c r="HS426" s="290"/>
      <c r="HT426" s="290"/>
      <c r="HU426" s="290"/>
      <c r="HV426" s="290"/>
      <c r="HW426" s="290"/>
      <c r="HX426" s="290"/>
      <c r="HY426" s="290"/>
      <c r="HZ426" s="290"/>
      <c r="IA426" s="290"/>
      <c r="IB426" s="290"/>
      <c r="IC426" s="290"/>
      <c r="ID426" s="290"/>
      <c r="IE426" s="290"/>
      <c r="IF426" s="290"/>
      <c r="IG426" s="290"/>
      <c r="IH426" s="290"/>
      <c r="II426" s="290"/>
      <c r="IJ426" s="290"/>
      <c r="IK426" s="290"/>
      <c r="IL426" s="290"/>
      <c r="IM426" s="290"/>
      <c r="IN426" s="290"/>
      <c r="IO426" s="290"/>
      <c r="IP426" s="290"/>
      <c r="IQ426" s="290"/>
    </row>
    <row r="427" spans="1:251" x14ac:dyDescent="0.3">
      <c r="A427" s="270"/>
      <c r="B427" s="273"/>
      <c r="C427" s="276"/>
      <c r="D427" s="267"/>
      <c r="E427" s="267"/>
      <c r="F427" s="110" t="s">
        <v>235</v>
      </c>
      <c r="G427" s="288"/>
      <c r="H427" s="289"/>
      <c r="I427" s="290"/>
      <c r="J427" s="290"/>
      <c r="K427" s="290"/>
      <c r="L427" s="290"/>
      <c r="M427" s="290"/>
      <c r="N427" s="290"/>
      <c r="O427" s="290"/>
      <c r="P427" s="290"/>
      <c r="Q427" s="290"/>
      <c r="R427" s="290"/>
      <c r="S427" s="290"/>
      <c r="T427" s="290"/>
      <c r="U427" s="290"/>
      <c r="V427" s="290"/>
      <c r="W427" s="290"/>
      <c r="X427" s="290"/>
      <c r="Y427" s="290"/>
      <c r="Z427" s="290"/>
      <c r="AA427" s="290"/>
      <c r="AB427" s="290"/>
      <c r="AC427" s="290"/>
      <c r="AD427" s="290"/>
      <c r="AE427" s="290"/>
      <c r="AF427" s="290"/>
      <c r="AG427" s="290"/>
      <c r="AH427" s="290"/>
      <c r="AI427" s="290"/>
      <c r="AJ427" s="290"/>
      <c r="AK427" s="290"/>
      <c r="AL427" s="290"/>
      <c r="AM427" s="290"/>
      <c r="AN427" s="290"/>
      <c r="AO427" s="290"/>
      <c r="AP427" s="290"/>
      <c r="AQ427" s="290"/>
      <c r="AR427" s="290"/>
      <c r="AS427" s="290"/>
      <c r="AT427" s="290"/>
      <c r="AU427" s="290"/>
      <c r="AV427" s="290"/>
      <c r="AW427" s="290"/>
      <c r="AX427" s="290"/>
      <c r="AY427" s="290"/>
      <c r="AZ427" s="290"/>
      <c r="BA427" s="290"/>
      <c r="BB427" s="290"/>
      <c r="BC427" s="290"/>
      <c r="BD427" s="290"/>
      <c r="BE427" s="290"/>
      <c r="BF427" s="290"/>
      <c r="BG427" s="290"/>
      <c r="BH427" s="290"/>
      <c r="BI427" s="290"/>
      <c r="BJ427" s="290"/>
      <c r="BK427" s="290"/>
      <c r="BL427" s="290"/>
      <c r="BM427" s="290"/>
      <c r="BN427" s="290"/>
      <c r="BO427" s="290"/>
      <c r="BP427" s="290"/>
      <c r="BQ427" s="290"/>
      <c r="BR427" s="290"/>
      <c r="BS427" s="290"/>
      <c r="BT427" s="290"/>
      <c r="BU427" s="290"/>
      <c r="BV427" s="290"/>
      <c r="BW427" s="290"/>
      <c r="BX427" s="290"/>
      <c r="BY427" s="290"/>
      <c r="BZ427" s="290"/>
      <c r="CA427" s="290"/>
      <c r="CB427" s="290"/>
      <c r="CC427" s="290"/>
      <c r="CD427" s="290"/>
      <c r="CE427" s="290"/>
      <c r="CF427" s="290"/>
      <c r="CG427" s="290"/>
      <c r="CH427" s="290"/>
      <c r="CI427" s="290"/>
      <c r="CJ427" s="290"/>
      <c r="CK427" s="290"/>
      <c r="CL427" s="290"/>
      <c r="CM427" s="290"/>
      <c r="CN427" s="290"/>
      <c r="CO427" s="290"/>
      <c r="CP427" s="290"/>
      <c r="CQ427" s="290"/>
      <c r="CR427" s="290"/>
      <c r="CS427" s="290"/>
      <c r="CT427" s="290"/>
      <c r="CU427" s="290"/>
      <c r="CV427" s="290"/>
      <c r="CW427" s="290"/>
      <c r="CX427" s="290"/>
      <c r="CY427" s="290"/>
      <c r="CZ427" s="290"/>
      <c r="DA427" s="290"/>
      <c r="DB427" s="290"/>
      <c r="DC427" s="290"/>
      <c r="DD427" s="290"/>
      <c r="DE427" s="290"/>
      <c r="DF427" s="290"/>
      <c r="DG427" s="290"/>
      <c r="DH427" s="290"/>
      <c r="DI427" s="290"/>
      <c r="DJ427" s="290"/>
      <c r="DK427" s="290"/>
      <c r="DL427" s="290"/>
      <c r="DM427" s="290"/>
      <c r="DN427" s="290"/>
      <c r="DO427" s="290"/>
      <c r="DP427" s="290"/>
      <c r="DQ427" s="290"/>
      <c r="DR427" s="290"/>
      <c r="DS427" s="290"/>
      <c r="DT427" s="290"/>
      <c r="DU427" s="290"/>
      <c r="DV427" s="290"/>
      <c r="DW427" s="290"/>
      <c r="DX427" s="290"/>
      <c r="DY427" s="290"/>
      <c r="DZ427" s="290"/>
      <c r="EA427" s="290"/>
      <c r="EB427" s="290"/>
      <c r="EC427" s="290"/>
      <c r="ED427" s="290"/>
      <c r="EE427" s="290"/>
      <c r="EF427" s="290"/>
      <c r="EG427" s="290"/>
      <c r="EH427" s="290"/>
      <c r="EI427" s="290"/>
      <c r="EJ427" s="290"/>
      <c r="EK427" s="290"/>
      <c r="EL427" s="290"/>
      <c r="EM427" s="290"/>
      <c r="EN427" s="290"/>
      <c r="EO427" s="290"/>
      <c r="EP427" s="290"/>
      <c r="EQ427" s="290"/>
      <c r="ER427" s="290"/>
      <c r="ES427" s="290"/>
      <c r="ET427" s="290"/>
      <c r="EU427" s="290"/>
      <c r="EV427" s="290"/>
      <c r="EW427" s="290"/>
      <c r="EX427" s="290"/>
      <c r="EY427" s="290"/>
      <c r="EZ427" s="290"/>
      <c r="FA427" s="290"/>
      <c r="FB427" s="290"/>
      <c r="FC427" s="290"/>
      <c r="FD427" s="290"/>
      <c r="FE427" s="290"/>
      <c r="FF427" s="290"/>
      <c r="FG427" s="290"/>
      <c r="FH427" s="290"/>
      <c r="FI427" s="290"/>
      <c r="FJ427" s="290"/>
      <c r="FK427" s="290"/>
      <c r="FL427" s="290"/>
      <c r="FM427" s="290"/>
      <c r="FN427" s="290"/>
      <c r="FO427" s="290"/>
      <c r="FP427" s="290"/>
      <c r="FQ427" s="290"/>
      <c r="FR427" s="290"/>
      <c r="FS427" s="290"/>
      <c r="FT427" s="290"/>
      <c r="FU427" s="290"/>
      <c r="FV427" s="290"/>
      <c r="FW427" s="290"/>
      <c r="FX427" s="290"/>
      <c r="FY427" s="290"/>
      <c r="FZ427" s="290"/>
      <c r="GA427" s="290"/>
      <c r="GB427" s="290"/>
      <c r="GC427" s="290"/>
      <c r="GD427" s="290"/>
      <c r="GE427" s="290"/>
      <c r="GF427" s="290"/>
      <c r="GG427" s="290"/>
      <c r="GH427" s="290"/>
      <c r="GI427" s="290"/>
      <c r="GJ427" s="290"/>
      <c r="GK427" s="290"/>
      <c r="GL427" s="290"/>
      <c r="GM427" s="290"/>
      <c r="GN427" s="290"/>
      <c r="GO427" s="290"/>
      <c r="GP427" s="290"/>
      <c r="GQ427" s="290"/>
      <c r="GR427" s="290"/>
      <c r="GS427" s="290"/>
      <c r="GT427" s="290"/>
      <c r="GU427" s="290"/>
      <c r="GV427" s="290"/>
      <c r="GW427" s="290"/>
      <c r="GX427" s="290"/>
      <c r="GY427" s="290"/>
      <c r="GZ427" s="290"/>
      <c r="HA427" s="290"/>
      <c r="HB427" s="290"/>
      <c r="HC427" s="290"/>
      <c r="HD427" s="290"/>
      <c r="HE427" s="290"/>
      <c r="HF427" s="290"/>
      <c r="HG427" s="290"/>
      <c r="HH427" s="290"/>
      <c r="HI427" s="290"/>
      <c r="HJ427" s="290"/>
      <c r="HK427" s="290"/>
      <c r="HL427" s="290"/>
      <c r="HM427" s="290"/>
      <c r="HN427" s="290"/>
      <c r="HO427" s="290"/>
      <c r="HP427" s="290"/>
      <c r="HQ427" s="290"/>
      <c r="HR427" s="290"/>
      <c r="HS427" s="290"/>
      <c r="HT427" s="290"/>
      <c r="HU427" s="290"/>
      <c r="HV427" s="290"/>
      <c r="HW427" s="290"/>
      <c r="HX427" s="290"/>
      <c r="HY427" s="290"/>
      <c r="HZ427" s="290"/>
      <c r="IA427" s="290"/>
      <c r="IB427" s="290"/>
      <c r="IC427" s="290"/>
      <c r="ID427" s="290"/>
      <c r="IE427" s="290"/>
      <c r="IF427" s="290"/>
      <c r="IG427" s="290"/>
      <c r="IH427" s="290"/>
      <c r="II427" s="290"/>
      <c r="IJ427" s="290"/>
      <c r="IK427" s="290"/>
      <c r="IL427" s="290"/>
      <c r="IM427" s="290"/>
      <c r="IN427" s="290"/>
      <c r="IO427" s="290"/>
      <c r="IP427" s="290"/>
      <c r="IQ427" s="290"/>
    </row>
    <row r="428" spans="1:251" x14ac:dyDescent="0.3">
      <c r="A428" s="268" t="s">
        <v>288</v>
      </c>
      <c r="B428" s="271" t="s">
        <v>48</v>
      </c>
      <c r="C428" s="274" t="s">
        <v>49</v>
      </c>
      <c r="D428" s="265" t="s">
        <v>37</v>
      </c>
      <c r="E428" s="265" t="s">
        <v>38</v>
      </c>
      <c r="F428" s="111" t="s">
        <v>236</v>
      </c>
      <c r="G428" s="286"/>
      <c r="H428" s="289"/>
      <c r="I428" s="290"/>
      <c r="J428" s="290"/>
      <c r="K428" s="290"/>
      <c r="L428" s="290"/>
      <c r="M428" s="290"/>
      <c r="N428" s="290"/>
      <c r="O428" s="290"/>
      <c r="P428" s="290"/>
      <c r="Q428" s="290"/>
      <c r="R428" s="290"/>
      <c r="S428" s="290"/>
      <c r="T428" s="290"/>
      <c r="U428" s="290"/>
      <c r="V428" s="290"/>
      <c r="W428" s="290"/>
      <c r="X428" s="290"/>
      <c r="Y428" s="290"/>
      <c r="Z428" s="290"/>
      <c r="AA428" s="290"/>
      <c r="AB428" s="290"/>
      <c r="AC428" s="290"/>
      <c r="AD428" s="290"/>
      <c r="AE428" s="290"/>
      <c r="AF428" s="290"/>
      <c r="AG428" s="290"/>
      <c r="AH428" s="290"/>
      <c r="AI428" s="290"/>
      <c r="AJ428" s="290"/>
      <c r="AK428" s="290"/>
      <c r="AL428" s="290"/>
      <c r="AM428" s="290"/>
      <c r="AN428" s="290"/>
      <c r="AO428" s="290"/>
      <c r="AP428" s="290"/>
      <c r="AQ428" s="290"/>
      <c r="AR428" s="290"/>
      <c r="AS428" s="290"/>
      <c r="AT428" s="290"/>
      <c r="AU428" s="290"/>
      <c r="AV428" s="290"/>
      <c r="AW428" s="290"/>
      <c r="AX428" s="290"/>
      <c r="AY428" s="290"/>
      <c r="AZ428" s="290"/>
      <c r="BA428" s="290"/>
      <c r="BB428" s="290"/>
      <c r="BC428" s="290"/>
      <c r="BD428" s="290"/>
      <c r="BE428" s="290"/>
      <c r="BF428" s="290"/>
      <c r="BG428" s="290"/>
      <c r="BH428" s="290"/>
      <c r="BI428" s="290"/>
      <c r="BJ428" s="290"/>
      <c r="BK428" s="290"/>
      <c r="BL428" s="290"/>
      <c r="BM428" s="290"/>
      <c r="BN428" s="290"/>
      <c r="BO428" s="290"/>
      <c r="BP428" s="290"/>
      <c r="BQ428" s="290"/>
      <c r="BR428" s="290"/>
      <c r="BS428" s="290"/>
      <c r="BT428" s="290"/>
      <c r="BU428" s="290"/>
      <c r="BV428" s="290"/>
      <c r="BW428" s="290"/>
      <c r="BX428" s="290"/>
      <c r="BY428" s="290"/>
      <c r="BZ428" s="290"/>
      <c r="CA428" s="290"/>
      <c r="CB428" s="290"/>
      <c r="CC428" s="290"/>
      <c r="CD428" s="290"/>
      <c r="CE428" s="290"/>
      <c r="CF428" s="290"/>
      <c r="CG428" s="290"/>
      <c r="CH428" s="290"/>
      <c r="CI428" s="290"/>
      <c r="CJ428" s="290"/>
      <c r="CK428" s="290"/>
      <c r="CL428" s="290"/>
      <c r="CM428" s="290"/>
      <c r="CN428" s="290"/>
      <c r="CO428" s="290"/>
      <c r="CP428" s="290"/>
      <c r="CQ428" s="290"/>
      <c r="CR428" s="290"/>
      <c r="CS428" s="290"/>
      <c r="CT428" s="290"/>
      <c r="CU428" s="290"/>
      <c r="CV428" s="290"/>
      <c r="CW428" s="290"/>
      <c r="CX428" s="290"/>
      <c r="CY428" s="290"/>
      <c r="CZ428" s="290"/>
      <c r="DA428" s="290"/>
      <c r="DB428" s="290"/>
      <c r="DC428" s="290"/>
      <c r="DD428" s="290"/>
      <c r="DE428" s="290"/>
      <c r="DF428" s="290"/>
      <c r="DG428" s="290"/>
      <c r="DH428" s="290"/>
      <c r="DI428" s="290"/>
      <c r="DJ428" s="290"/>
      <c r="DK428" s="290"/>
      <c r="DL428" s="290"/>
      <c r="DM428" s="290"/>
      <c r="DN428" s="290"/>
      <c r="DO428" s="290"/>
      <c r="DP428" s="290"/>
      <c r="DQ428" s="290"/>
      <c r="DR428" s="290"/>
      <c r="DS428" s="290"/>
      <c r="DT428" s="290"/>
      <c r="DU428" s="290"/>
      <c r="DV428" s="290"/>
      <c r="DW428" s="290"/>
      <c r="DX428" s="290"/>
      <c r="DY428" s="290"/>
      <c r="DZ428" s="290"/>
      <c r="EA428" s="290"/>
      <c r="EB428" s="290"/>
      <c r="EC428" s="290"/>
      <c r="ED428" s="290"/>
      <c r="EE428" s="290"/>
      <c r="EF428" s="290"/>
      <c r="EG428" s="290"/>
      <c r="EH428" s="290"/>
      <c r="EI428" s="290"/>
      <c r="EJ428" s="290"/>
      <c r="EK428" s="290"/>
      <c r="EL428" s="290"/>
      <c r="EM428" s="290"/>
      <c r="EN428" s="290"/>
      <c r="EO428" s="290"/>
      <c r="EP428" s="290"/>
      <c r="EQ428" s="290"/>
      <c r="ER428" s="290"/>
      <c r="ES428" s="290"/>
      <c r="ET428" s="290"/>
      <c r="EU428" s="290"/>
      <c r="EV428" s="290"/>
      <c r="EW428" s="290"/>
      <c r="EX428" s="290"/>
      <c r="EY428" s="290"/>
      <c r="EZ428" s="290"/>
      <c r="FA428" s="290"/>
      <c r="FB428" s="290"/>
      <c r="FC428" s="290"/>
      <c r="FD428" s="290"/>
      <c r="FE428" s="290"/>
      <c r="FF428" s="290"/>
      <c r="FG428" s="290"/>
      <c r="FH428" s="290"/>
      <c r="FI428" s="290"/>
      <c r="FJ428" s="290"/>
      <c r="FK428" s="290"/>
      <c r="FL428" s="290"/>
      <c r="FM428" s="290"/>
      <c r="FN428" s="290"/>
      <c r="FO428" s="290"/>
      <c r="FP428" s="290"/>
      <c r="FQ428" s="290"/>
      <c r="FR428" s="290"/>
      <c r="FS428" s="290"/>
      <c r="FT428" s="290"/>
      <c r="FU428" s="290"/>
      <c r="FV428" s="290"/>
      <c r="FW428" s="290"/>
      <c r="FX428" s="290"/>
      <c r="FY428" s="290"/>
      <c r="FZ428" s="290"/>
      <c r="GA428" s="290"/>
      <c r="GB428" s="290"/>
      <c r="GC428" s="290"/>
      <c r="GD428" s="290"/>
      <c r="GE428" s="290"/>
      <c r="GF428" s="290"/>
      <c r="GG428" s="290"/>
      <c r="GH428" s="290"/>
      <c r="GI428" s="290"/>
      <c r="GJ428" s="290"/>
      <c r="GK428" s="290"/>
      <c r="GL428" s="290"/>
      <c r="GM428" s="290"/>
      <c r="GN428" s="290"/>
      <c r="GO428" s="290"/>
      <c r="GP428" s="290"/>
      <c r="GQ428" s="290"/>
      <c r="GR428" s="290"/>
      <c r="GS428" s="290"/>
      <c r="GT428" s="290"/>
      <c r="GU428" s="290"/>
      <c r="GV428" s="290"/>
      <c r="GW428" s="290"/>
      <c r="GX428" s="290"/>
      <c r="GY428" s="290"/>
      <c r="GZ428" s="290"/>
      <c r="HA428" s="290"/>
      <c r="HB428" s="290"/>
      <c r="HC428" s="290"/>
      <c r="HD428" s="290"/>
      <c r="HE428" s="290"/>
      <c r="HF428" s="290"/>
      <c r="HG428" s="290"/>
      <c r="HH428" s="290"/>
      <c r="HI428" s="290"/>
      <c r="HJ428" s="290"/>
      <c r="HK428" s="290"/>
      <c r="HL428" s="290"/>
      <c r="HM428" s="290"/>
      <c r="HN428" s="290"/>
      <c r="HO428" s="290"/>
      <c r="HP428" s="290"/>
      <c r="HQ428" s="290"/>
      <c r="HR428" s="290"/>
      <c r="HS428" s="290"/>
      <c r="HT428" s="290"/>
      <c r="HU428" s="290"/>
      <c r="HV428" s="290"/>
      <c r="HW428" s="290"/>
      <c r="HX428" s="290"/>
      <c r="HY428" s="290"/>
      <c r="HZ428" s="290"/>
      <c r="IA428" s="290"/>
      <c r="IB428" s="290"/>
      <c r="IC428" s="290"/>
      <c r="ID428" s="290"/>
      <c r="IE428" s="290"/>
      <c r="IF428" s="290"/>
      <c r="IG428" s="290"/>
      <c r="IH428" s="290"/>
      <c r="II428" s="290"/>
      <c r="IJ428" s="290"/>
      <c r="IK428" s="290"/>
      <c r="IL428" s="290"/>
      <c r="IM428" s="290"/>
      <c r="IN428" s="290"/>
      <c r="IO428" s="290"/>
      <c r="IP428" s="290"/>
      <c r="IQ428" s="290"/>
    </row>
    <row r="429" spans="1:251" x14ac:dyDescent="0.3">
      <c r="A429" s="269"/>
      <c r="B429" s="272"/>
      <c r="C429" s="275"/>
      <c r="D429" s="266"/>
      <c r="E429" s="266"/>
      <c r="F429" s="112" t="s">
        <v>237</v>
      </c>
      <c r="G429" s="287"/>
      <c r="H429" s="289"/>
      <c r="I429" s="290"/>
      <c r="J429" s="290"/>
      <c r="K429" s="290"/>
      <c r="L429" s="290"/>
      <c r="M429" s="290"/>
      <c r="N429" s="290"/>
      <c r="O429" s="290"/>
      <c r="P429" s="290"/>
      <c r="Q429" s="290"/>
      <c r="R429" s="290"/>
      <c r="S429" s="290"/>
      <c r="T429" s="290"/>
      <c r="U429" s="290"/>
      <c r="V429" s="290"/>
      <c r="W429" s="290"/>
      <c r="X429" s="290"/>
      <c r="Y429" s="290"/>
      <c r="Z429" s="290"/>
      <c r="AA429" s="290"/>
      <c r="AB429" s="290"/>
      <c r="AC429" s="290"/>
      <c r="AD429" s="290"/>
      <c r="AE429" s="290"/>
      <c r="AF429" s="290"/>
      <c r="AG429" s="290"/>
      <c r="AH429" s="290"/>
      <c r="AI429" s="290"/>
      <c r="AJ429" s="290"/>
      <c r="AK429" s="290"/>
      <c r="AL429" s="290"/>
      <c r="AM429" s="290"/>
      <c r="AN429" s="290"/>
      <c r="AO429" s="290"/>
      <c r="AP429" s="290"/>
      <c r="AQ429" s="290"/>
      <c r="AR429" s="290"/>
      <c r="AS429" s="290"/>
      <c r="AT429" s="290"/>
      <c r="AU429" s="290"/>
      <c r="AV429" s="290"/>
      <c r="AW429" s="290"/>
      <c r="AX429" s="290"/>
      <c r="AY429" s="290"/>
      <c r="AZ429" s="290"/>
      <c r="BA429" s="290"/>
      <c r="BB429" s="290"/>
      <c r="BC429" s="290"/>
      <c r="BD429" s="290"/>
      <c r="BE429" s="290"/>
      <c r="BF429" s="290"/>
      <c r="BG429" s="290"/>
      <c r="BH429" s="290"/>
      <c r="BI429" s="290"/>
      <c r="BJ429" s="290"/>
      <c r="BK429" s="290"/>
      <c r="BL429" s="290"/>
      <c r="BM429" s="290"/>
      <c r="BN429" s="290"/>
      <c r="BO429" s="290"/>
      <c r="BP429" s="290"/>
      <c r="BQ429" s="290"/>
      <c r="BR429" s="290"/>
      <c r="BS429" s="290"/>
      <c r="BT429" s="290"/>
      <c r="BU429" s="290"/>
      <c r="BV429" s="290"/>
      <c r="BW429" s="290"/>
      <c r="BX429" s="290"/>
      <c r="BY429" s="290"/>
      <c r="BZ429" s="290"/>
      <c r="CA429" s="290"/>
      <c r="CB429" s="290"/>
      <c r="CC429" s="290"/>
      <c r="CD429" s="290"/>
      <c r="CE429" s="290"/>
      <c r="CF429" s="290"/>
      <c r="CG429" s="290"/>
      <c r="CH429" s="290"/>
      <c r="CI429" s="290"/>
      <c r="CJ429" s="290"/>
      <c r="CK429" s="290"/>
      <c r="CL429" s="290"/>
      <c r="CM429" s="290"/>
      <c r="CN429" s="290"/>
      <c r="CO429" s="290"/>
      <c r="CP429" s="290"/>
      <c r="CQ429" s="290"/>
      <c r="CR429" s="290"/>
      <c r="CS429" s="290"/>
      <c r="CT429" s="290"/>
      <c r="CU429" s="290"/>
      <c r="CV429" s="290"/>
      <c r="CW429" s="290"/>
      <c r="CX429" s="290"/>
      <c r="CY429" s="290"/>
      <c r="CZ429" s="290"/>
      <c r="DA429" s="290"/>
      <c r="DB429" s="290"/>
      <c r="DC429" s="290"/>
      <c r="DD429" s="290"/>
      <c r="DE429" s="290"/>
      <c r="DF429" s="290"/>
      <c r="DG429" s="290"/>
      <c r="DH429" s="290"/>
      <c r="DI429" s="290"/>
      <c r="DJ429" s="290"/>
      <c r="DK429" s="290"/>
      <c r="DL429" s="290"/>
      <c r="DM429" s="290"/>
      <c r="DN429" s="290"/>
      <c r="DO429" s="290"/>
      <c r="DP429" s="290"/>
      <c r="DQ429" s="290"/>
      <c r="DR429" s="290"/>
      <c r="DS429" s="290"/>
      <c r="DT429" s="290"/>
      <c r="DU429" s="290"/>
      <c r="DV429" s="290"/>
      <c r="DW429" s="290"/>
      <c r="DX429" s="290"/>
      <c r="DY429" s="290"/>
      <c r="DZ429" s="290"/>
      <c r="EA429" s="290"/>
      <c r="EB429" s="290"/>
      <c r="EC429" s="290"/>
      <c r="ED429" s="290"/>
      <c r="EE429" s="290"/>
      <c r="EF429" s="290"/>
      <c r="EG429" s="290"/>
      <c r="EH429" s="290"/>
      <c r="EI429" s="290"/>
      <c r="EJ429" s="290"/>
      <c r="EK429" s="290"/>
      <c r="EL429" s="290"/>
      <c r="EM429" s="290"/>
      <c r="EN429" s="290"/>
      <c r="EO429" s="290"/>
      <c r="EP429" s="290"/>
      <c r="EQ429" s="290"/>
      <c r="ER429" s="290"/>
      <c r="ES429" s="290"/>
      <c r="ET429" s="290"/>
      <c r="EU429" s="290"/>
      <c r="EV429" s="290"/>
      <c r="EW429" s="290"/>
      <c r="EX429" s="290"/>
      <c r="EY429" s="290"/>
      <c r="EZ429" s="290"/>
      <c r="FA429" s="290"/>
      <c r="FB429" s="290"/>
      <c r="FC429" s="290"/>
      <c r="FD429" s="290"/>
      <c r="FE429" s="290"/>
      <c r="FF429" s="290"/>
      <c r="FG429" s="290"/>
      <c r="FH429" s="290"/>
      <c r="FI429" s="290"/>
      <c r="FJ429" s="290"/>
      <c r="FK429" s="290"/>
      <c r="FL429" s="290"/>
      <c r="FM429" s="290"/>
      <c r="FN429" s="290"/>
      <c r="FO429" s="290"/>
      <c r="FP429" s="290"/>
      <c r="FQ429" s="290"/>
      <c r="FR429" s="290"/>
      <c r="FS429" s="290"/>
      <c r="FT429" s="290"/>
      <c r="FU429" s="290"/>
      <c r="FV429" s="290"/>
      <c r="FW429" s="290"/>
      <c r="FX429" s="290"/>
      <c r="FY429" s="290"/>
      <c r="FZ429" s="290"/>
      <c r="GA429" s="290"/>
      <c r="GB429" s="290"/>
      <c r="GC429" s="290"/>
      <c r="GD429" s="290"/>
      <c r="GE429" s="290"/>
      <c r="GF429" s="290"/>
      <c r="GG429" s="290"/>
      <c r="GH429" s="290"/>
      <c r="GI429" s="290"/>
      <c r="GJ429" s="290"/>
      <c r="GK429" s="290"/>
      <c r="GL429" s="290"/>
      <c r="GM429" s="290"/>
      <c r="GN429" s="290"/>
      <c r="GO429" s="290"/>
      <c r="GP429" s="290"/>
      <c r="GQ429" s="290"/>
      <c r="GR429" s="290"/>
      <c r="GS429" s="290"/>
      <c r="GT429" s="290"/>
      <c r="GU429" s="290"/>
      <c r="GV429" s="290"/>
      <c r="GW429" s="290"/>
      <c r="GX429" s="290"/>
      <c r="GY429" s="290"/>
      <c r="GZ429" s="290"/>
      <c r="HA429" s="290"/>
      <c r="HB429" s="290"/>
      <c r="HC429" s="290"/>
      <c r="HD429" s="290"/>
      <c r="HE429" s="290"/>
      <c r="HF429" s="290"/>
      <c r="HG429" s="290"/>
      <c r="HH429" s="290"/>
      <c r="HI429" s="290"/>
      <c r="HJ429" s="290"/>
      <c r="HK429" s="290"/>
      <c r="HL429" s="290"/>
      <c r="HM429" s="290"/>
      <c r="HN429" s="290"/>
      <c r="HO429" s="290"/>
      <c r="HP429" s="290"/>
      <c r="HQ429" s="290"/>
      <c r="HR429" s="290"/>
      <c r="HS429" s="290"/>
      <c r="HT429" s="290"/>
      <c r="HU429" s="290"/>
      <c r="HV429" s="290"/>
      <c r="HW429" s="290"/>
      <c r="HX429" s="290"/>
      <c r="HY429" s="290"/>
      <c r="HZ429" s="290"/>
      <c r="IA429" s="290"/>
      <c r="IB429" s="290"/>
      <c r="IC429" s="290"/>
      <c r="ID429" s="290"/>
      <c r="IE429" s="290"/>
      <c r="IF429" s="290"/>
      <c r="IG429" s="290"/>
      <c r="IH429" s="290"/>
      <c r="II429" s="290"/>
      <c r="IJ429" s="290"/>
      <c r="IK429" s="290"/>
      <c r="IL429" s="290"/>
      <c r="IM429" s="290"/>
      <c r="IN429" s="290"/>
      <c r="IO429" s="290"/>
      <c r="IP429" s="290"/>
      <c r="IQ429" s="290"/>
    </row>
    <row r="430" spans="1:251" x14ac:dyDescent="0.3">
      <c r="A430" s="270"/>
      <c r="B430" s="273"/>
      <c r="C430" s="276"/>
      <c r="D430" s="267"/>
      <c r="E430" s="267"/>
      <c r="F430" s="113" t="s">
        <v>238</v>
      </c>
      <c r="G430" s="288"/>
      <c r="H430" s="289"/>
      <c r="I430" s="290"/>
      <c r="J430" s="290"/>
      <c r="K430" s="290"/>
      <c r="L430" s="290"/>
      <c r="M430" s="290"/>
      <c r="N430" s="290"/>
      <c r="O430" s="290"/>
      <c r="P430" s="290"/>
      <c r="Q430" s="290"/>
      <c r="R430" s="290"/>
      <c r="S430" s="290"/>
      <c r="T430" s="290"/>
      <c r="U430" s="290"/>
      <c r="V430" s="290"/>
      <c r="W430" s="290"/>
      <c r="X430" s="290"/>
      <c r="Y430" s="290"/>
      <c r="Z430" s="290"/>
      <c r="AA430" s="290"/>
      <c r="AB430" s="290"/>
      <c r="AC430" s="290"/>
      <c r="AD430" s="290"/>
      <c r="AE430" s="290"/>
      <c r="AF430" s="290"/>
      <c r="AG430" s="290"/>
      <c r="AH430" s="290"/>
      <c r="AI430" s="290"/>
      <c r="AJ430" s="290"/>
      <c r="AK430" s="290"/>
      <c r="AL430" s="290"/>
      <c r="AM430" s="290"/>
      <c r="AN430" s="290"/>
      <c r="AO430" s="290"/>
      <c r="AP430" s="290"/>
      <c r="AQ430" s="290"/>
      <c r="AR430" s="290"/>
      <c r="AS430" s="290"/>
      <c r="AT430" s="290"/>
      <c r="AU430" s="290"/>
      <c r="AV430" s="290"/>
      <c r="AW430" s="290"/>
      <c r="AX430" s="290"/>
      <c r="AY430" s="290"/>
      <c r="AZ430" s="290"/>
      <c r="BA430" s="290"/>
      <c r="BB430" s="290"/>
      <c r="BC430" s="290"/>
      <c r="BD430" s="290"/>
      <c r="BE430" s="290"/>
      <c r="BF430" s="290"/>
      <c r="BG430" s="290"/>
      <c r="BH430" s="290"/>
      <c r="BI430" s="290"/>
      <c r="BJ430" s="290"/>
      <c r="BK430" s="290"/>
      <c r="BL430" s="290"/>
      <c r="BM430" s="290"/>
      <c r="BN430" s="290"/>
      <c r="BO430" s="290"/>
      <c r="BP430" s="290"/>
      <c r="BQ430" s="290"/>
      <c r="BR430" s="290"/>
      <c r="BS430" s="290"/>
      <c r="BT430" s="290"/>
      <c r="BU430" s="290"/>
      <c r="BV430" s="290"/>
      <c r="BW430" s="290"/>
      <c r="BX430" s="290"/>
      <c r="BY430" s="290"/>
      <c r="BZ430" s="290"/>
      <c r="CA430" s="290"/>
      <c r="CB430" s="290"/>
      <c r="CC430" s="290"/>
      <c r="CD430" s="290"/>
      <c r="CE430" s="290"/>
      <c r="CF430" s="290"/>
      <c r="CG430" s="290"/>
      <c r="CH430" s="290"/>
      <c r="CI430" s="290"/>
      <c r="CJ430" s="290"/>
      <c r="CK430" s="290"/>
      <c r="CL430" s="290"/>
      <c r="CM430" s="290"/>
      <c r="CN430" s="290"/>
      <c r="CO430" s="290"/>
      <c r="CP430" s="290"/>
      <c r="CQ430" s="290"/>
      <c r="CR430" s="290"/>
      <c r="CS430" s="290"/>
      <c r="CT430" s="290"/>
      <c r="CU430" s="290"/>
      <c r="CV430" s="290"/>
      <c r="CW430" s="290"/>
      <c r="CX430" s="290"/>
      <c r="CY430" s="290"/>
      <c r="CZ430" s="290"/>
      <c r="DA430" s="290"/>
      <c r="DB430" s="290"/>
      <c r="DC430" s="290"/>
      <c r="DD430" s="290"/>
      <c r="DE430" s="290"/>
      <c r="DF430" s="290"/>
      <c r="DG430" s="290"/>
      <c r="DH430" s="290"/>
      <c r="DI430" s="290"/>
      <c r="DJ430" s="290"/>
      <c r="DK430" s="290"/>
      <c r="DL430" s="290"/>
      <c r="DM430" s="290"/>
      <c r="DN430" s="290"/>
      <c r="DO430" s="290"/>
      <c r="DP430" s="290"/>
      <c r="DQ430" s="290"/>
      <c r="DR430" s="290"/>
      <c r="DS430" s="290"/>
      <c r="DT430" s="290"/>
      <c r="DU430" s="290"/>
      <c r="DV430" s="290"/>
      <c r="DW430" s="290"/>
      <c r="DX430" s="290"/>
      <c r="DY430" s="290"/>
      <c r="DZ430" s="290"/>
      <c r="EA430" s="290"/>
      <c r="EB430" s="290"/>
      <c r="EC430" s="290"/>
      <c r="ED430" s="290"/>
      <c r="EE430" s="290"/>
      <c r="EF430" s="290"/>
      <c r="EG430" s="290"/>
      <c r="EH430" s="290"/>
      <c r="EI430" s="290"/>
      <c r="EJ430" s="290"/>
      <c r="EK430" s="290"/>
      <c r="EL430" s="290"/>
      <c r="EM430" s="290"/>
      <c r="EN430" s="290"/>
      <c r="EO430" s="290"/>
      <c r="EP430" s="290"/>
      <c r="EQ430" s="290"/>
      <c r="ER430" s="290"/>
      <c r="ES430" s="290"/>
      <c r="ET430" s="290"/>
      <c r="EU430" s="290"/>
      <c r="EV430" s="290"/>
      <c r="EW430" s="290"/>
      <c r="EX430" s="290"/>
      <c r="EY430" s="290"/>
      <c r="EZ430" s="290"/>
      <c r="FA430" s="290"/>
      <c r="FB430" s="290"/>
      <c r="FC430" s="290"/>
      <c r="FD430" s="290"/>
      <c r="FE430" s="290"/>
      <c r="FF430" s="290"/>
      <c r="FG430" s="290"/>
      <c r="FH430" s="290"/>
      <c r="FI430" s="290"/>
      <c r="FJ430" s="290"/>
      <c r="FK430" s="290"/>
      <c r="FL430" s="290"/>
      <c r="FM430" s="290"/>
      <c r="FN430" s="290"/>
      <c r="FO430" s="290"/>
      <c r="FP430" s="290"/>
      <c r="FQ430" s="290"/>
      <c r="FR430" s="290"/>
      <c r="FS430" s="290"/>
      <c r="FT430" s="290"/>
      <c r="FU430" s="290"/>
      <c r="FV430" s="290"/>
      <c r="FW430" s="290"/>
      <c r="FX430" s="290"/>
      <c r="FY430" s="290"/>
      <c r="FZ430" s="290"/>
      <c r="GA430" s="290"/>
      <c r="GB430" s="290"/>
      <c r="GC430" s="290"/>
      <c r="GD430" s="290"/>
      <c r="GE430" s="290"/>
      <c r="GF430" s="290"/>
      <c r="GG430" s="290"/>
      <c r="GH430" s="290"/>
      <c r="GI430" s="290"/>
      <c r="GJ430" s="290"/>
      <c r="GK430" s="290"/>
      <c r="GL430" s="290"/>
      <c r="GM430" s="290"/>
      <c r="GN430" s="290"/>
      <c r="GO430" s="290"/>
      <c r="GP430" s="290"/>
      <c r="GQ430" s="290"/>
      <c r="GR430" s="290"/>
      <c r="GS430" s="290"/>
      <c r="GT430" s="290"/>
      <c r="GU430" s="290"/>
      <c r="GV430" s="290"/>
      <c r="GW430" s="290"/>
      <c r="GX430" s="290"/>
      <c r="GY430" s="290"/>
      <c r="GZ430" s="290"/>
      <c r="HA430" s="290"/>
      <c r="HB430" s="290"/>
      <c r="HC430" s="290"/>
      <c r="HD430" s="290"/>
      <c r="HE430" s="290"/>
      <c r="HF430" s="290"/>
      <c r="HG430" s="290"/>
      <c r="HH430" s="290"/>
      <c r="HI430" s="290"/>
      <c r="HJ430" s="290"/>
      <c r="HK430" s="290"/>
      <c r="HL430" s="290"/>
      <c r="HM430" s="290"/>
      <c r="HN430" s="290"/>
      <c r="HO430" s="290"/>
      <c r="HP430" s="290"/>
      <c r="HQ430" s="290"/>
      <c r="HR430" s="290"/>
      <c r="HS430" s="290"/>
      <c r="HT430" s="290"/>
      <c r="HU430" s="290"/>
      <c r="HV430" s="290"/>
      <c r="HW430" s="290"/>
      <c r="HX430" s="290"/>
      <c r="HY430" s="290"/>
      <c r="HZ430" s="290"/>
      <c r="IA430" s="290"/>
      <c r="IB430" s="290"/>
      <c r="IC430" s="290"/>
      <c r="ID430" s="290"/>
      <c r="IE430" s="290"/>
      <c r="IF430" s="290"/>
      <c r="IG430" s="290"/>
      <c r="IH430" s="290"/>
      <c r="II430" s="290"/>
      <c r="IJ430" s="290"/>
      <c r="IK430" s="290"/>
      <c r="IL430" s="290"/>
      <c r="IM430" s="290"/>
      <c r="IN430" s="290"/>
      <c r="IO430" s="290"/>
      <c r="IP430" s="290"/>
      <c r="IQ430" s="290"/>
    </row>
    <row r="431" spans="1:251" ht="39" x14ac:dyDescent="0.3">
      <c r="A431" s="239" t="s">
        <v>288</v>
      </c>
      <c r="B431" s="21" t="s">
        <v>1852</v>
      </c>
      <c r="C431" s="129" t="s">
        <v>49</v>
      </c>
      <c r="D431" s="166" t="s">
        <v>37</v>
      </c>
      <c r="E431" s="166" t="s">
        <v>38</v>
      </c>
      <c r="F431" s="100" t="s">
        <v>1854</v>
      </c>
      <c r="G431" s="183"/>
      <c r="H431" s="183"/>
      <c r="I431" s="183"/>
      <c r="J431" s="183"/>
      <c r="K431" s="183"/>
      <c r="L431" s="183"/>
      <c r="M431" s="183"/>
      <c r="N431" s="183"/>
      <c r="O431" s="183"/>
      <c r="P431" s="183"/>
      <c r="Q431" s="183"/>
      <c r="R431" s="183"/>
      <c r="S431" s="183"/>
      <c r="T431" s="183"/>
      <c r="U431" s="183"/>
      <c r="V431" s="183"/>
      <c r="W431" s="183"/>
      <c r="X431" s="183"/>
      <c r="Y431" s="183"/>
      <c r="Z431" s="183"/>
      <c r="AA431" s="183"/>
      <c r="AB431" s="183"/>
      <c r="AC431" s="183"/>
      <c r="AD431" s="183"/>
      <c r="AE431" s="183"/>
      <c r="AF431" s="183"/>
      <c r="AG431" s="183"/>
      <c r="AH431" s="183"/>
      <c r="AI431" s="183"/>
      <c r="AJ431" s="183"/>
      <c r="AK431" s="183"/>
      <c r="AL431" s="183"/>
      <c r="AM431" s="183"/>
      <c r="AN431" s="183"/>
      <c r="AO431" s="183"/>
      <c r="AP431" s="183"/>
      <c r="AQ431" s="183"/>
      <c r="AR431" s="183"/>
      <c r="AS431" s="183"/>
      <c r="AT431" s="183"/>
      <c r="AU431" s="183"/>
      <c r="AV431" s="183"/>
      <c r="AW431" s="183"/>
      <c r="AX431" s="183"/>
      <c r="AY431" s="183"/>
      <c r="AZ431" s="183"/>
      <c r="BA431" s="183"/>
      <c r="BB431" s="183"/>
      <c r="BC431" s="183"/>
      <c r="BD431" s="183"/>
      <c r="BE431" s="183"/>
      <c r="BF431" s="183"/>
      <c r="BG431" s="183"/>
      <c r="BH431" s="183"/>
      <c r="BI431" s="183"/>
      <c r="BJ431" s="183"/>
      <c r="BK431" s="183"/>
      <c r="BL431" s="183"/>
      <c r="BM431" s="183"/>
      <c r="BN431" s="183"/>
      <c r="BO431" s="183"/>
      <c r="BP431" s="183"/>
      <c r="BQ431" s="183"/>
      <c r="BR431" s="183"/>
      <c r="BS431" s="183"/>
      <c r="BT431" s="183"/>
      <c r="BU431" s="183"/>
      <c r="BV431" s="183"/>
      <c r="BW431" s="183"/>
      <c r="BX431" s="183"/>
      <c r="BY431" s="183"/>
      <c r="BZ431" s="183"/>
      <c r="CA431" s="183"/>
      <c r="CB431" s="183"/>
      <c r="CC431" s="183"/>
      <c r="CD431" s="183"/>
      <c r="CE431" s="183"/>
      <c r="CF431" s="183"/>
      <c r="CG431" s="183"/>
      <c r="CH431" s="183"/>
      <c r="CI431" s="183"/>
      <c r="CJ431" s="183"/>
      <c r="CK431" s="183"/>
      <c r="CL431" s="183"/>
      <c r="CM431" s="183"/>
      <c r="CN431" s="183"/>
      <c r="CO431" s="183"/>
      <c r="CP431" s="183"/>
      <c r="CQ431" s="183"/>
      <c r="CR431" s="183"/>
      <c r="CS431" s="183"/>
      <c r="CT431" s="183"/>
      <c r="CU431" s="183"/>
      <c r="CV431" s="183"/>
      <c r="CW431" s="183"/>
      <c r="CX431" s="183"/>
      <c r="CY431" s="183"/>
      <c r="CZ431" s="183"/>
      <c r="DA431" s="183"/>
      <c r="DB431" s="183"/>
      <c r="DC431" s="183"/>
      <c r="DD431" s="183"/>
      <c r="DE431" s="183"/>
      <c r="DF431" s="183"/>
      <c r="DG431" s="183"/>
      <c r="DH431" s="183"/>
      <c r="DI431" s="183"/>
      <c r="DJ431" s="183"/>
      <c r="DK431" s="183"/>
      <c r="DL431" s="183"/>
      <c r="DM431" s="183"/>
      <c r="DN431" s="183"/>
      <c r="DO431" s="183"/>
      <c r="DP431" s="183"/>
      <c r="DQ431" s="183"/>
      <c r="DR431" s="183"/>
      <c r="DS431" s="183"/>
      <c r="DT431" s="183"/>
      <c r="DU431" s="183"/>
      <c r="DV431" s="183"/>
      <c r="DW431" s="183"/>
      <c r="DX431" s="183"/>
      <c r="DY431" s="183"/>
      <c r="DZ431" s="183"/>
      <c r="EA431" s="183"/>
      <c r="EB431" s="183"/>
      <c r="EC431" s="183"/>
      <c r="ED431" s="183"/>
      <c r="EE431" s="183"/>
      <c r="EF431" s="183"/>
      <c r="EG431" s="183"/>
      <c r="EH431" s="183"/>
      <c r="EI431" s="183"/>
      <c r="EJ431" s="183"/>
      <c r="EK431" s="183"/>
      <c r="EL431" s="183"/>
      <c r="EM431" s="183"/>
      <c r="EN431" s="183"/>
      <c r="EO431" s="183"/>
      <c r="EP431" s="183"/>
      <c r="EQ431" s="183"/>
      <c r="ER431" s="183"/>
      <c r="ES431" s="183"/>
      <c r="ET431" s="183"/>
      <c r="EU431" s="183"/>
      <c r="EV431" s="183"/>
      <c r="EW431" s="183"/>
      <c r="EX431" s="183"/>
      <c r="EY431" s="183"/>
      <c r="EZ431" s="183"/>
      <c r="FA431" s="183"/>
      <c r="FB431" s="183"/>
      <c r="FC431" s="183"/>
      <c r="FD431" s="183"/>
      <c r="FE431" s="183"/>
      <c r="FF431" s="183"/>
      <c r="FG431" s="183"/>
      <c r="FH431" s="183"/>
      <c r="FI431" s="183"/>
      <c r="FJ431" s="183"/>
      <c r="FK431" s="183"/>
      <c r="FL431" s="183"/>
      <c r="FM431" s="183"/>
      <c r="FN431" s="183"/>
      <c r="FO431" s="183"/>
      <c r="FP431" s="183"/>
      <c r="FQ431" s="183"/>
      <c r="FR431" s="183"/>
      <c r="FS431" s="183"/>
      <c r="FT431" s="183"/>
      <c r="FU431" s="183"/>
      <c r="FV431" s="183"/>
      <c r="FW431" s="183"/>
      <c r="FX431" s="183"/>
      <c r="FY431" s="183"/>
      <c r="FZ431" s="183"/>
      <c r="GA431" s="183"/>
      <c r="GB431" s="183"/>
      <c r="GC431" s="183"/>
      <c r="GD431" s="183"/>
      <c r="GE431" s="183"/>
      <c r="GF431" s="183"/>
      <c r="GG431" s="183"/>
      <c r="GH431" s="183"/>
      <c r="GI431" s="183"/>
      <c r="GJ431" s="183"/>
      <c r="GK431" s="183"/>
      <c r="GL431" s="183"/>
      <c r="GM431" s="183"/>
      <c r="GN431" s="183"/>
      <c r="GO431" s="183"/>
      <c r="GP431" s="183"/>
      <c r="GQ431" s="183"/>
      <c r="GR431" s="183"/>
      <c r="GS431" s="183"/>
      <c r="GT431" s="183"/>
      <c r="GU431" s="183"/>
      <c r="GV431" s="183"/>
      <c r="GW431" s="183"/>
      <c r="GX431" s="183"/>
      <c r="GY431" s="183"/>
      <c r="GZ431" s="183"/>
      <c r="HA431" s="183"/>
      <c r="HB431" s="183"/>
      <c r="HC431" s="183"/>
      <c r="HD431" s="183"/>
      <c r="HE431" s="183"/>
      <c r="HF431" s="183"/>
      <c r="HG431" s="183"/>
      <c r="HH431" s="183"/>
      <c r="HI431" s="183"/>
      <c r="HJ431" s="183"/>
      <c r="HK431" s="183"/>
      <c r="HL431" s="183"/>
      <c r="HM431" s="183"/>
      <c r="HN431" s="183"/>
      <c r="HO431" s="183"/>
      <c r="HP431" s="183"/>
      <c r="HQ431" s="183"/>
      <c r="HR431" s="183"/>
      <c r="HS431" s="183"/>
      <c r="HT431" s="183"/>
      <c r="HU431" s="183"/>
      <c r="HV431" s="183"/>
      <c r="HW431" s="183"/>
      <c r="HX431" s="183"/>
      <c r="HY431" s="183"/>
      <c r="HZ431" s="183"/>
      <c r="IA431" s="183"/>
      <c r="IB431" s="183"/>
      <c r="IC431" s="183"/>
      <c r="ID431" s="183"/>
      <c r="IE431" s="183"/>
      <c r="IF431" s="183"/>
      <c r="IG431" s="183"/>
      <c r="IH431" s="183"/>
      <c r="II431" s="183"/>
      <c r="IJ431" s="183"/>
      <c r="IK431" s="183"/>
      <c r="IL431" s="183"/>
      <c r="IM431" s="183"/>
      <c r="IN431" s="183"/>
      <c r="IO431" s="183"/>
      <c r="IP431" s="183"/>
      <c r="IQ431" s="183"/>
    </row>
    <row r="432" spans="1:251" ht="39" x14ac:dyDescent="0.3">
      <c r="A432" s="83" t="s">
        <v>184</v>
      </c>
      <c r="B432" s="196" t="s">
        <v>289</v>
      </c>
      <c r="C432" s="191" t="s">
        <v>30</v>
      </c>
      <c r="D432" s="192" t="s">
        <v>31</v>
      </c>
      <c r="E432" s="192" t="s">
        <v>32</v>
      </c>
      <c r="F432" s="114" t="s">
        <v>33</v>
      </c>
    </row>
    <row r="433" spans="1:251" x14ac:dyDescent="0.3">
      <c r="A433" s="268" t="s">
        <v>1869</v>
      </c>
      <c r="B433" s="271" t="s">
        <v>46</v>
      </c>
      <c r="C433" s="274" t="s">
        <v>36</v>
      </c>
      <c r="D433" s="265" t="s">
        <v>37</v>
      </c>
      <c r="E433" s="265" t="s">
        <v>38</v>
      </c>
      <c r="F433" s="108" t="s">
        <v>233</v>
      </c>
    </row>
    <row r="434" spans="1:251" x14ac:dyDescent="0.3">
      <c r="A434" s="269"/>
      <c r="B434" s="272"/>
      <c r="C434" s="275"/>
      <c r="D434" s="266"/>
      <c r="E434" s="266"/>
      <c r="F434" s="109" t="s">
        <v>234</v>
      </c>
    </row>
    <row r="435" spans="1:251" x14ac:dyDescent="0.3">
      <c r="A435" s="270"/>
      <c r="B435" s="273"/>
      <c r="C435" s="276"/>
      <c r="D435" s="267"/>
      <c r="E435" s="267"/>
      <c r="F435" s="110" t="s">
        <v>235</v>
      </c>
    </row>
    <row r="436" spans="1:251" x14ac:dyDescent="0.3">
      <c r="A436" s="268" t="s">
        <v>1869</v>
      </c>
      <c r="B436" s="271" t="s">
        <v>48</v>
      </c>
      <c r="C436" s="274" t="s">
        <v>49</v>
      </c>
      <c r="D436" s="265" t="s">
        <v>37</v>
      </c>
      <c r="E436" s="265" t="s">
        <v>38</v>
      </c>
      <c r="F436" s="111" t="s">
        <v>236</v>
      </c>
    </row>
    <row r="437" spans="1:251" x14ac:dyDescent="0.3">
      <c r="A437" s="269"/>
      <c r="B437" s="272"/>
      <c r="C437" s="275"/>
      <c r="D437" s="266"/>
      <c r="E437" s="266"/>
      <c r="F437" s="112" t="s">
        <v>237</v>
      </c>
    </row>
    <row r="438" spans="1:251" x14ac:dyDescent="0.3">
      <c r="A438" s="270"/>
      <c r="B438" s="273"/>
      <c r="C438" s="276"/>
      <c r="D438" s="267"/>
      <c r="E438" s="267"/>
      <c r="F438" s="113" t="s">
        <v>238</v>
      </c>
    </row>
    <row r="439" spans="1:251" ht="39" x14ac:dyDescent="0.3">
      <c r="A439" s="239" t="s">
        <v>1869</v>
      </c>
      <c r="B439" s="21" t="s">
        <v>1852</v>
      </c>
      <c r="C439" s="129" t="s">
        <v>49</v>
      </c>
      <c r="D439" s="166" t="s">
        <v>37</v>
      </c>
      <c r="E439" s="166" t="s">
        <v>38</v>
      </c>
      <c r="F439" s="100" t="s">
        <v>1854</v>
      </c>
    </row>
    <row r="440" spans="1:251" ht="39" x14ac:dyDescent="0.3">
      <c r="A440" s="83" t="s">
        <v>184</v>
      </c>
      <c r="B440" s="196" t="s">
        <v>1959</v>
      </c>
      <c r="C440" s="191" t="s">
        <v>30</v>
      </c>
      <c r="D440" s="192" t="s">
        <v>31</v>
      </c>
      <c r="E440" s="192" t="s">
        <v>32</v>
      </c>
      <c r="F440" s="114" t="s">
        <v>33</v>
      </c>
      <c r="G440" s="191" t="s">
        <v>5</v>
      </c>
      <c r="H440" s="199"/>
      <c r="I440" s="183"/>
      <c r="J440" s="183"/>
      <c r="K440" s="183"/>
      <c r="L440" s="183"/>
      <c r="M440" s="183"/>
      <c r="N440" s="183"/>
      <c r="O440" s="183"/>
      <c r="P440" s="183"/>
      <c r="Q440" s="183"/>
      <c r="R440" s="183"/>
      <c r="S440" s="183"/>
      <c r="T440" s="183"/>
      <c r="U440" s="183"/>
      <c r="V440" s="183"/>
      <c r="W440" s="183"/>
      <c r="X440" s="183"/>
      <c r="Y440" s="183"/>
      <c r="Z440" s="183"/>
      <c r="AA440" s="183"/>
      <c r="AB440" s="183"/>
      <c r="AC440" s="183"/>
      <c r="AD440" s="183"/>
      <c r="AE440" s="183"/>
      <c r="AF440" s="183"/>
      <c r="AG440" s="183"/>
      <c r="AH440" s="183"/>
      <c r="AI440" s="183"/>
      <c r="AJ440" s="183"/>
      <c r="AK440" s="183"/>
      <c r="AL440" s="183"/>
      <c r="AM440" s="183"/>
      <c r="AN440" s="183"/>
      <c r="AO440" s="183"/>
      <c r="AP440" s="183"/>
      <c r="AQ440" s="183"/>
      <c r="AR440" s="183"/>
      <c r="AS440" s="183"/>
      <c r="AT440" s="183"/>
      <c r="AU440" s="183"/>
      <c r="AV440" s="183"/>
      <c r="AW440" s="183"/>
      <c r="AX440" s="183"/>
      <c r="AY440" s="183"/>
      <c r="AZ440" s="183"/>
      <c r="BA440" s="183"/>
      <c r="BB440" s="183"/>
      <c r="BC440" s="183"/>
      <c r="BD440" s="183"/>
      <c r="BE440" s="183"/>
      <c r="BF440" s="183"/>
      <c r="BG440" s="183"/>
      <c r="BH440" s="183"/>
      <c r="BI440" s="183"/>
      <c r="BJ440" s="183"/>
      <c r="BK440" s="183"/>
      <c r="BL440" s="183"/>
      <c r="BM440" s="183"/>
      <c r="BN440" s="183"/>
      <c r="BO440" s="183"/>
      <c r="BP440" s="183"/>
      <c r="BQ440" s="183"/>
      <c r="BR440" s="183"/>
      <c r="BS440" s="183"/>
      <c r="BT440" s="183"/>
      <c r="BU440" s="183"/>
      <c r="BV440" s="183"/>
      <c r="BW440" s="183"/>
      <c r="BX440" s="183"/>
      <c r="BY440" s="183"/>
      <c r="BZ440" s="183"/>
      <c r="CA440" s="183"/>
      <c r="CB440" s="183"/>
      <c r="CC440" s="183"/>
      <c r="CD440" s="183"/>
      <c r="CE440" s="183"/>
      <c r="CF440" s="183"/>
      <c r="CG440" s="183"/>
      <c r="CH440" s="183"/>
      <c r="CI440" s="183"/>
      <c r="CJ440" s="183"/>
      <c r="CK440" s="183"/>
      <c r="CL440" s="183"/>
      <c r="CM440" s="183"/>
      <c r="CN440" s="183"/>
      <c r="CO440" s="183"/>
      <c r="CP440" s="183"/>
      <c r="CQ440" s="183"/>
      <c r="CR440" s="183"/>
      <c r="CS440" s="183"/>
      <c r="CT440" s="183"/>
      <c r="CU440" s="183"/>
      <c r="CV440" s="183"/>
      <c r="CW440" s="183"/>
      <c r="CX440" s="183"/>
      <c r="CY440" s="183"/>
      <c r="CZ440" s="183"/>
      <c r="DA440" s="183"/>
      <c r="DB440" s="183"/>
      <c r="DC440" s="183"/>
      <c r="DD440" s="183"/>
      <c r="DE440" s="183"/>
      <c r="DF440" s="183"/>
      <c r="DG440" s="183"/>
      <c r="DH440" s="183"/>
      <c r="DI440" s="183"/>
      <c r="DJ440" s="183"/>
      <c r="DK440" s="183"/>
      <c r="DL440" s="183"/>
      <c r="DM440" s="183"/>
      <c r="DN440" s="183"/>
      <c r="DO440" s="183"/>
      <c r="DP440" s="183"/>
      <c r="DQ440" s="183"/>
      <c r="DR440" s="183"/>
      <c r="DS440" s="183"/>
      <c r="DT440" s="183"/>
      <c r="DU440" s="183"/>
      <c r="DV440" s="183"/>
      <c r="DW440" s="183"/>
      <c r="DX440" s="183"/>
      <c r="DY440" s="183"/>
      <c r="DZ440" s="183"/>
      <c r="EA440" s="183"/>
      <c r="EB440" s="183"/>
      <c r="EC440" s="183"/>
      <c r="ED440" s="183"/>
      <c r="EE440" s="183"/>
      <c r="EF440" s="183"/>
      <c r="EG440" s="183"/>
      <c r="EH440" s="183"/>
      <c r="EI440" s="183"/>
      <c r="EJ440" s="183"/>
      <c r="EK440" s="183"/>
      <c r="EL440" s="183"/>
      <c r="EM440" s="183"/>
      <c r="EN440" s="183"/>
      <c r="EO440" s="183"/>
      <c r="EP440" s="183"/>
      <c r="EQ440" s="183"/>
      <c r="ER440" s="183"/>
      <c r="ES440" s="183"/>
      <c r="ET440" s="183"/>
      <c r="EU440" s="183"/>
      <c r="EV440" s="183"/>
      <c r="EW440" s="183"/>
      <c r="EX440" s="183"/>
      <c r="EY440" s="183"/>
      <c r="EZ440" s="183"/>
      <c r="FA440" s="183"/>
      <c r="FB440" s="183"/>
      <c r="FC440" s="183"/>
      <c r="FD440" s="183"/>
      <c r="FE440" s="183"/>
      <c r="FF440" s="183"/>
      <c r="FG440" s="183"/>
      <c r="FH440" s="183"/>
      <c r="FI440" s="183"/>
      <c r="FJ440" s="183"/>
      <c r="FK440" s="183"/>
      <c r="FL440" s="183"/>
      <c r="FM440" s="183"/>
      <c r="FN440" s="183"/>
      <c r="FO440" s="183"/>
      <c r="FP440" s="183"/>
      <c r="FQ440" s="183"/>
      <c r="FR440" s="183"/>
      <c r="FS440" s="183"/>
      <c r="FT440" s="183"/>
      <c r="FU440" s="183"/>
      <c r="FV440" s="183"/>
      <c r="FW440" s="183"/>
      <c r="FX440" s="183"/>
      <c r="FY440" s="183"/>
      <c r="FZ440" s="183"/>
      <c r="GA440" s="183"/>
      <c r="GB440" s="183"/>
      <c r="GC440" s="183"/>
      <c r="GD440" s="183"/>
      <c r="GE440" s="183"/>
      <c r="GF440" s="183"/>
      <c r="GG440" s="183"/>
      <c r="GH440" s="183"/>
      <c r="GI440" s="183"/>
      <c r="GJ440" s="183"/>
      <c r="GK440" s="183"/>
      <c r="GL440" s="183"/>
      <c r="GM440" s="183"/>
      <c r="GN440" s="183"/>
      <c r="GO440" s="183"/>
      <c r="GP440" s="183"/>
      <c r="GQ440" s="183"/>
      <c r="GR440" s="183"/>
      <c r="GS440" s="183"/>
      <c r="GT440" s="183"/>
      <c r="GU440" s="183"/>
      <c r="GV440" s="183"/>
      <c r="GW440" s="183"/>
      <c r="GX440" s="183"/>
      <c r="GY440" s="183"/>
      <c r="GZ440" s="183"/>
      <c r="HA440" s="183"/>
      <c r="HB440" s="183"/>
      <c r="HC440" s="183"/>
      <c r="HD440" s="183"/>
      <c r="HE440" s="183"/>
      <c r="HF440" s="183"/>
      <c r="HG440" s="183"/>
      <c r="HH440" s="183"/>
      <c r="HI440" s="183"/>
      <c r="HJ440" s="183"/>
      <c r="HK440" s="183"/>
      <c r="HL440" s="183"/>
      <c r="HM440" s="183"/>
      <c r="HN440" s="183"/>
      <c r="HO440" s="183"/>
      <c r="HP440" s="183"/>
      <c r="HQ440" s="183"/>
      <c r="HR440" s="183"/>
      <c r="HS440" s="183"/>
      <c r="HT440" s="183"/>
      <c r="HU440" s="183"/>
      <c r="HV440" s="183"/>
      <c r="HW440" s="183"/>
      <c r="HX440" s="183"/>
      <c r="HY440" s="183"/>
      <c r="HZ440" s="183"/>
      <c r="IA440" s="183"/>
      <c r="IB440" s="183"/>
      <c r="IC440" s="183"/>
      <c r="ID440" s="183"/>
      <c r="IE440" s="183"/>
      <c r="IF440" s="183"/>
      <c r="IG440" s="183"/>
      <c r="IH440" s="183"/>
      <c r="II440" s="183"/>
      <c r="IJ440" s="183"/>
      <c r="IK440" s="183"/>
      <c r="IL440" s="183"/>
      <c r="IM440" s="183"/>
      <c r="IN440" s="183"/>
      <c r="IO440" s="183"/>
      <c r="IP440" s="183"/>
      <c r="IQ440" s="183"/>
    </row>
    <row r="441" spans="1:251" x14ac:dyDescent="0.3">
      <c r="A441" s="268" t="s">
        <v>290</v>
      </c>
      <c r="B441" s="271" t="s">
        <v>46</v>
      </c>
      <c r="C441" s="274" t="s">
        <v>36</v>
      </c>
      <c r="D441" s="265" t="s">
        <v>37</v>
      </c>
      <c r="E441" s="265" t="s">
        <v>38</v>
      </c>
      <c r="F441" s="108" t="s">
        <v>233</v>
      </c>
      <c r="G441" s="286"/>
      <c r="H441" s="289"/>
      <c r="I441" s="290"/>
      <c r="J441" s="290"/>
      <c r="K441" s="290"/>
      <c r="L441" s="290"/>
      <c r="M441" s="290"/>
      <c r="N441" s="290"/>
      <c r="O441" s="290"/>
      <c r="P441" s="290"/>
      <c r="Q441" s="290"/>
      <c r="R441" s="290"/>
      <c r="S441" s="290"/>
      <c r="T441" s="290"/>
      <c r="U441" s="290"/>
      <c r="V441" s="290"/>
      <c r="W441" s="290"/>
      <c r="X441" s="290"/>
      <c r="Y441" s="290"/>
      <c r="Z441" s="290"/>
      <c r="AA441" s="290"/>
      <c r="AB441" s="290"/>
      <c r="AC441" s="290"/>
      <c r="AD441" s="290"/>
      <c r="AE441" s="290"/>
      <c r="AF441" s="290"/>
      <c r="AG441" s="290"/>
      <c r="AH441" s="290"/>
      <c r="AI441" s="290"/>
      <c r="AJ441" s="290"/>
      <c r="AK441" s="290"/>
      <c r="AL441" s="290"/>
      <c r="AM441" s="290"/>
      <c r="AN441" s="290"/>
      <c r="AO441" s="290"/>
      <c r="AP441" s="290"/>
      <c r="AQ441" s="290"/>
      <c r="AR441" s="290"/>
      <c r="AS441" s="290"/>
      <c r="AT441" s="290"/>
      <c r="AU441" s="290"/>
      <c r="AV441" s="290"/>
      <c r="AW441" s="290"/>
      <c r="AX441" s="290"/>
      <c r="AY441" s="290"/>
      <c r="AZ441" s="290"/>
      <c r="BA441" s="290"/>
      <c r="BB441" s="290"/>
      <c r="BC441" s="290"/>
      <c r="BD441" s="290"/>
      <c r="BE441" s="290"/>
      <c r="BF441" s="290"/>
      <c r="BG441" s="290"/>
      <c r="BH441" s="290"/>
      <c r="BI441" s="290"/>
      <c r="BJ441" s="290"/>
      <c r="BK441" s="290"/>
      <c r="BL441" s="290"/>
      <c r="BM441" s="290"/>
      <c r="BN441" s="290"/>
      <c r="BO441" s="290"/>
      <c r="BP441" s="290"/>
      <c r="BQ441" s="290"/>
      <c r="BR441" s="290"/>
      <c r="BS441" s="290"/>
      <c r="BT441" s="290"/>
      <c r="BU441" s="290"/>
      <c r="BV441" s="290"/>
      <c r="BW441" s="290"/>
      <c r="BX441" s="290"/>
      <c r="BY441" s="290"/>
      <c r="BZ441" s="290"/>
      <c r="CA441" s="290"/>
      <c r="CB441" s="290"/>
      <c r="CC441" s="290"/>
      <c r="CD441" s="290"/>
      <c r="CE441" s="290"/>
      <c r="CF441" s="290"/>
      <c r="CG441" s="290"/>
      <c r="CH441" s="290"/>
      <c r="CI441" s="290"/>
      <c r="CJ441" s="290"/>
      <c r="CK441" s="290"/>
      <c r="CL441" s="290"/>
      <c r="CM441" s="290"/>
      <c r="CN441" s="290"/>
      <c r="CO441" s="290"/>
      <c r="CP441" s="290"/>
      <c r="CQ441" s="290"/>
      <c r="CR441" s="290"/>
      <c r="CS441" s="290"/>
      <c r="CT441" s="290"/>
      <c r="CU441" s="290"/>
      <c r="CV441" s="290"/>
      <c r="CW441" s="290"/>
      <c r="CX441" s="290"/>
      <c r="CY441" s="290"/>
      <c r="CZ441" s="290"/>
      <c r="DA441" s="290"/>
      <c r="DB441" s="290"/>
      <c r="DC441" s="290"/>
      <c r="DD441" s="290"/>
      <c r="DE441" s="290"/>
      <c r="DF441" s="290"/>
      <c r="DG441" s="290"/>
      <c r="DH441" s="290"/>
      <c r="DI441" s="290"/>
      <c r="DJ441" s="290"/>
      <c r="DK441" s="290"/>
      <c r="DL441" s="290"/>
      <c r="DM441" s="290"/>
      <c r="DN441" s="290"/>
      <c r="DO441" s="290"/>
      <c r="DP441" s="290"/>
      <c r="DQ441" s="290"/>
      <c r="DR441" s="290"/>
      <c r="DS441" s="290"/>
      <c r="DT441" s="290"/>
      <c r="DU441" s="290"/>
      <c r="DV441" s="290"/>
      <c r="DW441" s="290"/>
      <c r="DX441" s="290"/>
      <c r="DY441" s="290"/>
      <c r="DZ441" s="290"/>
      <c r="EA441" s="290"/>
      <c r="EB441" s="290"/>
      <c r="EC441" s="290"/>
      <c r="ED441" s="290"/>
      <c r="EE441" s="290"/>
      <c r="EF441" s="290"/>
      <c r="EG441" s="290"/>
      <c r="EH441" s="290"/>
      <c r="EI441" s="290"/>
      <c r="EJ441" s="290"/>
      <c r="EK441" s="290"/>
      <c r="EL441" s="290"/>
      <c r="EM441" s="290"/>
      <c r="EN441" s="290"/>
      <c r="EO441" s="290"/>
      <c r="EP441" s="290"/>
      <c r="EQ441" s="290"/>
      <c r="ER441" s="290"/>
      <c r="ES441" s="290"/>
      <c r="ET441" s="290"/>
      <c r="EU441" s="290"/>
      <c r="EV441" s="290"/>
      <c r="EW441" s="290"/>
      <c r="EX441" s="290"/>
      <c r="EY441" s="290"/>
      <c r="EZ441" s="290"/>
      <c r="FA441" s="290"/>
      <c r="FB441" s="290"/>
      <c r="FC441" s="290"/>
      <c r="FD441" s="290"/>
      <c r="FE441" s="290"/>
      <c r="FF441" s="290"/>
      <c r="FG441" s="290"/>
      <c r="FH441" s="290"/>
      <c r="FI441" s="290"/>
      <c r="FJ441" s="290"/>
      <c r="FK441" s="290"/>
      <c r="FL441" s="290"/>
      <c r="FM441" s="290"/>
      <c r="FN441" s="290"/>
      <c r="FO441" s="290"/>
      <c r="FP441" s="290"/>
      <c r="FQ441" s="290"/>
      <c r="FR441" s="290"/>
      <c r="FS441" s="290"/>
      <c r="FT441" s="290"/>
      <c r="FU441" s="290"/>
      <c r="FV441" s="290"/>
      <c r="FW441" s="290"/>
      <c r="FX441" s="290"/>
      <c r="FY441" s="290"/>
      <c r="FZ441" s="290"/>
      <c r="GA441" s="290"/>
      <c r="GB441" s="290"/>
      <c r="GC441" s="290"/>
      <c r="GD441" s="290"/>
      <c r="GE441" s="290"/>
      <c r="GF441" s="290"/>
      <c r="GG441" s="290"/>
      <c r="GH441" s="290"/>
      <c r="GI441" s="290"/>
      <c r="GJ441" s="290"/>
      <c r="GK441" s="290"/>
      <c r="GL441" s="290"/>
      <c r="GM441" s="290"/>
      <c r="GN441" s="290"/>
      <c r="GO441" s="290"/>
      <c r="GP441" s="290"/>
      <c r="GQ441" s="290"/>
      <c r="GR441" s="290"/>
      <c r="GS441" s="290"/>
      <c r="GT441" s="290"/>
      <c r="GU441" s="290"/>
      <c r="GV441" s="290"/>
      <c r="GW441" s="290"/>
      <c r="GX441" s="290"/>
      <c r="GY441" s="290"/>
      <c r="GZ441" s="290"/>
      <c r="HA441" s="290"/>
      <c r="HB441" s="290"/>
      <c r="HC441" s="290"/>
      <c r="HD441" s="290"/>
      <c r="HE441" s="290"/>
      <c r="HF441" s="290"/>
      <c r="HG441" s="290"/>
      <c r="HH441" s="290"/>
      <c r="HI441" s="290"/>
      <c r="HJ441" s="290"/>
      <c r="HK441" s="290"/>
      <c r="HL441" s="290"/>
      <c r="HM441" s="290"/>
      <c r="HN441" s="290"/>
      <c r="HO441" s="290"/>
      <c r="HP441" s="290"/>
      <c r="HQ441" s="290"/>
      <c r="HR441" s="290"/>
      <c r="HS441" s="290"/>
      <c r="HT441" s="290"/>
      <c r="HU441" s="290"/>
      <c r="HV441" s="290"/>
      <c r="HW441" s="290"/>
      <c r="HX441" s="290"/>
      <c r="HY441" s="290"/>
      <c r="HZ441" s="290"/>
      <c r="IA441" s="290"/>
      <c r="IB441" s="290"/>
      <c r="IC441" s="290"/>
      <c r="ID441" s="290"/>
      <c r="IE441" s="290"/>
      <c r="IF441" s="290"/>
      <c r="IG441" s="290"/>
      <c r="IH441" s="290"/>
      <c r="II441" s="290"/>
      <c r="IJ441" s="290"/>
      <c r="IK441" s="290"/>
      <c r="IL441" s="290"/>
      <c r="IM441" s="290"/>
      <c r="IN441" s="290"/>
      <c r="IO441" s="290"/>
      <c r="IP441" s="290"/>
      <c r="IQ441" s="290"/>
    </row>
    <row r="442" spans="1:251" x14ac:dyDescent="0.3">
      <c r="A442" s="269"/>
      <c r="B442" s="272"/>
      <c r="C442" s="275"/>
      <c r="D442" s="266"/>
      <c r="E442" s="266"/>
      <c r="F442" s="109" t="s">
        <v>234</v>
      </c>
      <c r="G442" s="287"/>
      <c r="H442" s="289"/>
      <c r="I442" s="290"/>
      <c r="J442" s="290"/>
      <c r="K442" s="290"/>
      <c r="L442" s="290"/>
      <c r="M442" s="290"/>
      <c r="N442" s="290"/>
      <c r="O442" s="290"/>
      <c r="P442" s="290"/>
      <c r="Q442" s="290"/>
      <c r="R442" s="290"/>
      <c r="S442" s="290"/>
      <c r="T442" s="290"/>
      <c r="U442" s="290"/>
      <c r="V442" s="290"/>
      <c r="W442" s="290"/>
      <c r="X442" s="290"/>
      <c r="Y442" s="290"/>
      <c r="Z442" s="290"/>
      <c r="AA442" s="290"/>
      <c r="AB442" s="290"/>
      <c r="AC442" s="290"/>
      <c r="AD442" s="290"/>
      <c r="AE442" s="290"/>
      <c r="AF442" s="290"/>
      <c r="AG442" s="290"/>
      <c r="AH442" s="290"/>
      <c r="AI442" s="290"/>
      <c r="AJ442" s="290"/>
      <c r="AK442" s="290"/>
      <c r="AL442" s="290"/>
      <c r="AM442" s="290"/>
      <c r="AN442" s="290"/>
      <c r="AO442" s="290"/>
      <c r="AP442" s="290"/>
      <c r="AQ442" s="290"/>
      <c r="AR442" s="290"/>
      <c r="AS442" s="290"/>
      <c r="AT442" s="290"/>
      <c r="AU442" s="290"/>
      <c r="AV442" s="290"/>
      <c r="AW442" s="290"/>
      <c r="AX442" s="290"/>
      <c r="AY442" s="290"/>
      <c r="AZ442" s="290"/>
      <c r="BA442" s="290"/>
      <c r="BB442" s="290"/>
      <c r="BC442" s="290"/>
      <c r="BD442" s="290"/>
      <c r="BE442" s="290"/>
      <c r="BF442" s="290"/>
      <c r="BG442" s="290"/>
      <c r="BH442" s="290"/>
      <c r="BI442" s="290"/>
      <c r="BJ442" s="290"/>
      <c r="BK442" s="290"/>
      <c r="BL442" s="290"/>
      <c r="BM442" s="290"/>
      <c r="BN442" s="290"/>
      <c r="BO442" s="290"/>
      <c r="BP442" s="290"/>
      <c r="BQ442" s="290"/>
      <c r="BR442" s="290"/>
      <c r="BS442" s="290"/>
      <c r="BT442" s="290"/>
      <c r="BU442" s="290"/>
      <c r="BV442" s="290"/>
      <c r="BW442" s="290"/>
      <c r="BX442" s="290"/>
      <c r="BY442" s="290"/>
      <c r="BZ442" s="290"/>
      <c r="CA442" s="290"/>
      <c r="CB442" s="290"/>
      <c r="CC442" s="290"/>
      <c r="CD442" s="290"/>
      <c r="CE442" s="290"/>
      <c r="CF442" s="290"/>
      <c r="CG442" s="290"/>
      <c r="CH442" s="290"/>
      <c r="CI442" s="290"/>
      <c r="CJ442" s="290"/>
      <c r="CK442" s="290"/>
      <c r="CL442" s="290"/>
      <c r="CM442" s="290"/>
      <c r="CN442" s="290"/>
      <c r="CO442" s="290"/>
      <c r="CP442" s="290"/>
      <c r="CQ442" s="290"/>
      <c r="CR442" s="290"/>
      <c r="CS442" s="290"/>
      <c r="CT442" s="290"/>
      <c r="CU442" s="290"/>
      <c r="CV442" s="290"/>
      <c r="CW442" s="290"/>
      <c r="CX442" s="290"/>
      <c r="CY442" s="290"/>
      <c r="CZ442" s="290"/>
      <c r="DA442" s="290"/>
      <c r="DB442" s="290"/>
      <c r="DC442" s="290"/>
      <c r="DD442" s="290"/>
      <c r="DE442" s="290"/>
      <c r="DF442" s="290"/>
      <c r="DG442" s="290"/>
      <c r="DH442" s="290"/>
      <c r="DI442" s="290"/>
      <c r="DJ442" s="290"/>
      <c r="DK442" s="290"/>
      <c r="DL442" s="290"/>
      <c r="DM442" s="290"/>
      <c r="DN442" s="290"/>
      <c r="DO442" s="290"/>
      <c r="DP442" s="290"/>
      <c r="DQ442" s="290"/>
      <c r="DR442" s="290"/>
      <c r="DS442" s="290"/>
      <c r="DT442" s="290"/>
      <c r="DU442" s="290"/>
      <c r="DV442" s="290"/>
      <c r="DW442" s="290"/>
      <c r="DX442" s="290"/>
      <c r="DY442" s="290"/>
      <c r="DZ442" s="290"/>
      <c r="EA442" s="290"/>
      <c r="EB442" s="290"/>
      <c r="EC442" s="290"/>
      <c r="ED442" s="290"/>
      <c r="EE442" s="290"/>
      <c r="EF442" s="290"/>
      <c r="EG442" s="290"/>
      <c r="EH442" s="290"/>
      <c r="EI442" s="290"/>
      <c r="EJ442" s="290"/>
      <c r="EK442" s="290"/>
      <c r="EL442" s="290"/>
      <c r="EM442" s="290"/>
      <c r="EN442" s="290"/>
      <c r="EO442" s="290"/>
      <c r="EP442" s="290"/>
      <c r="EQ442" s="290"/>
      <c r="ER442" s="290"/>
      <c r="ES442" s="290"/>
      <c r="ET442" s="290"/>
      <c r="EU442" s="290"/>
      <c r="EV442" s="290"/>
      <c r="EW442" s="290"/>
      <c r="EX442" s="290"/>
      <c r="EY442" s="290"/>
      <c r="EZ442" s="290"/>
      <c r="FA442" s="290"/>
      <c r="FB442" s="290"/>
      <c r="FC442" s="290"/>
      <c r="FD442" s="290"/>
      <c r="FE442" s="290"/>
      <c r="FF442" s="290"/>
      <c r="FG442" s="290"/>
      <c r="FH442" s="290"/>
      <c r="FI442" s="290"/>
      <c r="FJ442" s="290"/>
      <c r="FK442" s="290"/>
      <c r="FL442" s="290"/>
      <c r="FM442" s="290"/>
      <c r="FN442" s="290"/>
      <c r="FO442" s="290"/>
      <c r="FP442" s="290"/>
      <c r="FQ442" s="290"/>
      <c r="FR442" s="290"/>
      <c r="FS442" s="290"/>
      <c r="FT442" s="290"/>
      <c r="FU442" s="290"/>
      <c r="FV442" s="290"/>
      <c r="FW442" s="290"/>
      <c r="FX442" s="290"/>
      <c r="FY442" s="290"/>
      <c r="FZ442" s="290"/>
      <c r="GA442" s="290"/>
      <c r="GB442" s="290"/>
      <c r="GC442" s="290"/>
      <c r="GD442" s="290"/>
      <c r="GE442" s="290"/>
      <c r="GF442" s="290"/>
      <c r="GG442" s="290"/>
      <c r="GH442" s="290"/>
      <c r="GI442" s="290"/>
      <c r="GJ442" s="290"/>
      <c r="GK442" s="290"/>
      <c r="GL442" s="290"/>
      <c r="GM442" s="290"/>
      <c r="GN442" s="290"/>
      <c r="GO442" s="290"/>
      <c r="GP442" s="290"/>
      <c r="GQ442" s="290"/>
      <c r="GR442" s="290"/>
      <c r="GS442" s="290"/>
      <c r="GT442" s="290"/>
      <c r="GU442" s="290"/>
      <c r="GV442" s="290"/>
      <c r="GW442" s="290"/>
      <c r="GX442" s="290"/>
      <c r="GY442" s="290"/>
      <c r="GZ442" s="290"/>
      <c r="HA442" s="290"/>
      <c r="HB442" s="290"/>
      <c r="HC442" s="290"/>
      <c r="HD442" s="290"/>
      <c r="HE442" s="290"/>
      <c r="HF442" s="290"/>
      <c r="HG442" s="290"/>
      <c r="HH442" s="290"/>
      <c r="HI442" s="290"/>
      <c r="HJ442" s="290"/>
      <c r="HK442" s="290"/>
      <c r="HL442" s="290"/>
      <c r="HM442" s="290"/>
      <c r="HN442" s="290"/>
      <c r="HO442" s="290"/>
      <c r="HP442" s="290"/>
      <c r="HQ442" s="290"/>
      <c r="HR442" s="290"/>
      <c r="HS442" s="290"/>
      <c r="HT442" s="290"/>
      <c r="HU442" s="290"/>
      <c r="HV442" s="290"/>
      <c r="HW442" s="290"/>
      <c r="HX442" s="290"/>
      <c r="HY442" s="290"/>
      <c r="HZ442" s="290"/>
      <c r="IA442" s="290"/>
      <c r="IB442" s="290"/>
      <c r="IC442" s="290"/>
      <c r="ID442" s="290"/>
      <c r="IE442" s="290"/>
      <c r="IF442" s="290"/>
      <c r="IG442" s="290"/>
      <c r="IH442" s="290"/>
      <c r="II442" s="290"/>
      <c r="IJ442" s="290"/>
      <c r="IK442" s="290"/>
      <c r="IL442" s="290"/>
      <c r="IM442" s="290"/>
      <c r="IN442" s="290"/>
      <c r="IO442" s="290"/>
      <c r="IP442" s="290"/>
      <c r="IQ442" s="290"/>
    </row>
    <row r="443" spans="1:251" x14ac:dyDescent="0.3">
      <c r="A443" s="270"/>
      <c r="B443" s="273"/>
      <c r="C443" s="276"/>
      <c r="D443" s="267"/>
      <c r="E443" s="267"/>
      <c r="F443" s="110" t="s">
        <v>235</v>
      </c>
      <c r="G443" s="288"/>
      <c r="H443" s="289"/>
      <c r="I443" s="290"/>
      <c r="J443" s="290"/>
      <c r="K443" s="290"/>
      <c r="L443" s="290"/>
      <c r="M443" s="290"/>
      <c r="N443" s="290"/>
      <c r="O443" s="290"/>
      <c r="P443" s="290"/>
      <c r="Q443" s="290"/>
      <c r="R443" s="290"/>
      <c r="S443" s="290"/>
      <c r="T443" s="290"/>
      <c r="U443" s="290"/>
      <c r="V443" s="290"/>
      <c r="W443" s="290"/>
      <c r="X443" s="290"/>
      <c r="Y443" s="290"/>
      <c r="Z443" s="290"/>
      <c r="AA443" s="290"/>
      <c r="AB443" s="290"/>
      <c r="AC443" s="290"/>
      <c r="AD443" s="290"/>
      <c r="AE443" s="290"/>
      <c r="AF443" s="290"/>
      <c r="AG443" s="290"/>
      <c r="AH443" s="290"/>
      <c r="AI443" s="290"/>
      <c r="AJ443" s="290"/>
      <c r="AK443" s="290"/>
      <c r="AL443" s="290"/>
      <c r="AM443" s="290"/>
      <c r="AN443" s="290"/>
      <c r="AO443" s="290"/>
      <c r="AP443" s="290"/>
      <c r="AQ443" s="290"/>
      <c r="AR443" s="290"/>
      <c r="AS443" s="290"/>
      <c r="AT443" s="290"/>
      <c r="AU443" s="290"/>
      <c r="AV443" s="290"/>
      <c r="AW443" s="290"/>
      <c r="AX443" s="290"/>
      <c r="AY443" s="290"/>
      <c r="AZ443" s="290"/>
      <c r="BA443" s="290"/>
      <c r="BB443" s="290"/>
      <c r="BC443" s="290"/>
      <c r="BD443" s="290"/>
      <c r="BE443" s="290"/>
      <c r="BF443" s="290"/>
      <c r="BG443" s="290"/>
      <c r="BH443" s="290"/>
      <c r="BI443" s="290"/>
      <c r="BJ443" s="290"/>
      <c r="BK443" s="290"/>
      <c r="BL443" s="290"/>
      <c r="BM443" s="290"/>
      <c r="BN443" s="290"/>
      <c r="BO443" s="290"/>
      <c r="BP443" s="290"/>
      <c r="BQ443" s="290"/>
      <c r="BR443" s="290"/>
      <c r="BS443" s="290"/>
      <c r="BT443" s="290"/>
      <c r="BU443" s="290"/>
      <c r="BV443" s="290"/>
      <c r="BW443" s="290"/>
      <c r="BX443" s="290"/>
      <c r="BY443" s="290"/>
      <c r="BZ443" s="290"/>
      <c r="CA443" s="290"/>
      <c r="CB443" s="290"/>
      <c r="CC443" s="290"/>
      <c r="CD443" s="290"/>
      <c r="CE443" s="290"/>
      <c r="CF443" s="290"/>
      <c r="CG443" s="290"/>
      <c r="CH443" s="290"/>
      <c r="CI443" s="290"/>
      <c r="CJ443" s="290"/>
      <c r="CK443" s="290"/>
      <c r="CL443" s="290"/>
      <c r="CM443" s="290"/>
      <c r="CN443" s="290"/>
      <c r="CO443" s="290"/>
      <c r="CP443" s="290"/>
      <c r="CQ443" s="290"/>
      <c r="CR443" s="290"/>
      <c r="CS443" s="290"/>
      <c r="CT443" s="290"/>
      <c r="CU443" s="290"/>
      <c r="CV443" s="290"/>
      <c r="CW443" s="290"/>
      <c r="CX443" s="290"/>
      <c r="CY443" s="290"/>
      <c r="CZ443" s="290"/>
      <c r="DA443" s="290"/>
      <c r="DB443" s="290"/>
      <c r="DC443" s="290"/>
      <c r="DD443" s="290"/>
      <c r="DE443" s="290"/>
      <c r="DF443" s="290"/>
      <c r="DG443" s="290"/>
      <c r="DH443" s="290"/>
      <c r="DI443" s="290"/>
      <c r="DJ443" s="290"/>
      <c r="DK443" s="290"/>
      <c r="DL443" s="290"/>
      <c r="DM443" s="290"/>
      <c r="DN443" s="290"/>
      <c r="DO443" s="290"/>
      <c r="DP443" s="290"/>
      <c r="DQ443" s="290"/>
      <c r="DR443" s="290"/>
      <c r="DS443" s="290"/>
      <c r="DT443" s="290"/>
      <c r="DU443" s="290"/>
      <c r="DV443" s="290"/>
      <c r="DW443" s="290"/>
      <c r="DX443" s="290"/>
      <c r="DY443" s="290"/>
      <c r="DZ443" s="290"/>
      <c r="EA443" s="290"/>
      <c r="EB443" s="290"/>
      <c r="EC443" s="290"/>
      <c r="ED443" s="290"/>
      <c r="EE443" s="290"/>
      <c r="EF443" s="290"/>
      <c r="EG443" s="290"/>
      <c r="EH443" s="290"/>
      <c r="EI443" s="290"/>
      <c r="EJ443" s="290"/>
      <c r="EK443" s="290"/>
      <c r="EL443" s="290"/>
      <c r="EM443" s="290"/>
      <c r="EN443" s="290"/>
      <c r="EO443" s="290"/>
      <c r="EP443" s="290"/>
      <c r="EQ443" s="290"/>
      <c r="ER443" s="290"/>
      <c r="ES443" s="290"/>
      <c r="ET443" s="290"/>
      <c r="EU443" s="290"/>
      <c r="EV443" s="290"/>
      <c r="EW443" s="290"/>
      <c r="EX443" s="290"/>
      <c r="EY443" s="290"/>
      <c r="EZ443" s="290"/>
      <c r="FA443" s="290"/>
      <c r="FB443" s="290"/>
      <c r="FC443" s="290"/>
      <c r="FD443" s="290"/>
      <c r="FE443" s="290"/>
      <c r="FF443" s="290"/>
      <c r="FG443" s="290"/>
      <c r="FH443" s="290"/>
      <c r="FI443" s="290"/>
      <c r="FJ443" s="290"/>
      <c r="FK443" s="290"/>
      <c r="FL443" s="290"/>
      <c r="FM443" s="290"/>
      <c r="FN443" s="290"/>
      <c r="FO443" s="290"/>
      <c r="FP443" s="290"/>
      <c r="FQ443" s="290"/>
      <c r="FR443" s="290"/>
      <c r="FS443" s="290"/>
      <c r="FT443" s="290"/>
      <c r="FU443" s="290"/>
      <c r="FV443" s="290"/>
      <c r="FW443" s="290"/>
      <c r="FX443" s="290"/>
      <c r="FY443" s="290"/>
      <c r="FZ443" s="290"/>
      <c r="GA443" s="290"/>
      <c r="GB443" s="290"/>
      <c r="GC443" s="290"/>
      <c r="GD443" s="290"/>
      <c r="GE443" s="290"/>
      <c r="GF443" s="290"/>
      <c r="GG443" s="290"/>
      <c r="GH443" s="290"/>
      <c r="GI443" s="290"/>
      <c r="GJ443" s="290"/>
      <c r="GK443" s="290"/>
      <c r="GL443" s="290"/>
      <c r="GM443" s="290"/>
      <c r="GN443" s="290"/>
      <c r="GO443" s="290"/>
      <c r="GP443" s="290"/>
      <c r="GQ443" s="290"/>
      <c r="GR443" s="290"/>
      <c r="GS443" s="290"/>
      <c r="GT443" s="290"/>
      <c r="GU443" s="290"/>
      <c r="GV443" s="290"/>
      <c r="GW443" s="290"/>
      <c r="GX443" s="290"/>
      <c r="GY443" s="290"/>
      <c r="GZ443" s="290"/>
      <c r="HA443" s="290"/>
      <c r="HB443" s="290"/>
      <c r="HC443" s="290"/>
      <c r="HD443" s="290"/>
      <c r="HE443" s="290"/>
      <c r="HF443" s="290"/>
      <c r="HG443" s="290"/>
      <c r="HH443" s="290"/>
      <c r="HI443" s="290"/>
      <c r="HJ443" s="290"/>
      <c r="HK443" s="290"/>
      <c r="HL443" s="290"/>
      <c r="HM443" s="290"/>
      <c r="HN443" s="290"/>
      <c r="HO443" s="290"/>
      <c r="HP443" s="290"/>
      <c r="HQ443" s="290"/>
      <c r="HR443" s="290"/>
      <c r="HS443" s="290"/>
      <c r="HT443" s="290"/>
      <c r="HU443" s="290"/>
      <c r="HV443" s="290"/>
      <c r="HW443" s="290"/>
      <c r="HX443" s="290"/>
      <c r="HY443" s="290"/>
      <c r="HZ443" s="290"/>
      <c r="IA443" s="290"/>
      <c r="IB443" s="290"/>
      <c r="IC443" s="290"/>
      <c r="ID443" s="290"/>
      <c r="IE443" s="290"/>
      <c r="IF443" s="290"/>
      <c r="IG443" s="290"/>
      <c r="IH443" s="290"/>
      <c r="II443" s="290"/>
      <c r="IJ443" s="290"/>
      <c r="IK443" s="290"/>
      <c r="IL443" s="290"/>
      <c r="IM443" s="290"/>
      <c r="IN443" s="290"/>
      <c r="IO443" s="290"/>
      <c r="IP443" s="290"/>
      <c r="IQ443" s="290"/>
    </row>
    <row r="444" spans="1:251" x14ac:dyDescent="0.3">
      <c r="A444" s="268" t="s">
        <v>290</v>
      </c>
      <c r="B444" s="271" t="s">
        <v>48</v>
      </c>
      <c r="C444" s="274" t="s">
        <v>49</v>
      </c>
      <c r="D444" s="265" t="s">
        <v>37</v>
      </c>
      <c r="E444" s="265" t="s">
        <v>38</v>
      </c>
      <c r="F444" s="111" t="s">
        <v>236</v>
      </c>
      <c r="G444" s="286"/>
      <c r="H444" s="289"/>
      <c r="I444" s="290"/>
      <c r="J444" s="290"/>
      <c r="K444" s="290"/>
      <c r="L444" s="290"/>
      <c r="M444" s="290"/>
      <c r="N444" s="290"/>
      <c r="O444" s="290"/>
      <c r="P444" s="290"/>
      <c r="Q444" s="290"/>
      <c r="R444" s="290"/>
      <c r="S444" s="290"/>
      <c r="T444" s="290"/>
      <c r="U444" s="290"/>
      <c r="V444" s="290"/>
      <c r="W444" s="290"/>
      <c r="X444" s="290"/>
      <c r="Y444" s="290"/>
      <c r="Z444" s="290"/>
      <c r="AA444" s="290"/>
      <c r="AB444" s="290"/>
      <c r="AC444" s="290"/>
      <c r="AD444" s="290"/>
      <c r="AE444" s="290"/>
      <c r="AF444" s="290"/>
      <c r="AG444" s="290"/>
      <c r="AH444" s="290"/>
      <c r="AI444" s="290"/>
      <c r="AJ444" s="290"/>
      <c r="AK444" s="290"/>
      <c r="AL444" s="290"/>
      <c r="AM444" s="290"/>
      <c r="AN444" s="290"/>
      <c r="AO444" s="290"/>
      <c r="AP444" s="290"/>
      <c r="AQ444" s="290"/>
      <c r="AR444" s="290"/>
      <c r="AS444" s="290"/>
      <c r="AT444" s="290"/>
      <c r="AU444" s="290"/>
      <c r="AV444" s="290"/>
      <c r="AW444" s="290"/>
      <c r="AX444" s="290"/>
      <c r="AY444" s="290"/>
      <c r="AZ444" s="290"/>
      <c r="BA444" s="290"/>
      <c r="BB444" s="290"/>
      <c r="BC444" s="290"/>
      <c r="BD444" s="290"/>
      <c r="BE444" s="290"/>
      <c r="BF444" s="290"/>
      <c r="BG444" s="290"/>
      <c r="BH444" s="290"/>
      <c r="BI444" s="290"/>
      <c r="BJ444" s="290"/>
      <c r="BK444" s="290"/>
      <c r="BL444" s="290"/>
      <c r="BM444" s="290"/>
      <c r="BN444" s="290"/>
      <c r="BO444" s="290"/>
      <c r="BP444" s="290"/>
      <c r="BQ444" s="290"/>
      <c r="BR444" s="290"/>
      <c r="BS444" s="290"/>
      <c r="BT444" s="290"/>
      <c r="BU444" s="290"/>
      <c r="BV444" s="290"/>
      <c r="BW444" s="290"/>
      <c r="BX444" s="290"/>
      <c r="BY444" s="290"/>
      <c r="BZ444" s="290"/>
      <c r="CA444" s="290"/>
      <c r="CB444" s="290"/>
      <c r="CC444" s="290"/>
      <c r="CD444" s="290"/>
      <c r="CE444" s="290"/>
      <c r="CF444" s="290"/>
      <c r="CG444" s="290"/>
      <c r="CH444" s="290"/>
      <c r="CI444" s="290"/>
      <c r="CJ444" s="290"/>
      <c r="CK444" s="290"/>
      <c r="CL444" s="290"/>
      <c r="CM444" s="290"/>
      <c r="CN444" s="290"/>
      <c r="CO444" s="290"/>
      <c r="CP444" s="290"/>
      <c r="CQ444" s="290"/>
      <c r="CR444" s="290"/>
      <c r="CS444" s="290"/>
      <c r="CT444" s="290"/>
      <c r="CU444" s="290"/>
      <c r="CV444" s="290"/>
      <c r="CW444" s="290"/>
      <c r="CX444" s="290"/>
      <c r="CY444" s="290"/>
      <c r="CZ444" s="290"/>
      <c r="DA444" s="290"/>
      <c r="DB444" s="290"/>
      <c r="DC444" s="290"/>
      <c r="DD444" s="290"/>
      <c r="DE444" s="290"/>
      <c r="DF444" s="290"/>
      <c r="DG444" s="290"/>
      <c r="DH444" s="290"/>
      <c r="DI444" s="290"/>
      <c r="DJ444" s="290"/>
      <c r="DK444" s="290"/>
      <c r="DL444" s="290"/>
      <c r="DM444" s="290"/>
      <c r="DN444" s="290"/>
      <c r="DO444" s="290"/>
      <c r="DP444" s="290"/>
      <c r="DQ444" s="290"/>
      <c r="DR444" s="290"/>
      <c r="DS444" s="290"/>
      <c r="DT444" s="290"/>
      <c r="DU444" s="290"/>
      <c r="DV444" s="290"/>
      <c r="DW444" s="290"/>
      <c r="DX444" s="290"/>
      <c r="DY444" s="290"/>
      <c r="DZ444" s="290"/>
      <c r="EA444" s="290"/>
      <c r="EB444" s="290"/>
      <c r="EC444" s="290"/>
      <c r="ED444" s="290"/>
      <c r="EE444" s="290"/>
      <c r="EF444" s="290"/>
      <c r="EG444" s="290"/>
      <c r="EH444" s="290"/>
      <c r="EI444" s="290"/>
      <c r="EJ444" s="290"/>
      <c r="EK444" s="290"/>
      <c r="EL444" s="290"/>
      <c r="EM444" s="290"/>
      <c r="EN444" s="290"/>
      <c r="EO444" s="290"/>
      <c r="EP444" s="290"/>
      <c r="EQ444" s="290"/>
      <c r="ER444" s="290"/>
      <c r="ES444" s="290"/>
      <c r="ET444" s="290"/>
      <c r="EU444" s="290"/>
      <c r="EV444" s="290"/>
      <c r="EW444" s="290"/>
      <c r="EX444" s="290"/>
      <c r="EY444" s="290"/>
      <c r="EZ444" s="290"/>
      <c r="FA444" s="290"/>
      <c r="FB444" s="290"/>
      <c r="FC444" s="290"/>
      <c r="FD444" s="290"/>
      <c r="FE444" s="290"/>
      <c r="FF444" s="290"/>
      <c r="FG444" s="290"/>
      <c r="FH444" s="290"/>
      <c r="FI444" s="290"/>
      <c r="FJ444" s="290"/>
      <c r="FK444" s="290"/>
      <c r="FL444" s="290"/>
      <c r="FM444" s="290"/>
      <c r="FN444" s="290"/>
      <c r="FO444" s="290"/>
      <c r="FP444" s="290"/>
      <c r="FQ444" s="290"/>
      <c r="FR444" s="290"/>
      <c r="FS444" s="290"/>
      <c r="FT444" s="290"/>
      <c r="FU444" s="290"/>
      <c r="FV444" s="290"/>
      <c r="FW444" s="290"/>
      <c r="FX444" s="290"/>
      <c r="FY444" s="290"/>
      <c r="FZ444" s="290"/>
      <c r="GA444" s="290"/>
      <c r="GB444" s="290"/>
      <c r="GC444" s="290"/>
      <c r="GD444" s="290"/>
      <c r="GE444" s="290"/>
      <c r="GF444" s="290"/>
      <c r="GG444" s="290"/>
      <c r="GH444" s="290"/>
      <c r="GI444" s="290"/>
      <c r="GJ444" s="290"/>
      <c r="GK444" s="290"/>
      <c r="GL444" s="290"/>
      <c r="GM444" s="290"/>
      <c r="GN444" s="290"/>
      <c r="GO444" s="290"/>
      <c r="GP444" s="290"/>
      <c r="GQ444" s="290"/>
      <c r="GR444" s="290"/>
      <c r="GS444" s="290"/>
      <c r="GT444" s="290"/>
      <c r="GU444" s="290"/>
      <c r="GV444" s="290"/>
      <c r="GW444" s="290"/>
      <c r="GX444" s="290"/>
      <c r="GY444" s="290"/>
      <c r="GZ444" s="290"/>
      <c r="HA444" s="290"/>
      <c r="HB444" s="290"/>
      <c r="HC444" s="290"/>
      <c r="HD444" s="290"/>
      <c r="HE444" s="290"/>
      <c r="HF444" s="290"/>
      <c r="HG444" s="290"/>
      <c r="HH444" s="290"/>
      <c r="HI444" s="290"/>
      <c r="HJ444" s="290"/>
      <c r="HK444" s="290"/>
      <c r="HL444" s="290"/>
      <c r="HM444" s="290"/>
      <c r="HN444" s="290"/>
      <c r="HO444" s="290"/>
      <c r="HP444" s="290"/>
      <c r="HQ444" s="290"/>
      <c r="HR444" s="290"/>
      <c r="HS444" s="290"/>
      <c r="HT444" s="290"/>
      <c r="HU444" s="290"/>
      <c r="HV444" s="290"/>
      <c r="HW444" s="290"/>
      <c r="HX444" s="290"/>
      <c r="HY444" s="290"/>
      <c r="HZ444" s="290"/>
      <c r="IA444" s="290"/>
      <c r="IB444" s="290"/>
      <c r="IC444" s="290"/>
      <c r="ID444" s="290"/>
      <c r="IE444" s="290"/>
      <c r="IF444" s="290"/>
      <c r="IG444" s="290"/>
      <c r="IH444" s="290"/>
      <c r="II444" s="290"/>
      <c r="IJ444" s="290"/>
      <c r="IK444" s="290"/>
      <c r="IL444" s="290"/>
      <c r="IM444" s="290"/>
      <c r="IN444" s="290"/>
      <c r="IO444" s="290"/>
      <c r="IP444" s="290"/>
      <c r="IQ444" s="290"/>
    </row>
    <row r="445" spans="1:251" x14ac:dyDescent="0.3">
      <c r="A445" s="269"/>
      <c r="B445" s="272"/>
      <c r="C445" s="275"/>
      <c r="D445" s="266"/>
      <c r="E445" s="266"/>
      <c r="F445" s="112" t="s">
        <v>237</v>
      </c>
      <c r="G445" s="287"/>
      <c r="H445" s="289"/>
      <c r="I445" s="290"/>
      <c r="J445" s="290"/>
      <c r="K445" s="290"/>
      <c r="L445" s="290"/>
      <c r="M445" s="290"/>
      <c r="N445" s="290"/>
      <c r="O445" s="290"/>
      <c r="P445" s="290"/>
      <c r="Q445" s="290"/>
      <c r="R445" s="290"/>
      <c r="S445" s="290"/>
      <c r="T445" s="290"/>
      <c r="U445" s="290"/>
      <c r="V445" s="290"/>
      <c r="W445" s="290"/>
      <c r="X445" s="290"/>
      <c r="Y445" s="290"/>
      <c r="Z445" s="290"/>
      <c r="AA445" s="290"/>
      <c r="AB445" s="290"/>
      <c r="AC445" s="290"/>
      <c r="AD445" s="290"/>
      <c r="AE445" s="290"/>
      <c r="AF445" s="290"/>
      <c r="AG445" s="290"/>
      <c r="AH445" s="290"/>
      <c r="AI445" s="290"/>
      <c r="AJ445" s="290"/>
      <c r="AK445" s="290"/>
      <c r="AL445" s="290"/>
      <c r="AM445" s="290"/>
      <c r="AN445" s="290"/>
      <c r="AO445" s="290"/>
      <c r="AP445" s="290"/>
      <c r="AQ445" s="290"/>
      <c r="AR445" s="290"/>
      <c r="AS445" s="290"/>
      <c r="AT445" s="290"/>
      <c r="AU445" s="290"/>
      <c r="AV445" s="290"/>
      <c r="AW445" s="290"/>
      <c r="AX445" s="290"/>
      <c r="AY445" s="290"/>
      <c r="AZ445" s="290"/>
      <c r="BA445" s="290"/>
      <c r="BB445" s="290"/>
      <c r="BC445" s="290"/>
      <c r="BD445" s="290"/>
      <c r="BE445" s="290"/>
      <c r="BF445" s="290"/>
      <c r="BG445" s="290"/>
      <c r="BH445" s="290"/>
      <c r="BI445" s="290"/>
      <c r="BJ445" s="290"/>
      <c r="BK445" s="290"/>
      <c r="BL445" s="290"/>
      <c r="BM445" s="290"/>
      <c r="BN445" s="290"/>
      <c r="BO445" s="290"/>
      <c r="BP445" s="290"/>
      <c r="BQ445" s="290"/>
      <c r="BR445" s="290"/>
      <c r="BS445" s="290"/>
      <c r="BT445" s="290"/>
      <c r="BU445" s="290"/>
      <c r="BV445" s="290"/>
      <c r="BW445" s="290"/>
      <c r="BX445" s="290"/>
      <c r="BY445" s="290"/>
      <c r="BZ445" s="290"/>
      <c r="CA445" s="290"/>
      <c r="CB445" s="290"/>
      <c r="CC445" s="290"/>
      <c r="CD445" s="290"/>
      <c r="CE445" s="290"/>
      <c r="CF445" s="290"/>
      <c r="CG445" s="290"/>
      <c r="CH445" s="290"/>
      <c r="CI445" s="290"/>
      <c r="CJ445" s="290"/>
      <c r="CK445" s="290"/>
      <c r="CL445" s="290"/>
      <c r="CM445" s="290"/>
      <c r="CN445" s="290"/>
      <c r="CO445" s="290"/>
      <c r="CP445" s="290"/>
      <c r="CQ445" s="290"/>
      <c r="CR445" s="290"/>
      <c r="CS445" s="290"/>
      <c r="CT445" s="290"/>
      <c r="CU445" s="290"/>
      <c r="CV445" s="290"/>
      <c r="CW445" s="290"/>
      <c r="CX445" s="290"/>
      <c r="CY445" s="290"/>
      <c r="CZ445" s="290"/>
      <c r="DA445" s="290"/>
      <c r="DB445" s="290"/>
      <c r="DC445" s="290"/>
      <c r="DD445" s="290"/>
      <c r="DE445" s="290"/>
      <c r="DF445" s="290"/>
      <c r="DG445" s="290"/>
      <c r="DH445" s="290"/>
      <c r="DI445" s="290"/>
      <c r="DJ445" s="290"/>
      <c r="DK445" s="290"/>
      <c r="DL445" s="290"/>
      <c r="DM445" s="290"/>
      <c r="DN445" s="290"/>
      <c r="DO445" s="290"/>
      <c r="DP445" s="290"/>
      <c r="DQ445" s="290"/>
      <c r="DR445" s="290"/>
      <c r="DS445" s="290"/>
      <c r="DT445" s="290"/>
      <c r="DU445" s="290"/>
      <c r="DV445" s="290"/>
      <c r="DW445" s="290"/>
      <c r="DX445" s="290"/>
      <c r="DY445" s="290"/>
      <c r="DZ445" s="290"/>
      <c r="EA445" s="290"/>
      <c r="EB445" s="290"/>
      <c r="EC445" s="290"/>
      <c r="ED445" s="290"/>
      <c r="EE445" s="290"/>
      <c r="EF445" s="290"/>
      <c r="EG445" s="290"/>
      <c r="EH445" s="290"/>
      <c r="EI445" s="290"/>
      <c r="EJ445" s="290"/>
      <c r="EK445" s="290"/>
      <c r="EL445" s="290"/>
      <c r="EM445" s="290"/>
      <c r="EN445" s="290"/>
      <c r="EO445" s="290"/>
      <c r="EP445" s="290"/>
      <c r="EQ445" s="290"/>
      <c r="ER445" s="290"/>
      <c r="ES445" s="290"/>
      <c r="ET445" s="290"/>
      <c r="EU445" s="290"/>
      <c r="EV445" s="290"/>
      <c r="EW445" s="290"/>
      <c r="EX445" s="290"/>
      <c r="EY445" s="290"/>
      <c r="EZ445" s="290"/>
      <c r="FA445" s="290"/>
      <c r="FB445" s="290"/>
      <c r="FC445" s="290"/>
      <c r="FD445" s="290"/>
      <c r="FE445" s="290"/>
      <c r="FF445" s="290"/>
      <c r="FG445" s="290"/>
      <c r="FH445" s="290"/>
      <c r="FI445" s="290"/>
      <c r="FJ445" s="290"/>
      <c r="FK445" s="290"/>
      <c r="FL445" s="290"/>
      <c r="FM445" s="290"/>
      <c r="FN445" s="290"/>
      <c r="FO445" s="290"/>
      <c r="FP445" s="290"/>
      <c r="FQ445" s="290"/>
      <c r="FR445" s="290"/>
      <c r="FS445" s="290"/>
      <c r="FT445" s="290"/>
      <c r="FU445" s="290"/>
      <c r="FV445" s="290"/>
      <c r="FW445" s="290"/>
      <c r="FX445" s="290"/>
      <c r="FY445" s="290"/>
      <c r="FZ445" s="290"/>
      <c r="GA445" s="290"/>
      <c r="GB445" s="290"/>
      <c r="GC445" s="290"/>
      <c r="GD445" s="290"/>
      <c r="GE445" s="290"/>
      <c r="GF445" s="290"/>
      <c r="GG445" s="290"/>
      <c r="GH445" s="290"/>
      <c r="GI445" s="290"/>
      <c r="GJ445" s="290"/>
      <c r="GK445" s="290"/>
      <c r="GL445" s="290"/>
      <c r="GM445" s="290"/>
      <c r="GN445" s="290"/>
      <c r="GO445" s="290"/>
      <c r="GP445" s="290"/>
      <c r="GQ445" s="290"/>
      <c r="GR445" s="290"/>
      <c r="GS445" s="290"/>
      <c r="GT445" s="290"/>
      <c r="GU445" s="290"/>
      <c r="GV445" s="290"/>
      <c r="GW445" s="290"/>
      <c r="GX445" s="290"/>
      <c r="GY445" s="290"/>
      <c r="GZ445" s="290"/>
      <c r="HA445" s="290"/>
      <c r="HB445" s="290"/>
      <c r="HC445" s="290"/>
      <c r="HD445" s="290"/>
      <c r="HE445" s="290"/>
      <c r="HF445" s="290"/>
      <c r="HG445" s="290"/>
      <c r="HH445" s="290"/>
      <c r="HI445" s="290"/>
      <c r="HJ445" s="290"/>
      <c r="HK445" s="290"/>
      <c r="HL445" s="290"/>
      <c r="HM445" s="290"/>
      <c r="HN445" s="290"/>
      <c r="HO445" s="290"/>
      <c r="HP445" s="290"/>
      <c r="HQ445" s="290"/>
      <c r="HR445" s="290"/>
      <c r="HS445" s="290"/>
      <c r="HT445" s="290"/>
      <c r="HU445" s="290"/>
      <c r="HV445" s="290"/>
      <c r="HW445" s="290"/>
      <c r="HX445" s="290"/>
      <c r="HY445" s="290"/>
      <c r="HZ445" s="290"/>
      <c r="IA445" s="290"/>
      <c r="IB445" s="290"/>
      <c r="IC445" s="290"/>
      <c r="ID445" s="290"/>
      <c r="IE445" s="290"/>
      <c r="IF445" s="290"/>
      <c r="IG445" s="290"/>
      <c r="IH445" s="290"/>
      <c r="II445" s="290"/>
      <c r="IJ445" s="290"/>
      <c r="IK445" s="290"/>
      <c r="IL445" s="290"/>
      <c r="IM445" s="290"/>
      <c r="IN445" s="290"/>
      <c r="IO445" s="290"/>
      <c r="IP445" s="290"/>
      <c r="IQ445" s="290"/>
    </row>
    <row r="446" spans="1:251" x14ac:dyDescent="0.3">
      <c r="A446" s="270"/>
      <c r="B446" s="273"/>
      <c r="C446" s="276"/>
      <c r="D446" s="267"/>
      <c r="E446" s="267"/>
      <c r="F446" s="113" t="s">
        <v>238</v>
      </c>
      <c r="G446" s="288"/>
      <c r="H446" s="289"/>
      <c r="I446" s="290"/>
      <c r="J446" s="290"/>
      <c r="K446" s="290"/>
      <c r="L446" s="290"/>
      <c r="M446" s="290"/>
      <c r="N446" s="290"/>
      <c r="O446" s="290"/>
      <c r="P446" s="290"/>
      <c r="Q446" s="290"/>
      <c r="R446" s="290"/>
      <c r="S446" s="290"/>
      <c r="T446" s="290"/>
      <c r="U446" s="290"/>
      <c r="V446" s="290"/>
      <c r="W446" s="290"/>
      <c r="X446" s="290"/>
      <c r="Y446" s="290"/>
      <c r="Z446" s="290"/>
      <c r="AA446" s="290"/>
      <c r="AB446" s="290"/>
      <c r="AC446" s="290"/>
      <c r="AD446" s="290"/>
      <c r="AE446" s="290"/>
      <c r="AF446" s="290"/>
      <c r="AG446" s="290"/>
      <c r="AH446" s="290"/>
      <c r="AI446" s="290"/>
      <c r="AJ446" s="290"/>
      <c r="AK446" s="290"/>
      <c r="AL446" s="290"/>
      <c r="AM446" s="290"/>
      <c r="AN446" s="290"/>
      <c r="AO446" s="290"/>
      <c r="AP446" s="290"/>
      <c r="AQ446" s="290"/>
      <c r="AR446" s="290"/>
      <c r="AS446" s="290"/>
      <c r="AT446" s="290"/>
      <c r="AU446" s="290"/>
      <c r="AV446" s="290"/>
      <c r="AW446" s="290"/>
      <c r="AX446" s="290"/>
      <c r="AY446" s="290"/>
      <c r="AZ446" s="290"/>
      <c r="BA446" s="290"/>
      <c r="BB446" s="290"/>
      <c r="BC446" s="290"/>
      <c r="BD446" s="290"/>
      <c r="BE446" s="290"/>
      <c r="BF446" s="290"/>
      <c r="BG446" s="290"/>
      <c r="BH446" s="290"/>
      <c r="BI446" s="290"/>
      <c r="BJ446" s="290"/>
      <c r="BK446" s="290"/>
      <c r="BL446" s="290"/>
      <c r="BM446" s="290"/>
      <c r="BN446" s="290"/>
      <c r="BO446" s="290"/>
      <c r="BP446" s="290"/>
      <c r="BQ446" s="290"/>
      <c r="BR446" s="290"/>
      <c r="BS446" s="290"/>
      <c r="BT446" s="290"/>
      <c r="BU446" s="290"/>
      <c r="BV446" s="290"/>
      <c r="BW446" s="290"/>
      <c r="BX446" s="290"/>
      <c r="BY446" s="290"/>
      <c r="BZ446" s="290"/>
      <c r="CA446" s="290"/>
      <c r="CB446" s="290"/>
      <c r="CC446" s="290"/>
      <c r="CD446" s="290"/>
      <c r="CE446" s="290"/>
      <c r="CF446" s="290"/>
      <c r="CG446" s="290"/>
      <c r="CH446" s="290"/>
      <c r="CI446" s="290"/>
      <c r="CJ446" s="290"/>
      <c r="CK446" s="290"/>
      <c r="CL446" s="290"/>
      <c r="CM446" s="290"/>
      <c r="CN446" s="290"/>
      <c r="CO446" s="290"/>
      <c r="CP446" s="290"/>
      <c r="CQ446" s="290"/>
      <c r="CR446" s="290"/>
      <c r="CS446" s="290"/>
      <c r="CT446" s="290"/>
      <c r="CU446" s="290"/>
      <c r="CV446" s="290"/>
      <c r="CW446" s="290"/>
      <c r="CX446" s="290"/>
      <c r="CY446" s="290"/>
      <c r="CZ446" s="290"/>
      <c r="DA446" s="290"/>
      <c r="DB446" s="290"/>
      <c r="DC446" s="290"/>
      <c r="DD446" s="290"/>
      <c r="DE446" s="290"/>
      <c r="DF446" s="290"/>
      <c r="DG446" s="290"/>
      <c r="DH446" s="290"/>
      <c r="DI446" s="290"/>
      <c r="DJ446" s="290"/>
      <c r="DK446" s="290"/>
      <c r="DL446" s="290"/>
      <c r="DM446" s="290"/>
      <c r="DN446" s="290"/>
      <c r="DO446" s="290"/>
      <c r="DP446" s="290"/>
      <c r="DQ446" s="290"/>
      <c r="DR446" s="290"/>
      <c r="DS446" s="290"/>
      <c r="DT446" s="290"/>
      <c r="DU446" s="290"/>
      <c r="DV446" s="290"/>
      <c r="DW446" s="290"/>
      <c r="DX446" s="290"/>
      <c r="DY446" s="290"/>
      <c r="DZ446" s="290"/>
      <c r="EA446" s="290"/>
      <c r="EB446" s="290"/>
      <c r="EC446" s="290"/>
      <c r="ED446" s="290"/>
      <c r="EE446" s="290"/>
      <c r="EF446" s="290"/>
      <c r="EG446" s="290"/>
      <c r="EH446" s="290"/>
      <c r="EI446" s="290"/>
      <c r="EJ446" s="290"/>
      <c r="EK446" s="290"/>
      <c r="EL446" s="290"/>
      <c r="EM446" s="290"/>
      <c r="EN446" s="290"/>
      <c r="EO446" s="290"/>
      <c r="EP446" s="290"/>
      <c r="EQ446" s="290"/>
      <c r="ER446" s="290"/>
      <c r="ES446" s="290"/>
      <c r="ET446" s="290"/>
      <c r="EU446" s="290"/>
      <c r="EV446" s="290"/>
      <c r="EW446" s="290"/>
      <c r="EX446" s="290"/>
      <c r="EY446" s="290"/>
      <c r="EZ446" s="290"/>
      <c r="FA446" s="290"/>
      <c r="FB446" s="290"/>
      <c r="FC446" s="290"/>
      <c r="FD446" s="290"/>
      <c r="FE446" s="290"/>
      <c r="FF446" s="290"/>
      <c r="FG446" s="290"/>
      <c r="FH446" s="290"/>
      <c r="FI446" s="290"/>
      <c r="FJ446" s="290"/>
      <c r="FK446" s="290"/>
      <c r="FL446" s="290"/>
      <c r="FM446" s="290"/>
      <c r="FN446" s="290"/>
      <c r="FO446" s="290"/>
      <c r="FP446" s="290"/>
      <c r="FQ446" s="290"/>
      <c r="FR446" s="290"/>
      <c r="FS446" s="290"/>
      <c r="FT446" s="290"/>
      <c r="FU446" s="290"/>
      <c r="FV446" s="290"/>
      <c r="FW446" s="290"/>
      <c r="FX446" s="290"/>
      <c r="FY446" s="290"/>
      <c r="FZ446" s="290"/>
      <c r="GA446" s="290"/>
      <c r="GB446" s="290"/>
      <c r="GC446" s="290"/>
      <c r="GD446" s="290"/>
      <c r="GE446" s="290"/>
      <c r="GF446" s="290"/>
      <c r="GG446" s="290"/>
      <c r="GH446" s="290"/>
      <c r="GI446" s="290"/>
      <c r="GJ446" s="290"/>
      <c r="GK446" s="290"/>
      <c r="GL446" s="290"/>
      <c r="GM446" s="290"/>
      <c r="GN446" s="290"/>
      <c r="GO446" s="290"/>
      <c r="GP446" s="290"/>
      <c r="GQ446" s="290"/>
      <c r="GR446" s="290"/>
      <c r="GS446" s="290"/>
      <c r="GT446" s="290"/>
      <c r="GU446" s="290"/>
      <c r="GV446" s="290"/>
      <c r="GW446" s="290"/>
      <c r="GX446" s="290"/>
      <c r="GY446" s="290"/>
      <c r="GZ446" s="290"/>
      <c r="HA446" s="290"/>
      <c r="HB446" s="290"/>
      <c r="HC446" s="290"/>
      <c r="HD446" s="290"/>
      <c r="HE446" s="290"/>
      <c r="HF446" s="290"/>
      <c r="HG446" s="290"/>
      <c r="HH446" s="290"/>
      <c r="HI446" s="290"/>
      <c r="HJ446" s="290"/>
      <c r="HK446" s="290"/>
      <c r="HL446" s="290"/>
      <c r="HM446" s="290"/>
      <c r="HN446" s="290"/>
      <c r="HO446" s="290"/>
      <c r="HP446" s="290"/>
      <c r="HQ446" s="290"/>
      <c r="HR446" s="290"/>
      <c r="HS446" s="290"/>
      <c r="HT446" s="290"/>
      <c r="HU446" s="290"/>
      <c r="HV446" s="290"/>
      <c r="HW446" s="290"/>
      <c r="HX446" s="290"/>
      <c r="HY446" s="290"/>
      <c r="HZ446" s="290"/>
      <c r="IA446" s="290"/>
      <c r="IB446" s="290"/>
      <c r="IC446" s="290"/>
      <c r="ID446" s="290"/>
      <c r="IE446" s="290"/>
      <c r="IF446" s="290"/>
      <c r="IG446" s="290"/>
      <c r="IH446" s="290"/>
      <c r="II446" s="290"/>
      <c r="IJ446" s="290"/>
      <c r="IK446" s="290"/>
      <c r="IL446" s="290"/>
      <c r="IM446" s="290"/>
      <c r="IN446" s="290"/>
      <c r="IO446" s="290"/>
      <c r="IP446" s="290"/>
      <c r="IQ446" s="290"/>
    </row>
    <row r="447" spans="1:251" ht="39" x14ac:dyDescent="0.3">
      <c r="A447" s="239" t="s">
        <v>290</v>
      </c>
      <c r="B447" s="21" t="s">
        <v>1852</v>
      </c>
      <c r="C447" s="129" t="s">
        <v>49</v>
      </c>
      <c r="D447" s="166" t="s">
        <v>37</v>
      </c>
      <c r="E447" s="166" t="s">
        <v>38</v>
      </c>
      <c r="F447" s="100" t="s">
        <v>1854</v>
      </c>
      <c r="G447" s="183"/>
      <c r="H447" s="183"/>
      <c r="I447" s="183"/>
      <c r="J447" s="183"/>
      <c r="K447" s="183"/>
      <c r="L447" s="183"/>
      <c r="M447" s="183"/>
      <c r="N447" s="183"/>
      <c r="O447" s="183"/>
      <c r="P447" s="183"/>
      <c r="Q447" s="183"/>
      <c r="R447" s="183"/>
      <c r="S447" s="183"/>
      <c r="T447" s="183"/>
      <c r="U447" s="183"/>
      <c r="V447" s="183"/>
      <c r="W447" s="183"/>
      <c r="X447" s="183"/>
      <c r="Y447" s="183"/>
      <c r="Z447" s="183"/>
      <c r="AA447" s="183"/>
      <c r="AB447" s="183"/>
      <c r="AC447" s="183"/>
      <c r="AD447" s="183"/>
      <c r="AE447" s="183"/>
      <c r="AF447" s="183"/>
      <c r="AG447" s="183"/>
      <c r="AH447" s="183"/>
      <c r="AI447" s="183"/>
      <c r="AJ447" s="183"/>
      <c r="AK447" s="183"/>
      <c r="AL447" s="183"/>
      <c r="AM447" s="183"/>
      <c r="AN447" s="183"/>
      <c r="AO447" s="183"/>
      <c r="AP447" s="183"/>
      <c r="AQ447" s="183"/>
      <c r="AR447" s="183"/>
      <c r="AS447" s="183"/>
      <c r="AT447" s="183"/>
      <c r="AU447" s="183"/>
      <c r="AV447" s="183"/>
      <c r="AW447" s="183"/>
      <c r="AX447" s="183"/>
      <c r="AY447" s="183"/>
      <c r="AZ447" s="183"/>
      <c r="BA447" s="183"/>
      <c r="BB447" s="183"/>
      <c r="BC447" s="183"/>
      <c r="BD447" s="183"/>
      <c r="BE447" s="183"/>
      <c r="BF447" s="183"/>
      <c r="BG447" s="183"/>
      <c r="BH447" s="183"/>
      <c r="BI447" s="183"/>
      <c r="BJ447" s="183"/>
      <c r="BK447" s="183"/>
      <c r="BL447" s="183"/>
      <c r="BM447" s="183"/>
      <c r="BN447" s="183"/>
      <c r="BO447" s="183"/>
      <c r="BP447" s="183"/>
      <c r="BQ447" s="183"/>
      <c r="BR447" s="183"/>
      <c r="BS447" s="183"/>
      <c r="BT447" s="183"/>
      <c r="BU447" s="183"/>
      <c r="BV447" s="183"/>
      <c r="BW447" s="183"/>
      <c r="BX447" s="183"/>
      <c r="BY447" s="183"/>
      <c r="BZ447" s="183"/>
      <c r="CA447" s="183"/>
      <c r="CB447" s="183"/>
      <c r="CC447" s="183"/>
      <c r="CD447" s="183"/>
      <c r="CE447" s="183"/>
      <c r="CF447" s="183"/>
      <c r="CG447" s="183"/>
      <c r="CH447" s="183"/>
      <c r="CI447" s="183"/>
      <c r="CJ447" s="183"/>
      <c r="CK447" s="183"/>
      <c r="CL447" s="183"/>
      <c r="CM447" s="183"/>
      <c r="CN447" s="183"/>
      <c r="CO447" s="183"/>
      <c r="CP447" s="183"/>
      <c r="CQ447" s="183"/>
      <c r="CR447" s="183"/>
      <c r="CS447" s="183"/>
      <c r="CT447" s="183"/>
      <c r="CU447" s="183"/>
      <c r="CV447" s="183"/>
      <c r="CW447" s="183"/>
      <c r="CX447" s="183"/>
      <c r="CY447" s="183"/>
      <c r="CZ447" s="183"/>
      <c r="DA447" s="183"/>
      <c r="DB447" s="183"/>
      <c r="DC447" s="183"/>
      <c r="DD447" s="183"/>
      <c r="DE447" s="183"/>
      <c r="DF447" s="183"/>
      <c r="DG447" s="183"/>
      <c r="DH447" s="183"/>
      <c r="DI447" s="183"/>
      <c r="DJ447" s="183"/>
      <c r="DK447" s="183"/>
      <c r="DL447" s="183"/>
      <c r="DM447" s="183"/>
      <c r="DN447" s="183"/>
      <c r="DO447" s="183"/>
      <c r="DP447" s="183"/>
      <c r="DQ447" s="183"/>
      <c r="DR447" s="183"/>
      <c r="DS447" s="183"/>
      <c r="DT447" s="183"/>
      <c r="DU447" s="183"/>
      <c r="DV447" s="183"/>
      <c r="DW447" s="183"/>
      <c r="DX447" s="183"/>
      <c r="DY447" s="183"/>
      <c r="DZ447" s="183"/>
      <c r="EA447" s="183"/>
      <c r="EB447" s="183"/>
      <c r="EC447" s="183"/>
      <c r="ED447" s="183"/>
      <c r="EE447" s="183"/>
      <c r="EF447" s="183"/>
      <c r="EG447" s="183"/>
      <c r="EH447" s="183"/>
      <c r="EI447" s="183"/>
      <c r="EJ447" s="183"/>
      <c r="EK447" s="183"/>
      <c r="EL447" s="183"/>
      <c r="EM447" s="183"/>
      <c r="EN447" s="183"/>
      <c r="EO447" s="183"/>
      <c r="EP447" s="183"/>
      <c r="EQ447" s="183"/>
      <c r="ER447" s="183"/>
      <c r="ES447" s="183"/>
      <c r="ET447" s="183"/>
      <c r="EU447" s="183"/>
      <c r="EV447" s="183"/>
      <c r="EW447" s="183"/>
      <c r="EX447" s="183"/>
      <c r="EY447" s="183"/>
      <c r="EZ447" s="183"/>
      <c r="FA447" s="183"/>
      <c r="FB447" s="183"/>
      <c r="FC447" s="183"/>
      <c r="FD447" s="183"/>
      <c r="FE447" s="183"/>
      <c r="FF447" s="183"/>
      <c r="FG447" s="183"/>
      <c r="FH447" s="183"/>
      <c r="FI447" s="183"/>
      <c r="FJ447" s="183"/>
      <c r="FK447" s="183"/>
      <c r="FL447" s="183"/>
      <c r="FM447" s="183"/>
      <c r="FN447" s="183"/>
      <c r="FO447" s="183"/>
      <c r="FP447" s="183"/>
      <c r="FQ447" s="183"/>
      <c r="FR447" s="183"/>
      <c r="FS447" s="183"/>
      <c r="FT447" s="183"/>
      <c r="FU447" s="183"/>
      <c r="FV447" s="183"/>
      <c r="FW447" s="183"/>
      <c r="FX447" s="183"/>
      <c r="FY447" s="183"/>
      <c r="FZ447" s="183"/>
      <c r="GA447" s="183"/>
      <c r="GB447" s="183"/>
      <c r="GC447" s="183"/>
      <c r="GD447" s="183"/>
      <c r="GE447" s="183"/>
      <c r="GF447" s="183"/>
      <c r="GG447" s="183"/>
      <c r="GH447" s="183"/>
      <c r="GI447" s="183"/>
      <c r="GJ447" s="183"/>
      <c r="GK447" s="183"/>
      <c r="GL447" s="183"/>
      <c r="GM447" s="183"/>
      <c r="GN447" s="183"/>
      <c r="GO447" s="183"/>
      <c r="GP447" s="183"/>
      <c r="GQ447" s="183"/>
      <c r="GR447" s="183"/>
      <c r="GS447" s="183"/>
      <c r="GT447" s="183"/>
      <c r="GU447" s="183"/>
      <c r="GV447" s="183"/>
      <c r="GW447" s="183"/>
      <c r="GX447" s="183"/>
      <c r="GY447" s="183"/>
      <c r="GZ447" s="183"/>
      <c r="HA447" s="183"/>
      <c r="HB447" s="183"/>
      <c r="HC447" s="183"/>
      <c r="HD447" s="183"/>
      <c r="HE447" s="183"/>
      <c r="HF447" s="183"/>
      <c r="HG447" s="183"/>
      <c r="HH447" s="183"/>
      <c r="HI447" s="183"/>
      <c r="HJ447" s="183"/>
      <c r="HK447" s="183"/>
      <c r="HL447" s="183"/>
      <c r="HM447" s="183"/>
      <c r="HN447" s="183"/>
      <c r="HO447" s="183"/>
      <c r="HP447" s="183"/>
      <c r="HQ447" s="183"/>
      <c r="HR447" s="183"/>
      <c r="HS447" s="183"/>
      <c r="HT447" s="183"/>
      <c r="HU447" s="183"/>
      <c r="HV447" s="183"/>
      <c r="HW447" s="183"/>
      <c r="HX447" s="183"/>
      <c r="HY447" s="183"/>
      <c r="HZ447" s="183"/>
      <c r="IA447" s="183"/>
      <c r="IB447" s="183"/>
      <c r="IC447" s="183"/>
      <c r="ID447" s="183"/>
      <c r="IE447" s="183"/>
      <c r="IF447" s="183"/>
      <c r="IG447" s="183"/>
      <c r="IH447" s="183"/>
      <c r="II447" s="183"/>
      <c r="IJ447" s="183"/>
      <c r="IK447" s="183"/>
      <c r="IL447" s="183"/>
      <c r="IM447" s="183"/>
      <c r="IN447" s="183"/>
      <c r="IO447" s="183"/>
      <c r="IP447" s="183"/>
      <c r="IQ447" s="183"/>
    </row>
    <row r="448" spans="1:251" ht="39" x14ac:dyDescent="0.3">
      <c r="A448" s="83" t="s">
        <v>184</v>
      </c>
      <c r="B448" s="196" t="s">
        <v>1960</v>
      </c>
      <c r="C448" s="191" t="s">
        <v>30</v>
      </c>
      <c r="D448" s="192" t="s">
        <v>31</v>
      </c>
      <c r="E448" s="192" t="s">
        <v>32</v>
      </c>
      <c r="F448" s="114" t="s">
        <v>33</v>
      </c>
    </row>
    <row r="449" spans="1:251" x14ac:dyDescent="0.3">
      <c r="A449" s="268" t="s">
        <v>1870</v>
      </c>
      <c r="B449" s="271" t="s">
        <v>46</v>
      </c>
      <c r="C449" s="274" t="s">
        <v>36</v>
      </c>
      <c r="D449" s="265" t="s">
        <v>37</v>
      </c>
      <c r="E449" s="265" t="s">
        <v>38</v>
      </c>
      <c r="F449" s="108" t="s">
        <v>233</v>
      </c>
    </row>
    <row r="450" spans="1:251" x14ac:dyDescent="0.3">
      <c r="A450" s="269"/>
      <c r="B450" s="272"/>
      <c r="C450" s="275"/>
      <c r="D450" s="266"/>
      <c r="E450" s="266"/>
      <c r="F450" s="109" t="s">
        <v>234</v>
      </c>
    </row>
    <row r="451" spans="1:251" x14ac:dyDescent="0.3">
      <c r="A451" s="270"/>
      <c r="B451" s="273"/>
      <c r="C451" s="276"/>
      <c r="D451" s="267"/>
      <c r="E451" s="267"/>
      <c r="F451" s="110" t="s">
        <v>235</v>
      </c>
    </row>
    <row r="452" spans="1:251" x14ac:dyDescent="0.3">
      <c r="A452" s="268" t="s">
        <v>1870</v>
      </c>
      <c r="B452" s="271" t="s">
        <v>48</v>
      </c>
      <c r="C452" s="274" t="s">
        <v>49</v>
      </c>
      <c r="D452" s="265" t="s">
        <v>37</v>
      </c>
      <c r="E452" s="265" t="s">
        <v>38</v>
      </c>
      <c r="F452" s="111" t="s">
        <v>236</v>
      </c>
    </row>
    <row r="453" spans="1:251" x14ac:dyDescent="0.3">
      <c r="A453" s="269"/>
      <c r="B453" s="272"/>
      <c r="C453" s="275"/>
      <c r="D453" s="266"/>
      <c r="E453" s="266"/>
      <c r="F453" s="112" t="s">
        <v>237</v>
      </c>
    </row>
    <row r="454" spans="1:251" x14ac:dyDescent="0.3">
      <c r="A454" s="270"/>
      <c r="B454" s="273"/>
      <c r="C454" s="276"/>
      <c r="D454" s="267"/>
      <c r="E454" s="267"/>
      <c r="F454" s="113" t="s">
        <v>238</v>
      </c>
    </row>
    <row r="455" spans="1:251" ht="39" x14ac:dyDescent="0.3">
      <c r="A455" s="239" t="s">
        <v>1870</v>
      </c>
      <c r="B455" s="21" t="s">
        <v>1852</v>
      </c>
      <c r="C455" s="129" t="s">
        <v>49</v>
      </c>
      <c r="D455" s="166" t="s">
        <v>37</v>
      </c>
      <c r="E455" s="166" t="s">
        <v>38</v>
      </c>
      <c r="F455" s="100" t="s">
        <v>1854</v>
      </c>
    </row>
    <row r="456" spans="1:251" ht="39" x14ac:dyDescent="0.3">
      <c r="A456" s="83" t="s">
        <v>1703</v>
      </c>
      <c r="B456" s="196" t="s">
        <v>291</v>
      </c>
      <c r="C456" s="191" t="s">
        <v>30</v>
      </c>
      <c r="D456" s="192" t="s">
        <v>31</v>
      </c>
      <c r="E456" s="192" t="s">
        <v>32</v>
      </c>
      <c r="F456" s="114" t="s">
        <v>33</v>
      </c>
      <c r="G456" s="191"/>
      <c r="H456" s="199"/>
      <c r="I456" s="183"/>
      <c r="J456" s="183"/>
      <c r="K456" s="183"/>
      <c r="L456" s="183"/>
      <c r="M456" s="183"/>
      <c r="N456" s="183"/>
      <c r="O456" s="183"/>
      <c r="P456" s="183"/>
      <c r="Q456" s="183"/>
      <c r="R456" s="183"/>
      <c r="S456" s="183"/>
      <c r="T456" s="183"/>
      <c r="U456" s="183"/>
      <c r="V456" s="183"/>
      <c r="W456" s="183"/>
      <c r="X456" s="183"/>
      <c r="Y456" s="183"/>
      <c r="Z456" s="183"/>
      <c r="AA456" s="183"/>
      <c r="AB456" s="183"/>
      <c r="AC456" s="183"/>
      <c r="AD456" s="183"/>
      <c r="AE456" s="183"/>
      <c r="AF456" s="183"/>
      <c r="AG456" s="183"/>
      <c r="AH456" s="183"/>
      <c r="AI456" s="183"/>
      <c r="AJ456" s="183"/>
      <c r="AK456" s="183"/>
      <c r="AL456" s="183"/>
      <c r="AM456" s="183"/>
      <c r="AN456" s="183"/>
      <c r="AO456" s="183"/>
      <c r="AP456" s="183"/>
      <c r="AQ456" s="183"/>
      <c r="AR456" s="183"/>
      <c r="AS456" s="183"/>
      <c r="AT456" s="183"/>
      <c r="AU456" s="183"/>
      <c r="AV456" s="183"/>
      <c r="AW456" s="183"/>
      <c r="AX456" s="183"/>
      <c r="AY456" s="183"/>
      <c r="AZ456" s="183"/>
      <c r="BA456" s="183"/>
      <c r="BB456" s="183"/>
      <c r="BC456" s="183"/>
      <c r="BD456" s="183"/>
      <c r="BE456" s="183"/>
      <c r="BF456" s="183"/>
      <c r="BG456" s="183"/>
      <c r="BH456" s="183"/>
      <c r="BI456" s="183"/>
      <c r="BJ456" s="183"/>
      <c r="BK456" s="183"/>
      <c r="BL456" s="183"/>
      <c r="BM456" s="183"/>
      <c r="BN456" s="183"/>
      <c r="BO456" s="183"/>
      <c r="BP456" s="183"/>
      <c r="BQ456" s="183"/>
      <c r="BR456" s="183"/>
      <c r="BS456" s="183"/>
      <c r="BT456" s="183"/>
      <c r="BU456" s="183"/>
      <c r="BV456" s="183"/>
      <c r="BW456" s="183"/>
      <c r="BX456" s="183"/>
      <c r="BY456" s="183"/>
      <c r="BZ456" s="183"/>
      <c r="CA456" s="183"/>
      <c r="CB456" s="183"/>
      <c r="CC456" s="183"/>
      <c r="CD456" s="183"/>
      <c r="CE456" s="183"/>
      <c r="CF456" s="183"/>
      <c r="CG456" s="183"/>
      <c r="CH456" s="183"/>
      <c r="CI456" s="183"/>
      <c r="CJ456" s="183"/>
      <c r="CK456" s="183"/>
      <c r="CL456" s="183"/>
      <c r="CM456" s="183"/>
      <c r="CN456" s="183"/>
      <c r="CO456" s="183"/>
      <c r="CP456" s="183"/>
      <c r="CQ456" s="183"/>
      <c r="CR456" s="183"/>
      <c r="CS456" s="183"/>
      <c r="CT456" s="183"/>
      <c r="CU456" s="183"/>
      <c r="CV456" s="183"/>
      <c r="CW456" s="183"/>
      <c r="CX456" s="183"/>
      <c r="CY456" s="183"/>
      <c r="CZ456" s="183"/>
      <c r="DA456" s="183"/>
      <c r="DB456" s="183"/>
      <c r="DC456" s="183"/>
      <c r="DD456" s="183"/>
      <c r="DE456" s="183"/>
      <c r="DF456" s="183"/>
      <c r="DG456" s="183"/>
      <c r="DH456" s="183"/>
      <c r="DI456" s="183"/>
      <c r="DJ456" s="183"/>
      <c r="DK456" s="183"/>
      <c r="DL456" s="183"/>
      <c r="DM456" s="183"/>
      <c r="DN456" s="183"/>
      <c r="DO456" s="183"/>
      <c r="DP456" s="183"/>
      <c r="DQ456" s="183"/>
      <c r="DR456" s="183"/>
      <c r="DS456" s="183"/>
      <c r="DT456" s="183"/>
      <c r="DU456" s="183"/>
      <c r="DV456" s="183"/>
      <c r="DW456" s="183"/>
      <c r="DX456" s="183"/>
      <c r="DY456" s="183"/>
      <c r="DZ456" s="183"/>
      <c r="EA456" s="183"/>
      <c r="EB456" s="183"/>
      <c r="EC456" s="183"/>
      <c r="ED456" s="183"/>
      <c r="EE456" s="183"/>
      <c r="EF456" s="183"/>
      <c r="EG456" s="183"/>
      <c r="EH456" s="183"/>
      <c r="EI456" s="183"/>
      <c r="EJ456" s="183"/>
      <c r="EK456" s="183"/>
      <c r="EL456" s="183"/>
      <c r="EM456" s="183"/>
      <c r="EN456" s="183"/>
      <c r="EO456" s="183"/>
      <c r="EP456" s="183"/>
      <c r="EQ456" s="183"/>
      <c r="ER456" s="183"/>
      <c r="ES456" s="183"/>
      <c r="ET456" s="183"/>
      <c r="EU456" s="183"/>
      <c r="EV456" s="183"/>
      <c r="EW456" s="183"/>
      <c r="EX456" s="183"/>
      <c r="EY456" s="183"/>
      <c r="EZ456" s="183"/>
      <c r="FA456" s="183"/>
      <c r="FB456" s="183"/>
      <c r="FC456" s="183"/>
      <c r="FD456" s="183"/>
      <c r="FE456" s="183"/>
      <c r="FF456" s="183"/>
      <c r="FG456" s="183"/>
      <c r="FH456" s="183"/>
      <c r="FI456" s="183"/>
      <c r="FJ456" s="183"/>
      <c r="FK456" s="183"/>
      <c r="FL456" s="183"/>
      <c r="FM456" s="183"/>
      <c r="FN456" s="183"/>
      <c r="FO456" s="183"/>
      <c r="FP456" s="183"/>
      <c r="FQ456" s="183"/>
      <c r="FR456" s="183"/>
      <c r="FS456" s="183"/>
      <c r="FT456" s="183"/>
      <c r="FU456" s="183"/>
      <c r="FV456" s="183"/>
      <c r="FW456" s="183"/>
      <c r="FX456" s="183"/>
      <c r="FY456" s="183"/>
      <c r="FZ456" s="183"/>
      <c r="GA456" s="183"/>
      <c r="GB456" s="183"/>
      <c r="GC456" s="183"/>
      <c r="GD456" s="183"/>
      <c r="GE456" s="183"/>
      <c r="GF456" s="183"/>
      <c r="GG456" s="183"/>
      <c r="GH456" s="183"/>
      <c r="GI456" s="183"/>
      <c r="GJ456" s="183"/>
      <c r="GK456" s="183"/>
      <c r="GL456" s="183"/>
      <c r="GM456" s="183"/>
      <c r="GN456" s="183"/>
      <c r="GO456" s="183"/>
      <c r="GP456" s="183"/>
      <c r="GQ456" s="183"/>
      <c r="GR456" s="183"/>
      <c r="GS456" s="183"/>
      <c r="GT456" s="183"/>
      <c r="GU456" s="183"/>
      <c r="GV456" s="183"/>
      <c r="GW456" s="183"/>
      <c r="GX456" s="183"/>
      <c r="GY456" s="183"/>
      <c r="GZ456" s="183"/>
      <c r="HA456" s="183"/>
      <c r="HB456" s="183"/>
      <c r="HC456" s="183"/>
      <c r="HD456" s="183"/>
      <c r="HE456" s="183"/>
      <c r="HF456" s="183"/>
      <c r="HG456" s="183"/>
      <c r="HH456" s="183"/>
      <c r="HI456" s="183"/>
      <c r="HJ456" s="183"/>
      <c r="HK456" s="183"/>
      <c r="HL456" s="183"/>
      <c r="HM456" s="183"/>
      <c r="HN456" s="183"/>
      <c r="HO456" s="183"/>
      <c r="HP456" s="183"/>
      <c r="HQ456" s="183"/>
      <c r="HR456" s="183"/>
      <c r="HS456" s="183"/>
      <c r="HT456" s="183"/>
      <c r="HU456" s="183"/>
      <c r="HV456" s="183"/>
      <c r="HW456" s="183"/>
      <c r="HX456" s="183"/>
      <c r="HY456" s="183"/>
      <c r="HZ456" s="183"/>
      <c r="IA456" s="183"/>
      <c r="IB456" s="183"/>
      <c r="IC456" s="183"/>
      <c r="ID456" s="183"/>
      <c r="IE456" s="183"/>
      <c r="IF456" s="183"/>
      <c r="IG456" s="183"/>
      <c r="IH456" s="183"/>
      <c r="II456" s="183"/>
      <c r="IJ456" s="183"/>
      <c r="IK456" s="183"/>
      <c r="IL456" s="183"/>
      <c r="IM456" s="183"/>
      <c r="IN456" s="183"/>
      <c r="IO456" s="183"/>
      <c r="IP456" s="183"/>
      <c r="IQ456" s="183"/>
    </row>
    <row r="457" spans="1:251" x14ac:dyDescent="0.3">
      <c r="A457" s="268" t="s">
        <v>1871</v>
      </c>
      <c r="B457" s="271" t="s">
        <v>46</v>
      </c>
      <c r="C457" s="274" t="s">
        <v>36</v>
      </c>
      <c r="D457" s="265" t="s">
        <v>37</v>
      </c>
      <c r="E457" s="265" t="s">
        <v>38</v>
      </c>
      <c r="F457" s="108" t="s">
        <v>233</v>
      </c>
      <c r="G457" s="286"/>
      <c r="H457" s="289"/>
      <c r="I457" s="290"/>
      <c r="J457" s="290"/>
      <c r="K457" s="290"/>
      <c r="L457" s="290"/>
      <c r="M457" s="290"/>
      <c r="N457" s="290"/>
      <c r="O457" s="290"/>
      <c r="P457" s="290"/>
      <c r="Q457" s="290"/>
      <c r="R457" s="290"/>
      <c r="S457" s="290"/>
      <c r="T457" s="290"/>
      <c r="U457" s="290"/>
      <c r="V457" s="290"/>
      <c r="W457" s="290"/>
      <c r="X457" s="290"/>
      <c r="Y457" s="290"/>
      <c r="Z457" s="290"/>
      <c r="AA457" s="290"/>
      <c r="AB457" s="290"/>
      <c r="AC457" s="290"/>
      <c r="AD457" s="290"/>
      <c r="AE457" s="290"/>
      <c r="AF457" s="290"/>
      <c r="AG457" s="290"/>
      <c r="AH457" s="290"/>
      <c r="AI457" s="290"/>
      <c r="AJ457" s="290"/>
      <c r="AK457" s="290"/>
      <c r="AL457" s="290"/>
      <c r="AM457" s="290"/>
      <c r="AN457" s="290"/>
      <c r="AO457" s="290"/>
      <c r="AP457" s="290"/>
      <c r="AQ457" s="290"/>
      <c r="AR457" s="290"/>
      <c r="AS457" s="290"/>
      <c r="AT457" s="290"/>
      <c r="AU457" s="290"/>
      <c r="AV457" s="290"/>
      <c r="AW457" s="290"/>
      <c r="AX457" s="290"/>
      <c r="AY457" s="290"/>
      <c r="AZ457" s="290"/>
      <c r="BA457" s="290"/>
      <c r="BB457" s="290"/>
      <c r="BC457" s="290"/>
      <c r="BD457" s="290"/>
      <c r="BE457" s="290"/>
      <c r="BF457" s="290"/>
      <c r="BG457" s="290"/>
      <c r="BH457" s="290"/>
      <c r="BI457" s="290"/>
      <c r="BJ457" s="290"/>
      <c r="BK457" s="290"/>
      <c r="BL457" s="290"/>
      <c r="BM457" s="290"/>
      <c r="BN457" s="290"/>
      <c r="BO457" s="290"/>
      <c r="BP457" s="290"/>
      <c r="BQ457" s="290"/>
      <c r="BR457" s="290"/>
      <c r="BS457" s="290"/>
      <c r="BT457" s="290"/>
      <c r="BU457" s="290"/>
      <c r="BV457" s="290"/>
      <c r="BW457" s="290"/>
      <c r="BX457" s="290"/>
      <c r="BY457" s="290"/>
      <c r="BZ457" s="290"/>
      <c r="CA457" s="290"/>
      <c r="CB457" s="290"/>
      <c r="CC457" s="290"/>
      <c r="CD457" s="290"/>
      <c r="CE457" s="290"/>
      <c r="CF457" s="290"/>
      <c r="CG457" s="290"/>
      <c r="CH457" s="290"/>
      <c r="CI457" s="290"/>
      <c r="CJ457" s="290"/>
      <c r="CK457" s="290"/>
      <c r="CL457" s="290"/>
      <c r="CM457" s="290"/>
      <c r="CN457" s="290"/>
      <c r="CO457" s="290"/>
      <c r="CP457" s="290"/>
      <c r="CQ457" s="290"/>
      <c r="CR457" s="290"/>
      <c r="CS457" s="290"/>
      <c r="CT457" s="290"/>
      <c r="CU457" s="290"/>
      <c r="CV457" s="290"/>
      <c r="CW457" s="290"/>
      <c r="CX457" s="290"/>
      <c r="CY457" s="290"/>
      <c r="CZ457" s="290"/>
      <c r="DA457" s="290"/>
      <c r="DB457" s="290"/>
      <c r="DC457" s="290"/>
      <c r="DD457" s="290"/>
      <c r="DE457" s="290"/>
      <c r="DF457" s="290"/>
      <c r="DG457" s="290"/>
      <c r="DH457" s="290"/>
      <c r="DI457" s="290"/>
      <c r="DJ457" s="290"/>
      <c r="DK457" s="290"/>
      <c r="DL457" s="290"/>
      <c r="DM457" s="290"/>
      <c r="DN457" s="290"/>
      <c r="DO457" s="290"/>
      <c r="DP457" s="290"/>
      <c r="DQ457" s="290"/>
      <c r="DR457" s="290"/>
      <c r="DS457" s="290"/>
      <c r="DT457" s="290"/>
      <c r="DU457" s="290"/>
      <c r="DV457" s="290"/>
      <c r="DW457" s="290"/>
      <c r="DX457" s="290"/>
      <c r="DY457" s="290"/>
      <c r="DZ457" s="290"/>
      <c r="EA457" s="290"/>
      <c r="EB457" s="290"/>
      <c r="EC457" s="290"/>
      <c r="ED457" s="290"/>
      <c r="EE457" s="290"/>
      <c r="EF457" s="290"/>
      <c r="EG457" s="290"/>
      <c r="EH457" s="290"/>
      <c r="EI457" s="290"/>
      <c r="EJ457" s="290"/>
      <c r="EK457" s="290"/>
      <c r="EL457" s="290"/>
      <c r="EM457" s="290"/>
      <c r="EN457" s="290"/>
      <c r="EO457" s="290"/>
      <c r="EP457" s="290"/>
      <c r="EQ457" s="290"/>
      <c r="ER457" s="290"/>
      <c r="ES457" s="290"/>
      <c r="ET457" s="290"/>
      <c r="EU457" s="290"/>
      <c r="EV457" s="290"/>
      <c r="EW457" s="290"/>
      <c r="EX457" s="290"/>
      <c r="EY457" s="290"/>
      <c r="EZ457" s="290"/>
      <c r="FA457" s="290"/>
      <c r="FB457" s="290"/>
      <c r="FC457" s="290"/>
      <c r="FD457" s="290"/>
      <c r="FE457" s="290"/>
      <c r="FF457" s="290"/>
      <c r="FG457" s="290"/>
      <c r="FH457" s="290"/>
      <c r="FI457" s="290"/>
      <c r="FJ457" s="290"/>
      <c r="FK457" s="290"/>
      <c r="FL457" s="290"/>
      <c r="FM457" s="290"/>
      <c r="FN457" s="290"/>
      <c r="FO457" s="290"/>
      <c r="FP457" s="290"/>
      <c r="FQ457" s="290"/>
      <c r="FR457" s="290"/>
      <c r="FS457" s="290"/>
      <c r="FT457" s="290"/>
      <c r="FU457" s="290"/>
      <c r="FV457" s="290"/>
      <c r="FW457" s="290"/>
      <c r="FX457" s="290"/>
      <c r="FY457" s="290"/>
      <c r="FZ457" s="290"/>
      <c r="GA457" s="290"/>
      <c r="GB457" s="290"/>
      <c r="GC457" s="290"/>
      <c r="GD457" s="290"/>
      <c r="GE457" s="290"/>
      <c r="GF457" s="290"/>
      <c r="GG457" s="290"/>
      <c r="GH457" s="290"/>
      <c r="GI457" s="290"/>
      <c r="GJ457" s="290"/>
      <c r="GK457" s="290"/>
      <c r="GL457" s="290"/>
      <c r="GM457" s="290"/>
      <c r="GN457" s="290"/>
      <c r="GO457" s="290"/>
      <c r="GP457" s="290"/>
      <c r="GQ457" s="290"/>
      <c r="GR457" s="290"/>
      <c r="GS457" s="290"/>
      <c r="GT457" s="290"/>
      <c r="GU457" s="290"/>
      <c r="GV457" s="290"/>
      <c r="GW457" s="290"/>
      <c r="GX457" s="290"/>
      <c r="GY457" s="290"/>
      <c r="GZ457" s="290"/>
      <c r="HA457" s="290"/>
      <c r="HB457" s="290"/>
      <c r="HC457" s="290"/>
      <c r="HD457" s="290"/>
      <c r="HE457" s="290"/>
      <c r="HF457" s="290"/>
      <c r="HG457" s="290"/>
      <c r="HH457" s="290"/>
      <c r="HI457" s="290"/>
      <c r="HJ457" s="290"/>
      <c r="HK457" s="290"/>
      <c r="HL457" s="290"/>
      <c r="HM457" s="290"/>
      <c r="HN457" s="290"/>
      <c r="HO457" s="290"/>
      <c r="HP457" s="290"/>
      <c r="HQ457" s="290"/>
      <c r="HR457" s="290"/>
      <c r="HS457" s="290"/>
      <c r="HT457" s="290"/>
      <c r="HU457" s="290"/>
      <c r="HV457" s="290"/>
      <c r="HW457" s="290"/>
      <c r="HX457" s="290"/>
      <c r="HY457" s="290"/>
      <c r="HZ457" s="290"/>
      <c r="IA457" s="290"/>
      <c r="IB457" s="290"/>
      <c r="IC457" s="290"/>
      <c r="ID457" s="290"/>
      <c r="IE457" s="290"/>
      <c r="IF457" s="290"/>
      <c r="IG457" s="290"/>
      <c r="IH457" s="290"/>
      <c r="II457" s="290"/>
      <c r="IJ457" s="290"/>
      <c r="IK457" s="290"/>
      <c r="IL457" s="290"/>
      <c r="IM457" s="290"/>
      <c r="IN457" s="290"/>
      <c r="IO457" s="290"/>
      <c r="IP457" s="290"/>
      <c r="IQ457" s="290"/>
    </row>
    <row r="458" spans="1:251" x14ac:dyDescent="0.3">
      <c r="A458" s="269"/>
      <c r="B458" s="272"/>
      <c r="C458" s="275"/>
      <c r="D458" s="266"/>
      <c r="E458" s="266"/>
      <c r="F458" s="109" t="s">
        <v>234</v>
      </c>
      <c r="G458" s="287"/>
      <c r="H458" s="289"/>
      <c r="I458" s="290"/>
      <c r="J458" s="290"/>
      <c r="K458" s="290"/>
      <c r="L458" s="290"/>
      <c r="M458" s="290"/>
      <c r="N458" s="290"/>
      <c r="O458" s="290"/>
      <c r="P458" s="290"/>
      <c r="Q458" s="290"/>
      <c r="R458" s="290"/>
      <c r="S458" s="290"/>
      <c r="T458" s="290"/>
      <c r="U458" s="290"/>
      <c r="V458" s="290"/>
      <c r="W458" s="290"/>
      <c r="X458" s="290"/>
      <c r="Y458" s="290"/>
      <c r="Z458" s="290"/>
      <c r="AA458" s="290"/>
      <c r="AB458" s="290"/>
      <c r="AC458" s="290"/>
      <c r="AD458" s="290"/>
      <c r="AE458" s="290"/>
      <c r="AF458" s="290"/>
      <c r="AG458" s="290"/>
      <c r="AH458" s="290"/>
      <c r="AI458" s="290"/>
      <c r="AJ458" s="290"/>
      <c r="AK458" s="290"/>
      <c r="AL458" s="290"/>
      <c r="AM458" s="290"/>
      <c r="AN458" s="290"/>
      <c r="AO458" s="290"/>
      <c r="AP458" s="290"/>
      <c r="AQ458" s="290"/>
      <c r="AR458" s="290"/>
      <c r="AS458" s="290"/>
      <c r="AT458" s="290"/>
      <c r="AU458" s="290"/>
      <c r="AV458" s="290"/>
      <c r="AW458" s="290"/>
      <c r="AX458" s="290"/>
      <c r="AY458" s="290"/>
      <c r="AZ458" s="290"/>
      <c r="BA458" s="290"/>
      <c r="BB458" s="290"/>
      <c r="BC458" s="290"/>
      <c r="BD458" s="290"/>
      <c r="BE458" s="290"/>
      <c r="BF458" s="290"/>
      <c r="BG458" s="290"/>
      <c r="BH458" s="290"/>
      <c r="BI458" s="290"/>
      <c r="BJ458" s="290"/>
      <c r="BK458" s="290"/>
      <c r="BL458" s="290"/>
      <c r="BM458" s="290"/>
      <c r="BN458" s="290"/>
      <c r="BO458" s="290"/>
      <c r="BP458" s="290"/>
      <c r="BQ458" s="290"/>
      <c r="BR458" s="290"/>
      <c r="BS458" s="290"/>
      <c r="BT458" s="290"/>
      <c r="BU458" s="290"/>
      <c r="BV458" s="290"/>
      <c r="BW458" s="290"/>
      <c r="BX458" s="290"/>
      <c r="BY458" s="290"/>
      <c r="BZ458" s="290"/>
      <c r="CA458" s="290"/>
      <c r="CB458" s="290"/>
      <c r="CC458" s="290"/>
      <c r="CD458" s="290"/>
      <c r="CE458" s="290"/>
      <c r="CF458" s="290"/>
      <c r="CG458" s="290"/>
      <c r="CH458" s="290"/>
      <c r="CI458" s="290"/>
      <c r="CJ458" s="290"/>
      <c r="CK458" s="290"/>
      <c r="CL458" s="290"/>
      <c r="CM458" s="290"/>
      <c r="CN458" s="290"/>
      <c r="CO458" s="290"/>
      <c r="CP458" s="290"/>
      <c r="CQ458" s="290"/>
      <c r="CR458" s="290"/>
      <c r="CS458" s="290"/>
      <c r="CT458" s="290"/>
      <c r="CU458" s="290"/>
      <c r="CV458" s="290"/>
      <c r="CW458" s="290"/>
      <c r="CX458" s="290"/>
      <c r="CY458" s="290"/>
      <c r="CZ458" s="290"/>
      <c r="DA458" s="290"/>
      <c r="DB458" s="290"/>
      <c r="DC458" s="290"/>
      <c r="DD458" s="290"/>
      <c r="DE458" s="290"/>
      <c r="DF458" s="290"/>
      <c r="DG458" s="290"/>
      <c r="DH458" s="290"/>
      <c r="DI458" s="290"/>
      <c r="DJ458" s="290"/>
      <c r="DK458" s="290"/>
      <c r="DL458" s="290"/>
      <c r="DM458" s="290"/>
      <c r="DN458" s="290"/>
      <c r="DO458" s="290"/>
      <c r="DP458" s="290"/>
      <c r="DQ458" s="290"/>
      <c r="DR458" s="290"/>
      <c r="DS458" s="290"/>
      <c r="DT458" s="290"/>
      <c r="DU458" s="290"/>
      <c r="DV458" s="290"/>
      <c r="DW458" s="290"/>
      <c r="DX458" s="290"/>
      <c r="DY458" s="290"/>
      <c r="DZ458" s="290"/>
      <c r="EA458" s="290"/>
      <c r="EB458" s="290"/>
      <c r="EC458" s="290"/>
      <c r="ED458" s="290"/>
      <c r="EE458" s="290"/>
      <c r="EF458" s="290"/>
      <c r="EG458" s="290"/>
      <c r="EH458" s="290"/>
      <c r="EI458" s="290"/>
      <c r="EJ458" s="290"/>
      <c r="EK458" s="290"/>
      <c r="EL458" s="290"/>
      <c r="EM458" s="290"/>
      <c r="EN458" s="290"/>
      <c r="EO458" s="290"/>
      <c r="EP458" s="290"/>
      <c r="EQ458" s="290"/>
      <c r="ER458" s="290"/>
      <c r="ES458" s="290"/>
      <c r="ET458" s="290"/>
      <c r="EU458" s="290"/>
      <c r="EV458" s="290"/>
      <c r="EW458" s="290"/>
      <c r="EX458" s="290"/>
      <c r="EY458" s="290"/>
      <c r="EZ458" s="290"/>
      <c r="FA458" s="290"/>
      <c r="FB458" s="290"/>
      <c r="FC458" s="290"/>
      <c r="FD458" s="290"/>
      <c r="FE458" s="290"/>
      <c r="FF458" s="290"/>
      <c r="FG458" s="290"/>
      <c r="FH458" s="290"/>
      <c r="FI458" s="290"/>
      <c r="FJ458" s="290"/>
      <c r="FK458" s="290"/>
      <c r="FL458" s="290"/>
      <c r="FM458" s="290"/>
      <c r="FN458" s="290"/>
      <c r="FO458" s="290"/>
      <c r="FP458" s="290"/>
      <c r="FQ458" s="290"/>
      <c r="FR458" s="290"/>
      <c r="FS458" s="290"/>
      <c r="FT458" s="290"/>
      <c r="FU458" s="290"/>
      <c r="FV458" s="290"/>
      <c r="FW458" s="290"/>
      <c r="FX458" s="290"/>
      <c r="FY458" s="290"/>
      <c r="FZ458" s="290"/>
      <c r="GA458" s="290"/>
      <c r="GB458" s="290"/>
      <c r="GC458" s="290"/>
      <c r="GD458" s="290"/>
      <c r="GE458" s="290"/>
      <c r="GF458" s="290"/>
      <c r="GG458" s="290"/>
      <c r="GH458" s="290"/>
      <c r="GI458" s="290"/>
      <c r="GJ458" s="290"/>
      <c r="GK458" s="290"/>
      <c r="GL458" s="290"/>
      <c r="GM458" s="290"/>
      <c r="GN458" s="290"/>
      <c r="GO458" s="290"/>
      <c r="GP458" s="290"/>
      <c r="GQ458" s="290"/>
      <c r="GR458" s="290"/>
      <c r="GS458" s="290"/>
      <c r="GT458" s="290"/>
      <c r="GU458" s="290"/>
      <c r="GV458" s="290"/>
      <c r="GW458" s="290"/>
      <c r="GX458" s="290"/>
      <c r="GY458" s="290"/>
      <c r="GZ458" s="290"/>
      <c r="HA458" s="290"/>
      <c r="HB458" s="290"/>
      <c r="HC458" s="290"/>
      <c r="HD458" s="290"/>
      <c r="HE458" s="290"/>
      <c r="HF458" s="290"/>
      <c r="HG458" s="290"/>
      <c r="HH458" s="290"/>
      <c r="HI458" s="290"/>
      <c r="HJ458" s="290"/>
      <c r="HK458" s="290"/>
      <c r="HL458" s="290"/>
      <c r="HM458" s="290"/>
      <c r="HN458" s="290"/>
      <c r="HO458" s="290"/>
      <c r="HP458" s="290"/>
      <c r="HQ458" s="290"/>
      <c r="HR458" s="290"/>
      <c r="HS458" s="290"/>
      <c r="HT458" s="290"/>
      <c r="HU458" s="290"/>
      <c r="HV458" s="290"/>
      <c r="HW458" s="290"/>
      <c r="HX458" s="290"/>
      <c r="HY458" s="290"/>
      <c r="HZ458" s="290"/>
      <c r="IA458" s="290"/>
      <c r="IB458" s="290"/>
      <c r="IC458" s="290"/>
      <c r="ID458" s="290"/>
      <c r="IE458" s="290"/>
      <c r="IF458" s="290"/>
      <c r="IG458" s="290"/>
      <c r="IH458" s="290"/>
      <c r="II458" s="290"/>
      <c r="IJ458" s="290"/>
      <c r="IK458" s="290"/>
      <c r="IL458" s="290"/>
      <c r="IM458" s="290"/>
      <c r="IN458" s="290"/>
      <c r="IO458" s="290"/>
      <c r="IP458" s="290"/>
      <c r="IQ458" s="290"/>
    </row>
    <row r="459" spans="1:251" x14ac:dyDescent="0.3">
      <c r="A459" s="270"/>
      <c r="B459" s="273"/>
      <c r="C459" s="276"/>
      <c r="D459" s="267"/>
      <c r="E459" s="267"/>
      <c r="F459" s="110" t="s">
        <v>235</v>
      </c>
      <c r="G459" s="288"/>
      <c r="H459" s="289"/>
      <c r="I459" s="290"/>
      <c r="J459" s="290"/>
      <c r="K459" s="290"/>
      <c r="L459" s="290"/>
      <c r="M459" s="290"/>
      <c r="N459" s="290"/>
      <c r="O459" s="290"/>
      <c r="P459" s="290"/>
      <c r="Q459" s="290"/>
      <c r="R459" s="290"/>
      <c r="S459" s="290"/>
      <c r="T459" s="290"/>
      <c r="U459" s="290"/>
      <c r="V459" s="290"/>
      <c r="W459" s="290"/>
      <c r="X459" s="290"/>
      <c r="Y459" s="290"/>
      <c r="Z459" s="290"/>
      <c r="AA459" s="290"/>
      <c r="AB459" s="290"/>
      <c r="AC459" s="290"/>
      <c r="AD459" s="290"/>
      <c r="AE459" s="290"/>
      <c r="AF459" s="290"/>
      <c r="AG459" s="290"/>
      <c r="AH459" s="290"/>
      <c r="AI459" s="290"/>
      <c r="AJ459" s="290"/>
      <c r="AK459" s="290"/>
      <c r="AL459" s="290"/>
      <c r="AM459" s="290"/>
      <c r="AN459" s="290"/>
      <c r="AO459" s="290"/>
      <c r="AP459" s="290"/>
      <c r="AQ459" s="290"/>
      <c r="AR459" s="290"/>
      <c r="AS459" s="290"/>
      <c r="AT459" s="290"/>
      <c r="AU459" s="290"/>
      <c r="AV459" s="290"/>
      <c r="AW459" s="290"/>
      <c r="AX459" s="290"/>
      <c r="AY459" s="290"/>
      <c r="AZ459" s="290"/>
      <c r="BA459" s="290"/>
      <c r="BB459" s="290"/>
      <c r="BC459" s="290"/>
      <c r="BD459" s="290"/>
      <c r="BE459" s="290"/>
      <c r="BF459" s="290"/>
      <c r="BG459" s="290"/>
      <c r="BH459" s="290"/>
      <c r="BI459" s="290"/>
      <c r="BJ459" s="290"/>
      <c r="BK459" s="290"/>
      <c r="BL459" s="290"/>
      <c r="BM459" s="290"/>
      <c r="BN459" s="290"/>
      <c r="BO459" s="290"/>
      <c r="BP459" s="290"/>
      <c r="BQ459" s="290"/>
      <c r="BR459" s="290"/>
      <c r="BS459" s="290"/>
      <c r="BT459" s="290"/>
      <c r="BU459" s="290"/>
      <c r="BV459" s="290"/>
      <c r="BW459" s="290"/>
      <c r="BX459" s="290"/>
      <c r="BY459" s="290"/>
      <c r="BZ459" s="290"/>
      <c r="CA459" s="290"/>
      <c r="CB459" s="290"/>
      <c r="CC459" s="290"/>
      <c r="CD459" s="290"/>
      <c r="CE459" s="290"/>
      <c r="CF459" s="290"/>
      <c r="CG459" s="290"/>
      <c r="CH459" s="290"/>
      <c r="CI459" s="290"/>
      <c r="CJ459" s="290"/>
      <c r="CK459" s="290"/>
      <c r="CL459" s="290"/>
      <c r="CM459" s="290"/>
      <c r="CN459" s="290"/>
      <c r="CO459" s="290"/>
      <c r="CP459" s="290"/>
      <c r="CQ459" s="290"/>
      <c r="CR459" s="290"/>
      <c r="CS459" s="290"/>
      <c r="CT459" s="290"/>
      <c r="CU459" s="290"/>
      <c r="CV459" s="290"/>
      <c r="CW459" s="290"/>
      <c r="CX459" s="290"/>
      <c r="CY459" s="290"/>
      <c r="CZ459" s="290"/>
      <c r="DA459" s="290"/>
      <c r="DB459" s="290"/>
      <c r="DC459" s="290"/>
      <c r="DD459" s="290"/>
      <c r="DE459" s="290"/>
      <c r="DF459" s="290"/>
      <c r="DG459" s="290"/>
      <c r="DH459" s="290"/>
      <c r="DI459" s="290"/>
      <c r="DJ459" s="290"/>
      <c r="DK459" s="290"/>
      <c r="DL459" s="290"/>
      <c r="DM459" s="290"/>
      <c r="DN459" s="290"/>
      <c r="DO459" s="290"/>
      <c r="DP459" s="290"/>
      <c r="DQ459" s="290"/>
      <c r="DR459" s="290"/>
      <c r="DS459" s="290"/>
      <c r="DT459" s="290"/>
      <c r="DU459" s="290"/>
      <c r="DV459" s="290"/>
      <c r="DW459" s="290"/>
      <c r="DX459" s="290"/>
      <c r="DY459" s="290"/>
      <c r="DZ459" s="290"/>
      <c r="EA459" s="290"/>
      <c r="EB459" s="290"/>
      <c r="EC459" s="290"/>
      <c r="ED459" s="290"/>
      <c r="EE459" s="290"/>
      <c r="EF459" s="290"/>
      <c r="EG459" s="290"/>
      <c r="EH459" s="290"/>
      <c r="EI459" s="290"/>
      <c r="EJ459" s="290"/>
      <c r="EK459" s="290"/>
      <c r="EL459" s="290"/>
      <c r="EM459" s="290"/>
      <c r="EN459" s="290"/>
      <c r="EO459" s="290"/>
      <c r="EP459" s="290"/>
      <c r="EQ459" s="290"/>
      <c r="ER459" s="290"/>
      <c r="ES459" s="290"/>
      <c r="ET459" s="290"/>
      <c r="EU459" s="290"/>
      <c r="EV459" s="290"/>
      <c r="EW459" s="290"/>
      <c r="EX459" s="290"/>
      <c r="EY459" s="290"/>
      <c r="EZ459" s="290"/>
      <c r="FA459" s="290"/>
      <c r="FB459" s="290"/>
      <c r="FC459" s="290"/>
      <c r="FD459" s="290"/>
      <c r="FE459" s="290"/>
      <c r="FF459" s="290"/>
      <c r="FG459" s="290"/>
      <c r="FH459" s="290"/>
      <c r="FI459" s="290"/>
      <c r="FJ459" s="290"/>
      <c r="FK459" s="290"/>
      <c r="FL459" s="290"/>
      <c r="FM459" s="290"/>
      <c r="FN459" s="290"/>
      <c r="FO459" s="290"/>
      <c r="FP459" s="290"/>
      <c r="FQ459" s="290"/>
      <c r="FR459" s="290"/>
      <c r="FS459" s="290"/>
      <c r="FT459" s="290"/>
      <c r="FU459" s="290"/>
      <c r="FV459" s="290"/>
      <c r="FW459" s="290"/>
      <c r="FX459" s="290"/>
      <c r="FY459" s="290"/>
      <c r="FZ459" s="290"/>
      <c r="GA459" s="290"/>
      <c r="GB459" s="290"/>
      <c r="GC459" s="290"/>
      <c r="GD459" s="290"/>
      <c r="GE459" s="290"/>
      <c r="GF459" s="290"/>
      <c r="GG459" s="290"/>
      <c r="GH459" s="290"/>
      <c r="GI459" s="290"/>
      <c r="GJ459" s="290"/>
      <c r="GK459" s="290"/>
      <c r="GL459" s="290"/>
      <c r="GM459" s="290"/>
      <c r="GN459" s="290"/>
      <c r="GO459" s="290"/>
      <c r="GP459" s="290"/>
      <c r="GQ459" s="290"/>
      <c r="GR459" s="290"/>
      <c r="GS459" s="290"/>
      <c r="GT459" s="290"/>
      <c r="GU459" s="290"/>
      <c r="GV459" s="290"/>
      <c r="GW459" s="290"/>
      <c r="GX459" s="290"/>
      <c r="GY459" s="290"/>
      <c r="GZ459" s="290"/>
      <c r="HA459" s="290"/>
      <c r="HB459" s="290"/>
      <c r="HC459" s="290"/>
      <c r="HD459" s="290"/>
      <c r="HE459" s="290"/>
      <c r="HF459" s="290"/>
      <c r="HG459" s="290"/>
      <c r="HH459" s="290"/>
      <c r="HI459" s="290"/>
      <c r="HJ459" s="290"/>
      <c r="HK459" s="290"/>
      <c r="HL459" s="290"/>
      <c r="HM459" s="290"/>
      <c r="HN459" s="290"/>
      <c r="HO459" s="290"/>
      <c r="HP459" s="290"/>
      <c r="HQ459" s="290"/>
      <c r="HR459" s="290"/>
      <c r="HS459" s="290"/>
      <c r="HT459" s="290"/>
      <c r="HU459" s="290"/>
      <c r="HV459" s="290"/>
      <c r="HW459" s="290"/>
      <c r="HX459" s="290"/>
      <c r="HY459" s="290"/>
      <c r="HZ459" s="290"/>
      <c r="IA459" s="290"/>
      <c r="IB459" s="290"/>
      <c r="IC459" s="290"/>
      <c r="ID459" s="290"/>
      <c r="IE459" s="290"/>
      <c r="IF459" s="290"/>
      <c r="IG459" s="290"/>
      <c r="IH459" s="290"/>
      <c r="II459" s="290"/>
      <c r="IJ459" s="290"/>
      <c r="IK459" s="290"/>
      <c r="IL459" s="290"/>
      <c r="IM459" s="290"/>
      <c r="IN459" s="290"/>
      <c r="IO459" s="290"/>
      <c r="IP459" s="290"/>
      <c r="IQ459" s="290"/>
    </row>
    <row r="460" spans="1:251" x14ac:dyDescent="0.3">
      <c r="A460" s="268" t="s">
        <v>1871</v>
      </c>
      <c r="B460" s="271" t="s">
        <v>48</v>
      </c>
      <c r="C460" s="274" t="s">
        <v>49</v>
      </c>
      <c r="D460" s="265" t="s">
        <v>37</v>
      </c>
      <c r="E460" s="265" t="s">
        <v>38</v>
      </c>
      <c r="F460" s="111" t="s">
        <v>236</v>
      </c>
      <c r="G460" s="286"/>
      <c r="H460" s="289"/>
      <c r="I460" s="290"/>
      <c r="J460" s="290"/>
      <c r="K460" s="290"/>
      <c r="L460" s="290"/>
      <c r="M460" s="290"/>
      <c r="N460" s="290"/>
      <c r="O460" s="290"/>
      <c r="P460" s="290"/>
      <c r="Q460" s="290"/>
      <c r="R460" s="290"/>
      <c r="S460" s="290"/>
      <c r="T460" s="290"/>
      <c r="U460" s="290"/>
      <c r="V460" s="290"/>
      <c r="W460" s="290"/>
      <c r="X460" s="290"/>
      <c r="Y460" s="290"/>
      <c r="Z460" s="290"/>
      <c r="AA460" s="290"/>
      <c r="AB460" s="290"/>
      <c r="AC460" s="290"/>
      <c r="AD460" s="290"/>
      <c r="AE460" s="290"/>
      <c r="AF460" s="290"/>
      <c r="AG460" s="290"/>
      <c r="AH460" s="290"/>
      <c r="AI460" s="290"/>
      <c r="AJ460" s="290"/>
      <c r="AK460" s="290"/>
      <c r="AL460" s="290"/>
      <c r="AM460" s="290"/>
      <c r="AN460" s="290"/>
      <c r="AO460" s="290"/>
      <c r="AP460" s="290"/>
      <c r="AQ460" s="290"/>
      <c r="AR460" s="290"/>
      <c r="AS460" s="290"/>
      <c r="AT460" s="290"/>
      <c r="AU460" s="290"/>
      <c r="AV460" s="290"/>
      <c r="AW460" s="290"/>
      <c r="AX460" s="290"/>
      <c r="AY460" s="290"/>
      <c r="AZ460" s="290"/>
      <c r="BA460" s="290"/>
      <c r="BB460" s="290"/>
      <c r="BC460" s="290"/>
      <c r="BD460" s="290"/>
      <c r="BE460" s="290"/>
      <c r="BF460" s="290"/>
      <c r="BG460" s="290"/>
      <c r="BH460" s="290"/>
      <c r="BI460" s="290"/>
      <c r="BJ460" s="290"/>
      <c r="BK460" s="290"/>
      <c r="BL460" s="290"/>
      <c r="BM460" s="290"/>
      <c r="BN460" s="290"/>
      <c r="BO460" s="290"/>
      <c r="BP460" s="290"/>
      <c r="BQ460" s="290"/>
      <c r="BR460" s="290"/>
      <c r="BS460" s="290"/>
      <c r="BT460" s="290"/>
      <c r="BU460" s="290"/>
      <c r="BV460" s="290"/>
      <c r="BW460" s="290"/>
      <c r="BX460" s="290"/>
      <c r="BY460" s="290"/>
      <c r="BZ460" s="290"/>
      <c r="CA460" s="290"/>
      <c r="CB460" s="290"/>
      <c r="CC460" s="290"/>
      <c r="CD460" s="290"/>
      <c r="CE460" s="290"/>
      <c r="CF460" s="290"/>
      <c r="CG460" s="290"/>
      <c r="CH460" s="290"/>
      <c r="CI460" s="290"/>
      <c r="CJ460" s="290"/>
      <c r="CK460" s="290"/>
      <c r="CL460" s="290"/>
      <c r="CM460" s="290"/>
      <c r="CN460" s="290"/>
      <c r="CO460" s="290"/>
      <c r="CP460" s="290"/>
      <c r="CQ460" s="290"/>
      <c r="CR460" s="290"/>
      <c r="CS460" s="290"/>
      <c r="CT460" s="290"/>
      <c r="CU460" s="290"/>
      <c r="CV460" s="290"/>
      <c r="CW460" s="290"/>
      <c r="CX460" s="290"/>
      <c r="CY460" s="290"/>
      <c r="CZ460" s="290"/>
      <c r="DA460" s="290"/>
      <c r="DB460" s="290"/>
      <c r="DC460" s="290"/>
      <c r="DD460" s="290"/>
      <c r="DE460" s="290"/>
      <c r="DF460" s="290"/>
      <c r="DG460" s="290"/>
      <c r="DH460" s="290"/>
      <c r="DI460" s="290"/>
      <c r="DJ460" s="290"/>
      <c r="DK460" s="290"/>
      <c r="DL460" s="290"/>
      <c r="DM460" s="290"/>
      <c r="DN460" s="290"/>
      <c r="DO460" s="290"/>
      <c r="DP460" s="290"/>
      <c r="DQ460" s="290"/>
      <c r="DR460" s="290"/>
      <c r="DS460" s="290"/>
      <c r="DT460" s="290"/>
      <c r="DU460" s="290"/>
      <c r="DV460" s="290"/>
      <c r="DW460" s="290"/>
      <c r="DX460" s="290"/>
      <c r="DY460" s="290"/>
      <c r="DZ460" s="290"/>
      <c r="EA460" s="290"/>
      <c r="EB460" s="290"/>
      <c r="EC460" s="290"/>
      <c r="ED460" s="290"/>
      <c r="EE460" s="290"/>
      <c r="EF460" s="290"/>
      <c r="EG460" s="290"/>
      <c r="EH460" s="290"/>
      <c r="EI460" s="290"/>
      <c r="EJ460" s="290"/>
      <c r="EK460" s="290"/>
      <c r="EL460" s="290"/>
      <c r="EM460" s="290"/>
      <c r="EN460" s="290"/>
      <c r="EO460" s="290"/>
      <c r="EP460" s="290"/>
      <c r="EQ460" s="290"/>
      <c r="ER460" s="290"/>
      <c r="ES460" s="290"/>
      <c r="ET460" s="290"/>
      <c r="EU460" s="290"/>
      <c r="EV460" s="290"/>
      <c r="EW460" s="290"/>
      <c r="EX460" s="290"/>
      <c r="EY460" s="290"/>
      <c r="EZ460" s="290"/>
      <c r="FA460" s="290"/>
      <c r="FB460" s="290"/>
      <c r="FC460" s="290"/>
      <c r="FD460" s="290"/>
      <c r="FE460" s="290"/>
      <c r="FF460" s="290"/>
      <c r="FG460" s="290"/>
      <c r="FH460" s="290"/>
      <c r="FI460" s="290"/>
      <c r="FJ460" s="290"/>
      <c r="FK460" s="290"/>
      <c r="FL460" s="290"/>
      <c r="FM460" s="290"/>
      <c r="FN460" s="290"/>
      <c r="FO460" s="290"/>
      <c r="FP460" s="290"/>
      <c r="FQ460" s="290"/>
      <c r="FR460" s="290"/>
      <c r="FS460" s="290"/>
      <c r="FT460" s="290"/>
      <c r="FU460" s="290"/>
      <c r="FV460" s="290"/>
      <c r="FW460" s="290"/>
      <c r="FX460" s="290"/>
      <c r="FY460" s="290"/>
      <c r="FZ460" s="290"/>
      <c r="GA460" s="290"/>
      <c r="GB460" s="290"/>
      <c r="GC460" s="290"/>
      <c r="GD460" s="290"/>
      <c r="GE460" s="290"/>
      <c r="GF460" s="290"/>
      <c r="GG460" s="290"/>
      <c r="GH460" s="290"/>
      <c r="GI460" s="290"/>
      <c r="GJ460" s="290"/>
      <c r="GK460" s="290"/>
      <c r="GL460" s="290"/>
      <c r="GM460" s="290"/>
      <c r="GN460" s="290"/>
      <c r="GO460" s="290"/>
      <c r="GP460" s="290"/>
      <c r="GQ460" s="290"/>
      <c r="GR460" s="290"/>
      <c r="GS460" s="290"/>
      <c r="GT460" s="290"/>
      <c r="GU460" s="290"/>
      <c r="GV460" s="290"/>
      <c r="GW460" s="290"/>
      <c r="GX460" s="290"/>
      <c r="GY460" s="290"/>
      <c r="GZ460" s="290"/>
      <c r="HA460" s="290"/>
      <c r="HB460" s="290"/>
      <c r="HC460" s="290"/>
      <c r="HD460" s="290"/>
      <c r="HE460" s="290"/>
      <c r="HF460" s="290"/>
      <c r="HG460" s="290"/>
      <c r="HH460" s="290"/>
      <c r="HI460" s="290"/>
      <c r="HJ460" s="290"/>
      <c r="HK460" s="290"/>
      <c r="HL460" s="290"/>
      <c r="HM460" s="290"/>
      <c r="HN460" s="290"/>
      <c r="HO460" s="290"/>
      <c r="HP460" s="290"/>
      <c r="HQ460" s="290"/>
      <c r="HR460" s="290"/>
      <c r="HS460" s="290"/>
      <c r="HT460" s="290"/>
      <c r="HU460" s="290"/>
      <c r="HV460" s="290"/>
      <c r="HW460" s="290"/>
      <c r="HX460" s="290"/>
      <c r="HY460" s="290"/>
      <c r="HZ460" s="290"/>
      <c r="IA460" s="290"/>
      <c r="IB460" s="290"/>
      <c r="IC460" s="290"/>
      <c r="ID460" s="290"/>
      <c r="IE460" s="290"/>
      <c r="IF460" s="290"/>
      <c r="IG460" s="290"/>
      <c r="IH460" s="290"/>
      <c r="II460" s="290"/>
      <c r="IJ460" s="290"/>
      <c r="IK460" s="290"/>
      <c r="IL460" s="290"/>
      <c r="IM460" s="290"/>
      <c r="IN460" s="290"/>
      <c r="IO460" s="290"/>
      <c r="IP460" s="290"/>
      <c r="IQ460" s="290"/>
    </row>
    <row r="461" spans="1:251" x14ac:dyDescent="0.3">
      <c r="A461" s="269"/>
      <c r="B461" s="272"/>
      <c r="C461" s="275"/>
      <c r="D461" s="266"/>
      <c r="E461" s="266"/>
      <c r="F461" s="112" t="s">
        <v>237</v>
      </c>
      <c r="G461" s="287"/>
      <c r="H461" s="289"/>
      <c r="I461" s="290"/>
      <c r="J461" s="290"/>
      <c r="K461" s="290"/>
      <c r="L461" s="290"/>
      <c r="M461" s="290"/>
      <c r="N461" s="290"/>
      <c r="O461" s="290"/>
      <c r="P461" s="290"/>
      <c r="Q461" s="290"/>
      <c r="R461" s="290"/>
      <c r="S461" s="290"/>
      <c r="T461" s="290"/>
      <c r="U461" s="290"/>
      <c r="V461" s="290"/>
      <c r="W461" s="290"/>
      <c r="X461" s="290"/>
      <c r="Y461" s="290"/>
      <c r="Z461" s="290"/>
      <c r="AA461" s="290"/>
      <c r="AB461" s="290"/>
      <c r="AC461" s="290"/>
      <c r="AD461" s="290"/>
      <c r="AE461" s="290"/>
      <c r="AF461" s="290"/>
      <c r="AG461" s="290"/>
      <c r="AH461" s="290"/>
      <c r="AI461" s="290"/>
      <c r="AJ461" s="290"/>
      <c r="AK461" s="290"/>
      <c r="AL461" s="290"/>
      <c r="AM461" s="290"/>
      <c r="AN461" s="290"/>
      <c r="AO461" s="290"/>
      <c r="AP461" s="290"/>
      <c r="AQ461" s="290"/>
      <c r="AR461" s="290"/>
      <c r="AS461" s="290"/>
      <c r="AT461" s="290"/>
      <c r="AU461" s="290"/>
      <c r="AV461" s="290"/>
      <c r="AW461" s="290"/>
      <c r="AX461" s="290"/>
      <c r="AY461" s="290"/>
      <c r="AZ461" s="290"/>
      <c r="BA461" s="290"/>
      <c r="BB461" s="290"/>
      <c r="BC461" s="290"/>
      <c r="BD461" s="290"/>
      <c r="BE461" s="290"/>
      <c r="BF461" s="290"/>
      <c r="BG461" s="290"/>
      <c r="BH461" s="290"/>
      <c r="BI461" s="290"/>
      <c r="BJ461" s="290"/>
      <c r="BK461" s="290"/>
      <c r="BL461" s="290"/>
      <c r="BM461" s="290"/>
      <c r="BN461" s="290"/>
      <c r="BO461" s="290"/>
      <c r="BP461" s="290"/>
      <c r="BQ461" s="290"/>
      <c r="BR461" s="290"/>
      <c r="BS461" s="290"/>
      <c r="BT461" s="290"/>
      <c r="BU461" s="290"/>
      <c r="BV461" s="290"/>
      <c r="BW461" s="290"/>
      <c r="BX461" s="290"/>
      <c r="BY461" s="290"/>
      <c r="BZ461" s="290"/>
      <c r="CA461" s="290"/>
      <c r="CB461" s="290"/>
      <c r="CC461" s="290"/>
      <c r="CD461" s="290"/>
      <c r="CE461" s="290"/>
      <c r="CF461" s="290"/>
      <c r="CG461" s="290"/>
      <c r="CH461" s="290"/>
      <c r="CI461" s="290"/>
      <c r="CJ461" s="290"/>
      <c r="CK461" s="290"/>
      <c r="CL461" s="290"/>
      <c r="CM461" s="290"/>
      <c r="CN461" s="290"/>
      <c r="CO461" s="290"/>
      <c r="CP461" s="290"/>
      <c r="CQ461" s="290"/>
      <c r="CR461" s="290"/>
      <c r="CS461" s="290"/>
      <c r="CT461" s="290"/>
      <c r="CU461" s="290"/>
      <c r="CV461" s="290"/>
      <c r="CW461" s="290"/>
      <c r="CX461" s="290"/>
      <c r="CY461" s="290"/>
      <c r="CZ461" s="290"/>
      <c r="DA461" s="290"/>
      <c r="DB461" s="290"/>
      <c r="DC461" s="290"/>
      <c r="DD461" s="290"/>
      <c r="DE461" s="290"/>
      <c r="DF461" s="290"/>
      <c r="DG461" s="290"/>
      <c r="DH461" s="290"/>
      <c r="DI461" s="290"/>
      <c r="DJ461" s="290"/>
      <c r="DK461" s="290"/>
      <c r="DL461" s="290"/>
      <c r="DM461" s="290"/>
      <c r="DN461" s="290"/>
      <c r="DO461" s="290"/>
      <c r="DP461" s="290"/>
      <c r="DQ461" s="290"/>
      <c r="DR461" s="290"/>
      <c r="DS461" s="290"/>
      <c r="DT461" s="290"/>
      <c r="DU461" s="290"/>
      <c r="DV461" s="290"/>
      <c r="DW461" s="290"/>
      <c r="DX461" s="290"/>
      <c r="DY461" s="290"/>
      <c r="DZ461" s="290"/>
      <c r="EA461" s="290"/>
      <c r="EB461" s="290"/>
      <c r="EC461" s="290"/>
      <c r="ED461" s="290"/>
      <c r="EE461" s="290"/>
      <c r="EF461" s="290"/>
      <c r="EG461" s="290"/>
      <c r="EH461" s="290"/>
      <c r="EI461" s="290"/>
      <c r="EJ461" s="290"/>
      <c r="EK461" s="290"/>
      <c r="EL461" s="290"/>
      <c r="EM461" s="290"/>
      <c r="EN461" s="290"/>
      <c r="EO461" s="290"/>
      <c r="EP461" s="290"/>
      <c r="EQ461" s="290"/>
      <c r="ER461" s="290"/>
      <c r="ES461" s="290"/>
      <c r="ET461" s="290"/>
      <c r="EU461" s="290"/>
      <c r="EV461" s="290"/>
      <c r="EW461" s="290"/>
      <c r="EX461" s="290"/>
      <c r="EY461" s="290"/>
      <c r="EZ461" s="290"/>
      <c r="FA461" s="290"/>
      <c r="FB461" s="290"/>
      <c r="FC461" s="290"/>
      <c r="FD461" s="290"/>
      <c r="FE461" s="290"/>
      <c r="FF461" s="290"/>
      <c r="FG461" s="290"/>
      <c r="FH461" s="290"/>
      <c r="FI461" s="290"/>
      <c r="FJ461" s="290"/>
      <c r="FK461" s="290"/>
      <c r="FL461" s="290"/>
      <c r="FM461" s="290"/>
      <c r="FN461" s="290"/>
      <c r="FO461" s="290"/>
      <c r="FP461" s="290"/>
      <c r="FQ461" s="290"/>
      <c r="FR461" s="290"/>
      <c r="FS461" s="290"/>
      <c r="FT461" s="290"/>
      <c r="FU461" s="290"/>
      <c r="FV461" s="290"/>
      <c r="FW461" s="290"/>
      <c r="FX461" s="290"/>
      <c r="FY461" s="290"/>
      <c r="FZ461" s="290"/>
      <c r="GA461" s="290"/>
      <c r="GB461" s="290"/>
      <c r="GC461" s="290"/>
      <c r="GD461" s="290"/>
      <c r="GE461" s="290"/>
      <c r="GF461" s="290"/>
      <c r="GG461" s="290"/>
      <c r="GH461" s="290"/>
      <c r="GI461" s="290"/>
      <c r="GJ461" s="290"/>
      <c r="GK461" s="290"/>
      <c r="GL461" s="290"/>
      <c r="GM461" s="290"/>
      <c r="GN461" s="290"/>
      <c r="GO461" s="290"/>
      <c r="GP461" s="290"/>
      <c r="GQ461" s="290"/>
      <c r="GR461" s="290"/>
      <c r="GS461" s="290"/>
      <c r="GT461" s="290"/>
      <c r="GU461" s="290"/>
      <c r="GV461" s="290"/>
      <c r="GW461" s="290"/>
      <c r="GX461" s="290"/>
      <c r="GY461" s="290"/>
      <c r="GZ461" s="290"/>
      <c r="HA461" s="290"/>
      <c r="HB461" s="290"/>
      <c r="HC461" s="290"/>
      <c r="HD461" s="290"/>
      <c r="HE461" s="290"/>
      <c r="HF461" s="290"/>
      <c r="HG461" s="290"/>
      <c r="HH461" s="290"/>
      <c r="HI461" s="290"/>
      <c r="HJ461" s="290"/>
      <c r="HK461" s="290"/>
      <c r="HL461" s="290"/>
      <c r="HM461" s="290"/>
      <c r="HN461" s="290"/>
      <c r="HO461" s="290"/>
      <c r="HP461" s="290"/>
      <c r="HQ461" s="290"/>
      <c r="HR461" s="290"/>
      <c r="HS461" s="290"/>
      <c r="HT461" s="290"/>
      <c r="HU461" s="290"/>
      <c r="HV461" s="290"/>
      <c r="HW461" s="290"/>
      <c r="HX461" s="290"/>
      <c r="HY461" s="290"/>
      <c r="HZ461" s="290"/>
      <c r="IA461" s="290"/>
      <c r="IB461" s="290"/>
      <c r="IC461" s="290"/>
      <c r="ID461" s="290"/>
      <c r="IE461" s="290"/>
      <c r="IF461" s="290"/>
      <c r="IG461" s="290"/>
      <c r="IH461" s="290"/>
      <c r="II461" s="290"/>
      <c r="IJ461" s="290"/>
      <c r="IK461" s="290"/>
      <c r="IL461" s="290"/>
      <c r="IM461" s="290"/>
      <c r="IN461" s="290"/>
      <c r="IO461" s="290"/>
      <c r="IP461" s="290"/>
      <c r="IQ461" s="290"/>
    </row>
    <row r="462" spans="1:251" x14ac:dyDescent="0.3">
      <c r="A462" s="270"/>
      <c r="B462" s="273"/>
      <c r="C462" s="276"/>
      <c r="D462" s="267"/>
      <c r="E462" s="267"/>
      <c r="F462" s="113" t="s">
        <v>238</v>
      </c>
      <c r="G462" s="288"/>
      <c r="H462" s="289"/>
      <c r="I462" s="290"/>
      <c r="J462" s="290"/>
      <c r="K462" s="290"/>
      <c r="L462" s="290"/>
      <c r="M462" s="290"/>
      <c r="N462" s="290"/>
      <c r="O462" s="290"/>
      <c r="P462" s="290"/>
      <c r="Q462" s="290"/>
      <c r="R462" s="290"/>
      <c r="S462" s="290"/>
      <c r="T462" s="290"/>
      <c r="U462" s="290"/>
      <c r="V462" s="290"/>
      <c r="W462" s="290"/>
      <c r="X462" s="290"/>
      <c r="Y462" s="290"/>
      <c r="Z462" s="290"/>
      <c r="AA462" s="290"/>
      <c r="AB462" s="290"/>
      <c r="AC462" s="290"/>
      <c r="AD462" s="290"/>
      <c r="AE462" s="290"/>
      <c r="AF462" s="290"/>
      <c r="AG462" s="290"/>
      <c r="AH462" s="290"/>
      <c r="AI462" s="290"/>
      <c r="AJ462" s="290"/>
      <c r="AK462" s="290"/>
      <c r="AL462" s="290"/>
      <c r="AM462" s="290"/>
      <c r="AN462" s="290"/>
      <c r="AO462" s="290"/>
      <c r="AP462" s="290"/>
      <c r="AQ462" s="290"/>
      <c r="AR462" s="290"/>
      <c r="AS462" s="290"/>
      <c r="AT462" s="290"/>
      <c r="AU462" s="290"/>
      <c r="AV462" s="290"/>
      <c r="AW462" s="290"/>
      <c r="AX462" s="290"/>
      <c r="AY462" s="290"/>
      <c r="AZ462" s="290"/>
      <c r="BA462" s="290"/>
      <c r="BB462" s="290"/>
      <c r="BC462" s="290"/>
      <c r="BD462" s="290"/>
      <c r="BE462" s="290"/>
      <c r="BF462" s="290"/>
      <c r="BG462" s="290"/>
      <c r="BH462" s="290"/>
      <c r="BI462" s="290"/>
      <c r="BJ462" s="290"/>
      <c r="BK462" s="290"/>
      <c r="BL462" s="290"/>
      <c r="BM462" s="290"/>
      <c r="BN462" s="290"/>
      <c r="BO462" s="290"/>
      <c r="BP462" s="290"/>
      <c r="BQ462" s="290"/>
      <c r="BR462" s="290"/>
      <c r="BS462" s="290"/>
      <c r="BT462" s="290"/>
      <c r="BU462" s="290"/>
      <c r="BV462" s="290"/>
      <c r="BW462" s="290"/>
      <c r="BX462" s="290"/>
      <c r="BY462" s="290"/>
      <c r="BZ462" s="290"/>
      <c r="CA462" s="290"/>
      <c r="CB462" s="290"/>
      <c r="CC462" s="290"/>
      <c r="CD462" s="290"/>
      <c r="CE462" s="290"/>
      <c r="CF462" s="290"/>
      <c r="CG462" s="290"/>
      <c r="CH462" s="290"/>
      <c r="CI462" s="290"/>
      <c r="CJ462" s="290"/>
      <c r="CK462" s="290"/>
      <c r="CL462" s="290"/>
      <c r="CM462" s="290"/>
      <c r="CN462" s="290"/>
      <c r="CO462" s="290"/>
      <c r="CP462" s="290"/>
      <c r="CQ462" s="290"/>
      <c r="CR462" s="290"/>
      <c r="CS462" s="290"/>
      <c r="CT462" s="290"/>
      <c r="CU462" s="290"/>
      <c r="CV462" s="290"/>
      <c r="CW462" s="290"/>
      <c r="CX462" s="290"/>
      <c r="CY462" s="290"/>
      <c r="CZ462" s="290"/>
      <c r="DA462" s="290"/>
      <c r="DB462" s="290"/>
      <c r="DC462" s="290"/>
      <c r="DD462" s="290"/>
      <c r="DE462" s="290"/>
      <c r="DF462" s="290"/>
      <c r="DG462" s="290"/>
      <c r="DH462" s="290"/>
      <c r="DI462" s="290"/>
      <c r="DJ462" s="290"/>
      <c r="DK462" s="290"/>
      <c r="DL462" s="290"/>
      <c r="DM462" s="290"/>
      <c r="DN462" s="290"/>
      <c r="DO462" s="290"/>
      <c r="DP462" s="290"/>
      <c r="DQ462" s="290"/>
      <c r="DR462" s="290"/>
      <c r="DS462" s="290"/>
      <c r="DT462" s="290"/>
      <c r="DU462" s="290"/>
      <c r="DV462" s="290"/>
      <c r="DW462" s="290"/>
      <c r="DX462" s="290"/>
      <c r="DY462" s="290"/>
      <c r="DZ462" s="290"/>
      <c r="EA462" s="290"/>
      <c r="EB462" s="290"/>
      <c r="EC462" s="290"/>
      <c r="ED462" s="290"/>
      <c r="EE462" s="290"/>
      <c r="EF462" s="290"/>
      <c r="EG462" s="290"/>
      <c r="EH462" s="290"/>
      <c r="EI462" s="290"/>
      <c r="EJ462" s="290"/>
      <c r="EK462" s="290"/>
      <c r="EL462" s="290"/>
      <c r="EM462" s="290"/>
      <c r="EN462" s="290"/>
      <c r="EO462" s="290"/>
      <c r="EP462" s="290"/>
      <c r="EQ462" s="290"/>
      <c r="ER462" s="290"/>
      <c r="ES462" s="290"/>
      <c r="ET462" s="290"/>
      <c r="EU462" s="290"/>
      <c r="EV462" s="290"/>
      <c r="EW462" s="290"/>
      <c r="EX462" s="290"/>
      <c r="EY462" s="290"/>
      <c r="EZ462" s="290"/>
      <c r="FA462" s="290"/>
      <c r="FB462" s="290"/>
      <c r="FC462" s="290"/>
      <c r="FD462" s="290"/>
      <c r="FE462" s="290"/>
      <c r="FF462" s="290"/>
      <c r="FG462" s="290"/>
      <c r="FH462" s="290"/>
      <c r="FI462" s="290"/>
      <c r="FJ462" s="290"/>
      <c r="FK462" s="290"/>
      <c r="FL462" s="290"/>
      <c r="FM462" s="290"/>
      <c r="FN462" s="290"/>
      <c r="FO462" s="290"/>
      <c r="FP462" s="290"/>
      <c r="FQ462" s="290"/>
      <c r="FR462" s="290"/>
      <c r="FS462" s="290"/>
      <c r="FT462" s="290"/>
      <c r="FU462" s="290"/>
      <c r="FV462" s="290"/>
      <c r="FW462" s="290"/>
      <c r="FX462" s="290"/>
      <c r="FY462" s="290"/>
      <c r="FZ462" s="290"/>
      <c r="GA462" s="290"/>
      <c r="GB462" s="290"/>
      <c r="GC462" s="290"/>
      <c r="GD462" s="290"/>
      <c r="GE462" s="290"/>
      <c r="GF462" s="290"/>
      <c r="GG462" s="290"/>
      <c r="GH462" s="290"/>
      <c r="GI462" s="290"/>
      <c r="GJ462" s="290"/>
      <c r="GK462" s="290"/>
      <c r="GL462" s="290"/>
      <c r="GM462" s="290"/>
      <c r="GN462" s="290"/>
      <c r="GO462" s="290"/>
      <c r="GP462" s="290"/>
      <c r="GQ462" s="290"/>
      <c r="GR462" s="290"/>
      <c r="GS462" s="290"/>
      <c r="GT462" s="290"/>
      <c r="GU462" s="290"/>
      <c r="GV462" s="290"/>
      <c r="GW462" s="290"/>
      <c r="GX462" s="290"/>
      <c r="GY462" s="290"/>
      <c r="GZ462" s="290"/>
      <c r="HA462" s="290"/>
      <c r="HB462" s="290"/>
      <c r="HC462" s="290"/>
      <c r="HD462" s="290"/>
      <c r="HE462" s="290"/>
      <c r="HF462" s="290"/>
      <c r="HG462" s="290"/>
      <c r="HH462" s="290"/>
      <c r="HI462" s="290"/>
      <c r="HJ462" s="290"/>
      <c r="HK462" s="290"/>
      <c r="HL462" s="290"/>
      <c r="HM462" s="290"/>
      <c r="HN462" s="290"/>
      <c r="HO462" s="290"/>
      <c r="HP462" s="290"/>
      <c r="HQ462" s="290"/>
      <c r="HR462" s="290"/>
      <c r="HS462" s="290"/>
      <c r="HT462" s="290"/>
      <c r="HU462" s="290"/>
      <c r="HV462" s="290"/>
      <c r="HW462" s="290"/>
      <c r="HX462" s="290"/>
      <c r="HY462" s="290"/>
      <c r="HZ462" s="290"/>
      <c r="IA462" s="290"/>
      <c r="IB462" s="290"/>
      <c r="IC462" s="290"/>
      <c r="ID462" s="290"/>
      <c r="IE462" s="290"/>
      <c r="IF462" s="290"/>
      <c r="IG462" s="290"/>
      <c r="IH462" s="290"/>
      <c r="II462" s="290"/>
      <c r="IJ462" s="290"/>
      <c r="IK462" s="290"/>
      <c r="IL462" s="290"/>
      <c r="IM462" s="290"/>
      <c r="IN462" s="290"/>
      <c r="IO462" s="290"/>
      <c r="IP462" s="290"/>
      <c r="IQ462" s="290"/>
    </row>
    <row r="463" spans="1:251" ht="39" x14ac:dyDescent="0.3">
      <c r="A463" s="239" t="s">
        <v>1871</v>
      </c>
      <c r="B463" s="21" t="s">
        <v>1852</v>
      </c>
      <c r="C463" s="129" t="s">
        <v>49</v>
      </c>
      <c r="D463" s="166" t="s">
        <v>37</v>
      </c>
      <c r="E463" s="166" t="s">
        <v>38</v>
      </c>
      <c r="F463" s="100" t="s">
        <v>1854</v>
      </c>
      <c r="G463" s="240"/>
      <c r="H463" s="199"/>
      <c r="I463" s="183"/>
      <c r="J463" s="183"/>
      <c r="K463" s="183"/>
      <c r="L463" s="183"/>
      <c r="M463" s="183"/>
      <c r="N463" s="183"/>
      <c r="O463" s="183"/>
      <c r="P463" s="183"/>
      <c r="Q463" s="183"/>
      <c r="R463" s="183"/>
      <c r="S463" s="183"/>
      <c r="T463" s="183"/>
      <c r="U463" s="183"/>
      <c r="V463" s="183"/>
      <c r="W463" s="183"/>
      <c r="X463" s="183"/>
      <c r="Y463" s="183"/>
      <c r="Z463" s="183"/>
      <c r="AA463" s="183"/>
      <c r="AB463" s="183"/>
      <c r="AC463" s="183"/>
      <c r="AD463" s="183"/>
      <c r="AE463" s="183"/>
      <c r="AF463" s="183"/>
      <c r="AG463" s="183"/>
      <c r="AH463" s="183"/>
      <c r="AI463" s="183"/>
      <c r="AJ463" s="183"/>
      <c r="AK463" s="183"/>
      <c r="AL463" s="183"/>
      <c r="AM463" s="183"/>
      <c r="AN463" s="183"/>
      <c r="AO463" s="183"/>
      <c r="AP463" s="183"/>
      <c r="AQ463" s="183"/>
      <c r="AR463" s="183"/>
      <c r="AS463" s="183"/>
      <c r="AT463" s="183"/>
      <c r="AU463" s="183"/>
      <c r="AV463" s="183"/>
      <c r="AW463" s="183"/>
      <c r="AX463" s="183"/>
      <c r="AY463" s="183"/>
      <c r="AZ463" s="183"/>
      <c r="BA463" s="183"/>
      <c r="BB463" s="183"/>
      <c r="BC463" s="183"/>
      <c r="BD463" s="183"/>
      <c r="BE463" s="183"/>
      <c r="BF463" s="183"/>
      <c r="BG463" s="183"/>
      <c r="BH463" s="183"/>
      <c r="BI463" s="183"/>
      <c r="BJ463" s="183"/>
      <c r="BK463" s="183"/>
      <c r="BL463" s="183"/>
      <c r="BM463" s="183"/>
      <c r="BN463" s="183"/>
      <c r="BO463" s="183"/>
      <c r="BP463" s="183"/>
      <c r="BQ463" s="183"/>
      <c r="BR463" s="183"/>
      <c r="BS463" s="183"/>
      <c r="BT463" s="183"/>
      <c r="BU463" s="183"/>
      <c r="BV463" s="183"/>
      <c r="BW463" s="183"/>
      <c r="BX463" s="183"/>
      <c r="BY463" s="183"/>
      <c r="BZ463" s="183"/>
      <c r="CA463" s="183"/>
      <c r="CB463" s="183"/>
      <c r="CC463" s="183"/>
      <c r="CD463" s="183"/>
      <c r="CE463" s="183"/>
      <c r="CF463" s="183"/>
      <c r="CG463" s="183"/>
      <c r="CH463" s="183"/>
      <c r="CI463" s="183"/>
      <c r="CJ463" s="183"/>
      <c r="CK463" s="183"/>
      <c r="CL463" s="183"/>
      <c r="CM463" s="183"/>
      <c r="CN463" s="183"/>
      <c r="CO463" s="183"/>
      <c r="CP463" s="183"/>
      <c r="CQ463" s="183"/>
      <c r="CR463" s="183"/>
      <c r="CS463" s="183"/>
      <c r="CT463" s="183"/>
      <c r="CU463" s="183"/>
      <c r="CV463" s="183"/>
      <c r="CW463" s="183"/>
      <c r="CX463" s="183"/>
      <c r="CY463" s="183"/>
      <c r="CZ463" s="183"/>
      <c r="DA463" s="183"/>
      <c r="DB463" s="183"/>
      <c r="DC463" s="183"/>
      <c r="DD463" s="183"/>
      <c r="DE463" s="183"/>
      <c r="DF463" s="183"/>
      <c r="DG463" s="183"/>
      <c r="DH463" s="183"/>
      <c r="DI463" s="183"/>
      <c r="DJ463" s="183"/>
      <c r="DK463" s="183"/>
      <c r="DL463" s="183"/>
      <c r="DM463" s="183"/>
      <c r="DN463" s="183"/>
      <c r="DO463" s="183"/>
      <c r="DP463" s="183"/>
      <c r="DQ463" s="183"/>
      <c r="DR463" s="183"/>
      <c r="DS463" s="183"/>
      <c r="DT463" s="183"/>
      <c r="DU463" s="183"/>
      <c r="DV463" s="183"/>
      <c r="DW463" s="183"/>
      <c r="DX463" s="183"/>
      <c r="DY463" s="183"/>
      <c r="DZ463" s="183"/>
      <c r="EA463" s="183"/>
      <c r="EB463" s="183"/>
      <c r="EC463" s="183"/>
      <c r="ED463" s="183"/>
      <c r="EE463" s="183"/>
      <c r="EF463" s="183"/>
      <c r="EG463" s="183"/>
      <c r="EH463" s="183"/>
      <c r="EI463" s="183"/>
      <c r="EJ463" s="183"/>
      <c r="EK463" s="183"/>
      <c r="EL463" s="183"/>
      <c r="EM463" s="183"/>
      <c r="EN463" s="183"/>
      <c r="EO463" s="183"/>
      <c r="EP463" s="183"/>
      <c r="EQ463" s="183"/>
      <c r="ER463" s="183"/>
      <c r="ES463" s="183"/>
      <c r="ET463" s="183"/>
      <c r="EU463" s="183"/>
      <c r="EV463" s="183"/>
      <c r="EW463" s="183"/>
      <c r="EX463" s="183"/>
      <c r="EY463" s="183"/>
      <c r="EZ463" s="183"/>
      <c r="FA463" s="183"/>
      <c r="FB463" s="183"/>
      <c r="FC463" s="183"/>
      <c r="FD463" s="183"/>
      <c r="FE463" s="183"/>
      <c r="FF463" s="183"/>
      <c r="FG463" s="183"/>
      <c r="FH463" s="183"/>
      <c r="FI463" s="183"/>
      <c r="FJ463" s="183"/>
      <c r="FK463" s="183"/>
      <c r="FL463" s="183"/>
      <c r="FM463" s="183"/>
      <c r="FN463" s="183"/>
      <c r="FO463" s="183"/>
      <c r="FP463" s="183"/>
      <c r="FQ463" s="183"/>
      <c r="FR463" s="183"/>
      <c r="FS463" s="183"/>
      <c r="FT463" s="183"/>
      <c r="FU463" s="183"/>
      <c r="FV463" s="183"/>
      <c r="FW463" s="183"/>
      <c r="FX463" s="183"/>
      <c r="FY463" s="183"/>
      <c r="FZ463" s="183"/>
      <c r="GA463" s="183"/>
      <c r="GB463" s="183"/>
      <c r="GC463" s="183"/>
      <c r="GD463" s="183"/>
      <c r="GE463" s="183"/>
      <c r="GF463" s="183"/>
      <c r="GG463" s="183"/>
      <c r="GH463" s="183"/>
      <c r="GI463" s="183"/>
      <c r="GJ463" s="183"/>
      <c r="GK463" s="183"/>
      <c r="GL463" s="183"/>
      <c r="GM463" s="183"/>
      <c r="GN463" s="183"/>
      <c r="GO463" s="183"/>
      <c r="GP463" s="183"/>
      <c r="GQ463" s="183"/>
      <c r="GR463" s="183"/>
      <c r="GS463" s="183"/>
      <c r="GT463" s="183"/>
      <c r="GU463" s="183"/>
      <c r="GV463" s="183"/>
      <c r="GW463" s="183"/>
      <c r="GX463" s="183"/>
      <c r="GY463" s="183"/>
      <c r="GZ463" s="183"/>
      <c r="HA463" s="183"/>
      <c r="HB463" s="183"/>
      <c r="HC463" s="183"/>
      <c r="HD463" s="183"/>
      <c r="HE463" s="183"/>
      <c r="HF463" s="183"/>
      <c r="HG463" s="183"/>
      <c r="HH463" s="183"/>
      <c r="HI463" s="183"/>
      <c r="HJ463" s="183"/>
      <c r="HK463" s="183"/>
      <c r="HL463" s="183"/>
      <c r="HM463" s="183"/>
      <c r="HN463" s="183"/>
      <c r="HO463" s="183"/>
      <c r="HP463" s="183"/>
      <c r="HQ463" s="183"/>
      <c r="HR463" s="183"/>
      <c r="HS463" s="183"/>
      <c r="HT463" s="183"/>
      <c r="HU463" s="183"/>
      <c r="HV463" s="183"/>
      <c r="HW463" s="183"/>
      <c r="HX463" s="183"/>
      <c r="HY463" s="183"/>
      <c r="HZ463" s="183"/>
      <c r="IA463" s="183"/>
      <c r="IB463" s="183"/>
      <c r="IC463" s="183"/>
      <c r="ID463" s="183"/>
      <c r="IE463" s="183"/>
      <c r="IF463" s="183"/>
      <c r="IG463" s="183"/>
      <c r="IH463" s="183"/>
      <c r="II463" s="183"/>
      <c r="IJ463" s="183"/>
      <c r="IK463" s="183"/>
      <c r="IL463" s="183"/>
      <c r="IM463" s="183"/>
      <c r="IN463" s="183"/>
      <c r="IO463" s="183"/>
      <c r="IP463" s="183"/>
      <c r="IQ463" s="183"/>
    </row>
    <row r="464" spans="1:251" ht="39" x14ac:dyDescent="0.3">
      <c r="A464" s="83" t="s">
        <v>1703</v>
      </c>
      <c r="B464" s="196" t="s">
        <v>292</v>
      </c>
      <c r="C464" s="191" t="s">
        <v>30</v>
      </c>
      <c r="D464" s="192" t="s">
        <v>31</v>
      </c>
      <c r="E464" s="192" t="s">
        <v>32</v>
      </c>
      <c r="F464" s="114" t="s">
        <v>33</v>
      </c>
      <c r="G464" s="191"/>
      <c r="H464" s="199"/>
      <c r="I464" s="183"/>
      <c r="J464" s="183"/>
      <c r="K464" s="183"/>
      <c r="L464" s="183"/>
      <c r="M464" s="183"/>
      <c r="N464" s="183"/>
      <c r="O464" s="183"/>
      <c r="P464" s="183"/>
      <c r="Q464" s="183"/>
      <c r="R464" s="183"/>
      <c r="S464" s="183"/>
      <c r="T464" s="183"/>
      <c r="U464" s="183"/>
      <c r="V464" s="183"/>
      <c r="W464" s="183"/>
      <c r="X464" s="183"/>
      <c r="Y464" s="183"/>
      <c r="Z464" s="183"/>
      <c r="AA464" s="183"/>
      <c r="AB464" s="183"/>
      <c r="AC464" s="183"/>
      <c r="AD464" s="183"/>
      <c r="AE464" s="183"/>
      <c r="AF464" s="183"/>
      <c r="AG464" s="183"/>
      <c r="AH464" s="183"/>
      <c r="AI464" s="183"/>
      <c r="AJ464" s="183"/>
      <c r="AK464" s="183"/>
      <c r="AL464" s="183"/>
      <c r="AM464" s="183"/>
      <c r="AN464" s="183"/>
      <c r="AO464" s="183"/>
      <c r="AP464" s="183"/>
      <c r="AQ464" s="183"/>
      <c r="AR464" s="183"/>
      <c r="AS464" s="183"/>
      <c r="AT464" s="183"/>
      <c r="AU464" s="183"/>
      <c r="AV464" s="183"/>
      <c r="AW464" s="183"/>
      <c r="AX464" s="183"/>
      <c r="AY464" s="183"/>
      <c r="AZ464" s="183"/>
      <c r="BA464" s="183"/>
      <c r="BB464" s="183"/>
      <c r="BC464" s="183"/>
      <c r="BD464" s="183"/>
      <c r="BE464" s="183"/>
      <c r="BF464" s="183"/>
      <c r="BG464" s="183"/>
      <c r="BH464" s="183"/>
      <c r="BI464" s="183"/>
      <c r="BJ464" s="183"/>
      <c r="BK464" s="183"/>
      <c r="BL464" s="183"/>
      <c r="BM464" s="183"/>
      <c r="BN464" s="183"/>
      <c r="BO464" s="183"/>
      <c r="BP464" s="183"/>
      <c r="BQ464" s="183"/>
      <c r="BR464" s="183"/>
      <c r="BS464" s="183"/>
      <c r="BT464" s="183"/>
      <c r="BU464" s="183"/>
      <c r="BV464" s="183"/>
      <c r="BW464" s="183"/>
      <c r="BX464" s="183"/>
      <c r="BY464" s="183"/>
      <c r="BZ464" s="183"/>
      <c r="CA464" s="183"/>
      <c r="CB464" s="183"/>
      <c r="CC464" s="183"/>
      <c r="CD464" s="183"/>
      <c r="CE464" s="183"/>
      <c r="CF464" s="183"/>
      <c r="CG464" s="183"/>
      <c r="CH464" s="183"/>
      <c r="CI464" s="183"/>
      <c r="CJ464" s="183"/>
      <c r="CK464" s="183"/>
      <c r="CL464" s="183"/>
      <c r="CM464" s="183"/>
      <c r="CN464" s="183"/>
      <c r="CO464" s="183"/>
      <c r="CP464" s="183"/>
      <c r="CQ464" s="183"/>
      <c r="CR464" s="183"/>
      <c r="CS464" s="183"/>
      <c r="CT464" s="183"/>
      <c r="CU464" s="183"/>
      <c r="CV464" s="183"/>
      <c r="CW464" s="183"/>
      <c r="CX464" s="183"/>
      <c r="CY464" s="183"/>
      <c r="CZ464" s="183"/>
      <c r="DA464" s="183"/>
      <c r="DB464" s="183"/>
      <c r="DC464" s="183"/>
      <c r="DD464" s="183"/>
      <c r="DE464" s="183"/>
      <c r="DF464" s="183"/>
      <c r="DG464" s="183"/>
      <c r="DH464" s="183"/>
      <c r="DI464" s="183"/>
      <c r="DJ464" s="183"/>
      <c r="DK464" s="183"/>
      <c r="DL464" s="183"/>
      <c r="DM464" s="183"/>
      <c r="DN464" s="183"/>
      <c r="DO464" s="183"/>
      <c r="DP464" s="183"/>
      <c r="DQ464" s="183"/>
      <c r="DR464" s="183"/>
      <c r="DS464" s="183"/>
      <c r="DT464" s="183"/>
      <c r="DU464" s="183"/>
      <c r="DV464" s="183"/>
      <c r="DW464" s="183"/>
      <c r="DX464" s="183"/>
      <c r="DY464" s="183"/>
      <c r="DZ464" s="183"/>
      <c r="EA464" s="183"/>
      <c r="EB464" s="183"/>
      <c r="EC464" s="183"/>
      <c r="ED464" s="183"/>
      <c r="EE464" s="183"/>
      <c r="EF464" s="183"/>
      <c r="EG464" s="183"/>
      <c r="EH464" s="183"/>
      <c r="EI464" s="183"/>
      <c r="EJ464" s="183"/>
      <c r="EK464" s="183"/>
      <c r="EL464" s="183"/>
      <c r="EM464" s="183"/>
      <c r="EN464" s="183"/>
      <c r="EO464" s="183"/>
      <c r="EP464" s="183"/>
      <c r="EQ464" s="183"/>
      <c r="ER464" s="183"/>
      <c r="ES464" s="183"/>
      <c r="ET464" s="183"/>
      <c r="EU464" s="183"/>
      <c r="EV464" s="183"/>
      <c r="EW464" s="183"/>
      <c r="EX464" s="183"/>
      <c r="EY464" s="183"/>
      <c r="EZ464" s="183"/>
      <c r="FA464" s="183"/>
      <c r="FB464" s="183"/>
      <c r="FC464" s="183"/>
      <c r="FD464" s="183"/>
      <c r="FE464" s="183"/>
      <c r="FF464" s="183"/>
      <c r="FG464" s="183"/>
      <c r="FH464" s="183"/>
      <c r="FI464" s="183"/>
      <c r="FJ464" s="183"/>
      <c r="FK464" s="183"/>
      <c r="FL464" s="183"/>
      <c r="FM464" s="183"/>
      <c r="FN464" s="183"/>
      <c r="FO464" s="183"/>
      <c r="FP464" s="183"/>
      <c r="FQ464" s="183"/>
      <c r="FR464" s="183"/>
      <c r="FS464" s="183"/>
      <c r="FT464" s="183"/>
      <c r="FU464" s="183"/>
      <c r="FV464" s="183"/>
      <c r="FW464" s="183"/>
      <c r="FX464" s="183"/>
      <c r="FY464" s="183"/>
      <c r="FZ464" s="183"/>
      <c r="GA464" s="183"/>
      <c r="GB464" s="183"/>
      <c r="GC464" s="183"/>
      <c r="GD464" s="183"/>
      <c r="GE464" s="183"/>
      <c r="GF464" s="183"/>
      <c r="GG464" s="183"/>
      <c r="GH464" s="183"/>
      <c r="GI464" s="183"/>
      <c r="GJ464" s="183"/>
      <c r="GK464" s="183"/>
      <c r="GL464" s="183"/>
      <c r="GM464" s="183"/>
      <c r="GN464" s="183"/>
      <c r="GO464" s="183"/>
      <c r="GP464" s="183"/>
      <c r="GQ464" s="183"/>
      <c r="GR464" s="183"/>
      <c r="GS464" s="183"/>
      <c r="GT464" s="183"/>
      <c r="GU464" s="183"/>
      <c r="GV464" s="183"/>
      <c r="GW464" s="183"/>
      <c r="GX464" s="183"/>
      <c r="GY464" s="183"/>
      <c r="GZ464" s="183"/>
      <c r="HA464" s="183"/>
      <c r="HB464" s="183"/>
      <c r="HC464" s="183"/>
      <c r="HD464" s="183"/>
      <c r="HE464" s="183"/>
      <c r="HF464" s="183"/>
      <c r="HG464" s="183"/>
      <c r="HH464" s="183"/>
      <c r="HI464" s="183"/>
      <c r="HJ464" s="183"/>
      <c r="HK464" s="183"/>
      <c r="HL464" s="183"/>
      <c r="HM464" s="183"/>
      <c r="HN464" s="183"/>
      <c r="HO464" s="183"/>
      <c r="HP464" s="183"/>
      <c r="HQ464" s="183"/>
      <c r="HR464" s="183"/>
      <c r="HS464" s="183"/>
      <c r="HT464" s="183"/>
      <c r="HU464" s="183"/>
      <c r="HV464" s="183"/>
      <c r="HW464" s="183"/>
      <c r="HX464" s="183"/>
      <c r="HY464" s="183"/>
      <c r="HZ464" s="183"/>
      <c r="IA464" s="183"/>
      <c r="IB464" s="183"/>
      <c r="IC464" s="183"/>
      <c r="ID464" s="183"/>
      <c r="IE464" s="183"/>
      <c r="IF464" s="183"/>
      <c r="IG464" s="183"/>
      <c r="IH464" s="183"/>
      <c r="II464" s="183"/>
      <c r="IJ464" s="183"/>
      <c r="IK464" s="183"/>
      <c r="IL464" s="183"/>
      <c r="IM464" s="183"/>
      <c r="IN464" s="183"/>
      <c r="IO464" s="183"/>
      <c r="IP464" s="183"/>
      <c r="IQ464" s="183"/>
    </row>
    <row r="465" spans="1:251" x14ac:dyDescent="0.3">
      <c r="A465" s="268" t="s">
        <v>1872</v>
      </c>
      <c r="B465" s="271" t="s">
        <v>46</v>
      </c>
      <c r="C465" s="274" t="s">
        <v>36</v>
      </c>
      <c r="D465" s="265" t="s">
        <v>37</v>
      </c>
      <c r="E465" s="265" t="s">
        <v>38</v>
      </c>
      <c r="F465" s="108" t="s">
        <v>233</v>
      </c>
      <c r="G465" s="286"/>
      <c r="H465" s="289"/>
      <c r="I465" s="290"/>
      <c r="J465" s="290"/>
      <c r="K465" s="290"/>
      <c r="L465" s="290"/>
      <c r="M465" s="290"/>
      <c r="N465" s="290"/>
      <c r="O465" s="290"/>
      <c r="P465" s="290"/>
      <c r="Q465" s="290"/>
      <c r="R465" s="290"/>
      <c r="S465" s="290"/>
      <c r="T465" s="290"/>
      <c r="U465" s="290"/>
      <c r="V465" s="290"/>
      <c r="W465" s="290"/>
      <c r="X465" s="290"/>
      <c r="Y465" s="290"/>
      <c r="Z465" s="290"/>
      <c r="AA465" s="290"/>
      <c r="AB465" s="290"/>
      <c r="AC465" s="290"/>
      <c r="AD465" s="290"/>
      <c r="AE465" s="290"/>
      <c r="AF465" s="290"/>
      <c r="AG465" s="290"/>
      <c r="AH465" s="290"/>
      <c r="AI465" s="290"/>
      <c r="AJ465" s="290"/>
      <c r="AK465" s="290"/>
      <c r="AL465" s="290"/>
      <c r="AM465" s="290"/>
      <c r="AN465" s="290"/>
      <c r="AO465" s="290"/>
      <c r="AP465" s="290"/>
      <c r="AQ465" s="290"/>
      <c r="AR465" s="290"/>
      <c r="AS465" s="290"/>
      <c r="AT465" s="290"/>
      <c r="AU465" s="290"/>
      <c r="AV465" s="290"/>
      <c r="AW465" s="290"/>
      <c r="AX465" s="290"/>
      <c r="AY465" s="290"/>
      <c r="AZ465" s="290"/>
      <c r="BA465" s="290"/>
      <c r="BB465" s="290"/>
      <c r="BC465" s="290"/>
      <c r="BD465" s="290"/>
      <c r="BE465" s="290"/>
      <c r="BF465" s="290"/>
      <c r="BG465" s="290"/>
      <c r="BH465" s="290"/>
      <c r="BI465" s="290"/>
      <c r="BJ465" s="290"/>
      <c r="BK465" s="290"/>
      <c r="BL465" s="290"/>
      <c r="BM465" s="290"/>
      <c r="BN465" s="290"/>
      <c r="BO465" s="290"/>
      <c r="BP465" s="290"/>
      <c r="BQ465" s="290"/>
      <c r="BR465" s="290"/>
      <c r="BS465" s="290"/>
      <c r="BT465" s="290"/>
      <c r="BU465" s="290"/>
      <c r="BV465" s="290"/>
      <c r="BW465" s="290"/>
      <c r="BX465" s="290"/>
      <c r="BY465" s="290"/>
      <c r="BZ465" s="290"/>
      <c r="CA465" s="290"/>
      <c r="CB465" s="290"/>
      <c r="CC465" s="290"/>
      <c r="CD465" s="290"/>
      <c r="CE465" s="290"/>
      <c r="CF465" s="290"/>
      <c r="CG465" s="290"/>
      <c r="CH465" s="290"/>
      <c r="CI465" s="290"/>
      <c r="CJ465" s="290"/>
      <c r="CK465" s="290"/>
      <c r="CL465" s="290"/>
      <c r="CM465" s="290"/>
      <c r="CN465" s="290"/>
      <c r="CO465" s="290"/>
      <c r="CP465" s="290"/>
      <c r="CQ465" s="290"/>
      <c r="CR465" s="290"/>
      <c r="CS465" s="290"/>
      <c r="CT465" s="290"/>
      <c r="CU465" s="290"/>
      <c r="CV465" s="290"/>
      <c r="CW465" s="290"/>
      <c r="CX465" s="290"/>
      <c r="CY465" s="290"/>
      <c r="CZ465" s="290"/>
      <c r="DA465" s="290"/>
      <c r="DB465" s="290"/>
      <c r="DC465" s="290"/>
      <c r="DD465" s="290"/>
      <c r="DE465" s="290"/>
      <c r="DF465" s="290"/>
      <c r="DG465" s="290"/>
      <c r="DH465" s="290"/>
      <c r="DI465" s="290"/>
      <c r="DJ465" s="290"/>
      <c r="DK465" s="290"/>
      <c r="DL465" s="290"/>
      <c r="DM465" s="290"/>
      <c r="DN465" s="290"/>
      <c r="DO465" s="290"/>
      <c r="DP465" s="290"/>
      <c r="DQ465" s="290"/>
      <c r="DR465" s="290"/>
      <c r="DS465" s="290"/>
      <c r="DT465" s="290"/>
      <c r="DU465" s="290"/>
      <c r="DV465" s="290"/>
      <c r="DW465" s="290"/>
      <c r="DX465" s="290"/>
      <c r="DY465" s="290"/>
      <c r="DZ465" s="290"/>
      <c r="EA465" s="290"/>
      <c r="EB465" s="290"/>
      <c r="EC465" s="290"/>
      <c r="ED465" s="290"/>
      <c r="EE465" s="290"/>
      <c r="EF465" s="290"/>
      <c r="EG465" s="290"/>
      <c r="EH465" s="290"/>
      <c r="EI465" s="290"/>
      <c r="EJ465" s="290"/>
      <c r="EK465" s="290"/>
      <c r="EL465" s="290"/>
      <c r="EM465" s="290"/>
      <c r="EN465" s="290"/>
      <c r="EO465" s="290"/>
      <c r="EP465" s="290"/>
      <c r="EQ465" s="290"/>
      <c r="ER465" s="290"/>
      <c r="ES465" s="290"/>
      <c r="ET465" s="290"/>
      <c r="EU465" s="290"/>
      <c r="EV465" s="290"/>
      <c r="EW465" s="290"/>
      <c r="EX465" s="290"/>
      <c r="EY465" s="290"/>
      <c r="EZ465" s="290"/>
      <c r="FA465" s="290"/>
      <c r="FB465" s="290"/>
      <c r="FC465" s="290"/>
      <c r="FD465" s="290"/>
      <c r="FE465" s="290"/>
      <c r="FF465" s="290"/>
      <c r="FG465" s="290"/>
      <c r="FH465" s="290"/>
      <c r="FI465" s="290"/>
      <c r="FJ465" s="290"/>
      <c r="FK465" s="290"/>
      <c r="FL465" s="290"/>
      <c r="FM465" s="290"/>
      <c r="FN465" s="290"/>
      <c r="FO465" s="290"/>
      <c r="FP465" s="290"/>
      <c r="FQ465" s="290"/>
      <c r="FR465" s="290"/>
      <c r="FS465" s="290"/>
      <c r="FT465" s="290"/>
      <c r="FU465" s="290"/>
      <c r="FV465" s="290"/>
      <c r="FW465" s="290"/>
      <c r="FX465" s="290"/>
      <c r="FY465" s="290"/>
      <c r="FZ465" s="290"/>
      <c r="GA465" s="290"/>
      <c r="GB465" s="290"/>
      <c r="GC465" s="290"/>
      <c r="GD465" s="290"/>
      <c r="GE465" s="290"/>
      <c r="GF465" s="290"/>
      <c r="GG465" s="290"/>
      <c r="GH465" s="290"/>
      <c r="GI465" s="290"/>
      <c r="GJ465" s="290"/>
      <c r="GK465" s="290"/>
      <c r="GL465" s="290"/>
      <c r="GM465" s="290"/>
      <c r="GN465" s="290"/>
      <c r="GO465" s="290"/>
      <c r="GP465" s="290"/>
      <c r="GQ465" s="290"/>
      <c r="GR465" s="290"/>
      <c r="GS465" s="290"/>
      <c r="GT465" s="290"/>
      <c r="GU465" s="290"/>
      <c r="GV465" s="290"/>
      <c r="GW465" s="290"/>
      <c r="GX465" s="290"/>
      <c r="GY465" s="290"/>
      <c r="GZ465" s="290"/>
      <c r="HA465" s="290"/>
      <c r="HB465" s="290"/>
      <c r="HC465" s="290"/>
      <c r="HD465" s="290"/>
      <c r="HE465" s="290"/>
      <c r="HF465" s="290"/>
      <c r="HG465" s="290"/>
      <c r="HH465" s="290"/>
      <c r="HI465" s="290"/>
      <c r="HJ465" s="290"/>
      <c r="HK465" s="290"/>
      <c r="HL465" s="290"/>
      <c r="HM465" s="290"/>
      <c r="HN465" s="290"/>
      <c r="HO465" s="290"/>
      <c r="HP465" s="290"/>
      <c r="HQ465" s="290"/>
      <c r="HR465" s="290"/>
      <c r="HS465" s="290"/>
      <c r="HT465" s="290"/>
      <c r="HU465" s="290"/>
      <c r="HV465" s="290"/>
      <c r="HW465" s="290"/>
      <c r="HX465" s="290"/>
      <c r="HY465" s="290"/>
      <c r="HZ465" s="290"/>
      <c r="IA465" s="290"/>
      <c r="IB465" s="290"/>
      <c r="IC465" s="290"/>
      <c r="ID465" s="290"/>
      <c r="IE465" s="290"/>
      <c r="IF465" s="290"/>
      <c r="IG465" s="290"/>
      <c r="IH465" s="290"/>
      <c r="II465" s="290"/>
      <c r="IJ465" s="290"/>
      <c r="IK465" s="290"/>
      <c r="IL465" s="290"/>
      <c r="IM465" s="290"/>
      <c r="IN465" s="290"/>
      <c r="IO465" s="290"/>
      <c r="IP465" s="290"/>
      <c r="IQ465" s="290"/>
    </row>
    <row r="466" spans="1:251" x14ac:dyDescent="0.3">
      <c r="A466" s="269"/>
      <c r="B466" s="272"/>
      <c r="C466" s="275"/>
      <c r="D466" s="266"/>
      <c r="E466" s="266"/>
      <c r="F466" s="109" t="s">
        <v>234</v>
      </c>
      <c r="G466" s="287"/>
      <c r="H466" s="289"/>
      <c r="I466" s="290"/>
      <c r="J466" s="290"/>
      <c r="K466" s="290"/>
      <c r="L466" s="290"/>
      <c r="M466" s="290"/>
      <c r="N466" s="290"/>
      <c r="O466" s="290"/>
      <c r="P466" s="290"/>
      <c r="Q466" s="290"/>
      <c r="R466" s="290"/>
      <c r="S466" s="290"/>
      <c r="T466" s="290"/>
      <c r="U466" s="290"/>
      <c r="V466" s="290"/>
      <c r="W466" s="290"/>
      <c r="X466" s="290"/>
      <c r="Y466" s="290"/>
      <c r="Z466" s="290"/>
      <c r="AA466" s="290"/>
      <c r="AB466" s="290"/>
      <c r="AC466" s="290"/>
      <c r="AD466" s="290"/>
      <c r="AE466" s="290"/>
      <c r="AF466" s="290"/>
      <c r="AG466" s="290"/>
      <c r="AH466" s="290"/>
      <c r="AI466" s="290"/>
      <c r="AJ466" s="290"/>
      <c r="AK466" s="290"/>
      <c r="AL466" s="290"/>
      <c r="AM466" s="290"/>
      <c r="AN466" s="290"/>
      <c r="AO466" s="290"/>
      <c r="AP466" s="290"/>
      <c r="AQ466" s="290"/>
      <c r="AR466" s="290"/>
      <c r="AS466" s="290"/>
      <c r="AT466" s="290"/>
      <c r="AU466" s="290"/>
      <c r="AV466" s="290"/>
      <c r="AW466" s="290"/>
      <c r="AX466" s="290"/>
      <c r="AY466" s="290"/>
      <c r="AZ466" s="290"/>
      <c r="BA466" s="290"/>
      <c r="BB466" s="290"/>
      <c r="BC466" s="290"/>
      <c r="BD466" s="290"/>
      <c r="BE466" s="290"/>
      <c r="BF466" s="290"/>
      <c r="BG466" s="290"/>
      <c r="BH466" s="290"/>
      <c r="BI466" s="290"/>
      <c r="BJ466" s="290"/>
      <c r="BK466" s="290"/>
      <c r="BL466" s="290"/>
      <c r="BM466" s="290"/>
      <c r="BN466" s="290"/>
      <c r="BO466" s="290"/>
      <c r="BP466" s="290"/>
      <c r="BQ466" s="290"/>
      <c r="BR466" s="290"/>
      <c r="BS466" s="290"/>
      <c r="BT466" s="290"/>
      <c r="BU466" s="290"/>
      <c r="BV466" s="290"/>
      <c r="BW466" s="290"/>
      <c r="BX466" s="290"/>
      <c r="BY466" s="290"/>
      <c r="BZ466" s="290"/>
      <c r="CA466" s="290"/>
      <c r="CB466" s="290"/>
      <c r="CC466" s="290"/>
      <c r="CD466" s="290"/>
      <c r="CE466" s="290"/>
      <c r="CF466" s="290"/>
      <c r="CG466" s="290"/>
      <c r="CH466" s="290"/>
      <c r="CI466" s="290"/>
      <c r="CJ466" s="290"/>
      <c r="CK466" s="290"/>
      <c r="CL466" s="290"/>
      <c r="CM466" s="290"/>
      <c r="CN466" s="290"/>
      <c r="CO466" s="290"/>
      <c r="CP466" s="290"/>
      <c r="CQ466" s="290"/>
      <c r="CR466" s="290"/>
      <c r="CS466" s="290"/>
      <c r="CT466" s="290"/>
      <c r="CU466" s="290"/>
      <c r="CV466" s="290"/>
      <c r="CW466" s="290"/>
      <c r="CX466" s="290"/>
      <c r="CY466" s="290"/>
      <c r="CZ466" s="290"/>
      <c r="DA466" s="290"/>
      <c r="DB466" s="290"/>
      <c r="DC466" s="290"/>
      <c r="DD466" s="290"/>
      <c r="DE466" s="290"/>
      <c r="DF466" s="290"/>
      <c r="DG466" s="290"/>
      <c r="DH466" s="290"/>
      <c r="DI466" s="290"/>
      <c r="DJ466" s="290"/>
      <c r="DK466" s="290"/>
      <c r="DL466" s="290"/>
      <c r="DM466" s="290"/>
      <c r="DN466" s="290"/>
      <c r="DO466" s="290"/>
      <c r="DP466" s="290"/>
      <c r="DQ466" s="290"/>
      <c r="DR466" s="290"/>
      <c r="DS466" s="290"/>
      <c r="DT466" s="290"/>
      <c r="DU466" s="290"/>
      <c r="DV466" s="290"/>
      <c r="DW466" s="290"/>
      <c r="DX466" s="290"/>
      <c r="DY466" s="290"/>
      <c r="DZ466" s="290"/>
      <c r="EA466" s="290"/>
      <c r="EB466" s="290"/>
      <c r="EC466" s="290"/>
      <c r="ED466" s="290"/>
      <c r="EE466" s="290"/>
      <c r="EF466" s="290"/>
      <c r="EG466" s="290"/>
      <c r="EH466" s="290"/>
      <c r="EI466" s="290"/>
      <c r="EJ466" s="290"/>
      <c r="EK466" s="290"/>
      <c r="EL466" s="290"/>
      <c r="EM466" s="290"/>
      <c r="EN466" s="290"/>
      <c r="EO466" s="290"/>
      <c r="EP466" s="290"/>
      <c r="EQ466" s="290"/>
      <c r="ER466" s="290"/>
      <c r="ES466" s="290"/>
      <c r="ET466" s="290"/>
      <c r="EU466" s="290"/>
      <c r="EV466" s="290"/>
      <c r="EW466" s="290"/>
      <c r="EX466" s="290"/>
      <c r="EY466" s="290"/>
      <c r="EZ466" s="290"/>
      <c r="FA466" s="290"/>
      <c r="FB466" s="290"/>
      <c r="FC466" s="290"/>
      <c r="FD466" s="290"/>
      <c r="FE466" s="290"/>
      <c r="FF466" s="290"/>
      <c r="FG466" s="290"/>
      <c r="FH466" s="290"/>
      <c r="FI466" s="290"/>
      <c r="FJ466" s="290"/>
      <c r="FK466" s="290"/>
      <c r="FL466" s="290"/>
      <c r="FM466" s="290"/>
      <c r="FN466" s="290"/>
      <c r="FO466" s="290"/>
      <c r="FP466" s="290"/>
      <c r="FQ466" s="290"/>
      <c r="FR466" s="290"/>
      <c r="FS466" s="290"/>
      <c r="FT466" s="290"/>
      <c r="FU466" s="290"/>
      <c r="FV466" s="290"/>
      <c r="FW466" s="290"/>
      <c r="FX466" s="290"/>
      <c r="FY466" s="290"/>
      <c r="FZ466" s="290"/>
      <c r="GA466" s="290"/>
      <c r="GB466" s="290"/>
      <c r="GC466" s="290"/>
      <c r="GD466" s="290"/>
      <c r="GE466" s="290"/>
      <c r="GF466" s="290"/>
      <c r="GG466" s="290"/>
      <c r="GH466" s="290"/>
      <c r="GI466" s="290"/>
      <c r="GJ466" s="290"/>
      <c r="GK466" s="290"/>
      <c r="GL466" s="290"/>
      <c r="GM466" s="290"/>
      <c r="GN466" s="290"/>
      <c r="GO466" s="290"/>
      <c r="GP466" s="290"/>
      <c r="GQ466" s="290"/>
      <c r="GR466" s="290"/>
      <c r="GS466" s="290"/>
      <c r="GT466" s="290"/>
      <c r="GU466" s="290"/>
      <c r="GV466" s="290"/>
      <c r="GW466" s="290"/>
      <c r="GX466" s="290"/>
      <c r="GY466" s="290"/>
      <c r="GZ466" s="290"/>
      <c r="HA466" s="290"/>
      <c r="HB466" s="290"/>
      <c r="HC466" s="290"/>
      <c r="HD466" s="290"/>
      <c r="HE466" s="290"/>
      <c r="HF466" s="290"/>
      <c r="HG466" s="290"/>
      <c r="HH466" s="290"/>
      <c r="HI466" s="290"/>
      <c r="HJ466" s="290"/>
      <c r="HK466" s="290"/>
      <c r="HL466" s="290"/>
      <c r="HM466" s="290"/>
      <c r="HN466" s="290"/>
      <c r="HO466" s="290"/>
      <c r="HP466" s="290"/>
      <c r="HQ466" s="290"/>
      <c r="HR466" s="290"/>
      <c r="HS466" s="290"/>
      <c r="HT466" s="290"/>
      <c r="HU466" s="290"/>
      <c r="HV466" s="290"/>
      <c r="HW466" s="290"/>
      <c r="HX466" s="290"/>
      <c r="HY466" s="290"/>
      <c r="HZ466" s="290"/>
      <c r="IA466" s="290"/>
      <c r="IB466" s="290"/>
      <c r="IC466" s="290"/>
      <c r="ID466" s="290"/>
      <c r="IE466" s="290"/>
      <c r="IF466" s="290"/>
      <c r="IG466" s="290"/>
      <c r="IH466" s="290"/>
      <c r="II466" s="290"/>
      <c r="IJ466" s="290"/>
      <c r="IK466" s="290"/>
      <c r="IL466" s="290"/>
      <c r="IM466" s="290"/>
      <c r="IN466" s="290"/>
      <c r="IO466" s="290"/>
      <c r="IP466" s="290"/>
      <c r="IQ466" s="290"/>
    </row>
    <row r="467" spans="1:251" x14ac:dyDescent="0.3">
      <c r="A467" s="270"/>
      <c r="B467" s="273"/>
      <c r="C467" s="276"/>
      <c r="D467" s="267"/>
      <c r="E467" s="267"/>
      <c r="F467" s="110" t="s">
        <v>235</v>
      </c>
      <c r="G467" s="288"/>
      <c r="H467" s="289"/>
      <c r="I467" s="290"/>
      <c r="J467" s="290"/>
      <c r="K467" s="290"/>
      <c r="L467" s="290"/>
      <c r="M467" s="290"/>
      <c r="N467" s="290"/>
      <c r="O467" s="290"/>
      <c r="P467" s="290"/>
      <c r="Q467" s="290"/>
      <c r="R467" s="290"/>
      <c r="S467" s="290"/>
      <c r="T467" s="290"/>
      <c r="U467" s="290"/>
      <c r="V467" s="290"/>
      <c r="W467" s="290"/>
      <c r="X467" s="290"/>
      <c r="Y467" s="290"/>
      <c r="Z467" s="290"/>
      <c r="AA467" s="290"/>
      <c r="AB467" s="290"/>
      <c r="AC467" s="290"/>
      <c r="AD467" s="290"/>
      <c r="AE467" s="290"/>
      <c r="AF467" s="290"/>
      <c r="AG467" s="290"/>
      <c r="AH467" s="290"/>
      <c r="AI467" s="290"/>
      <c r="AJ467" s="290"/>
      <c r="AK467" s="290"/>
      <c r="AL467" s="290"/>
      <c r="AM467" s="290"/>
      <c r="AN467" s="290"/>
      <c r="AO467" s="290"/>
      <c r="AP467" s="290"/>
      <c r="AQ467" s="290"/>
      <c r="AR467" s="290"/>
      <c r="AS467" s="290"/>
      <c r="AT467" s="290"/>
      <c r="AU467" s="290"/>
      <c r="AV467" s="290"/>
      <c r="AW467" s="290"/>
      <c r="AX467" s="290"/>
      <c r="AY467" s="290"/>
      <c r="AZ467" s="290"/>
      <c r="BA467" s="290"/>
      <c r="BB467" s="290"/>
      <c r="BC467" s="290"/>
      <c r="BD467" s="290"/>
      <c r="BE467" s="290"/>
      <c r="BF467" s="290"/>
      <c r="BG467" s="290"/>
      <c r="BH467" s="290"/>
      <c r="BI467" s="290"/>
      <c r="BJ467" s="290"/>
      <c r="BK467" s="290"/>
      <c r="BL467" s="290"/>
      <c r="BM467" s="290"/>
      <c r="BN467" s="290"/>
      <c r="BO467" s="290"/>
      <c r="BP467" s="290"/>
      <c r="BQ467" s="290"/>
      <c r="BR467" s="290"/>
      <c r="BS467" s="290"/>
      <c r="BT467" s="290"/>
      <c r="BU467" s="290"/>
      <c r="BV467" s="290"/>
      <c r="BW467" s="290"/>
      <c r="BX467" s="290"/>
      <c r="BY467" s="290"/>
      <c r="BZ467" s="290"/>
      <c r="CA467" s="290"/>
      <c r="CB467" s="290"/>
      <c r="CC467" s="290"/>
      <c r="CD467" s="290"/>
      <c r="CE467" s="290"/>
      <c r="CF467" s="290"/>
      <c r="CG467" s="290"/>
      <c r="CH467" s="290"/>
      <c r="CI467" s="290"/>
      <c r="CJ467" s="290"/>
      <c r="CK467" s="290"/>
      <c r="CL467" s="290"/>
      <c r="CM467" s="290"/>
      <c r="CN467" s="290"/>
      <c r="CO467" s="290"/>
      <c r="CP467" s="290"/>
      <c r="CQ467" s="290"/>
      <c r="CR467" s="290"/>
      <c r="CS467" s="290"/>
      <c r="CT467" s="290"/>
      <c r="CU467" s="290"/>
      <c r="CV467" s="290"/>
      <c r="CW467" s="290"/>
      <c r="CX467" s="290"/>
      <c r="CY467" s="290"/>
      <c r="CZ467" s="290"/>
      <c r="DA467" s="290"/>
      <c r="DB467" s="290"/>
      <c r="DC467" s="290"/>
      <c r="DD467" s="290"/>
      <c r="DE467" s="290"/>
      <c r="DF467" s="290"/>
      <c r="DG467" s="290"/>
      <c r="DH467" s="290"/>
      <c r="DI467" s="290"/>
      <c r="DJ467" s="290"/>
      <c r="DK467" s="290"/>
      <c r="DL467" s="290"/>
      <c r="DM467" s="290"/>
      <c r="DN467" s="290"/>
      <c r="DO467" s="290"/>
      <c r="DP467" s="290"/>
      <c r="DQ467" s="290"/>
      <c r="DR467" s="290"/>
      <c r="DS467" s="290"/>
      <c r="DT467" s="290"/>
      <c r="DU467" s="290"/>
      <c r="DV467" s="290"/>
      <c r="DW467" s="290"/>
      <c r="DX467" s="290"/>
      <c r="DY467" s="290"/>
      <c r="DZ467" s="290"/>
      <c r="EA467" s="290"/>
      <c r="EB467" s="290"/>
      <c r="EC467" s="290"/>
      <c r="ED467" s="290"/>
      <c r="EE467" s="290"/>
      <c r="EF467" s="290"/>
      <c r="EG467" s="290"/>
      <c r="EH467" s="290"/>
      <c r="EI467" s="290"/>
      <c r="EJ467" s="290"/>
      <c r="EK467" s="290"/>
      <c r="EL467" s="290"/>
      <c r="EM467" s="290"/>
      <c r="EN467" s="290"/>
      <c r="EO467" s="290"/>
      <c r="EP467" s="290"/>
      <c r="EQ467" s="290"/>
      <c r="ER467" s="290"/>
      <c r="ES467" s="290"/>
      <c r="ET467" s="290"/>
      <c r="EU467" s="290"/>
      <c r="EV467" s="290"/>
      <c r="EW467" s="290"/>
      <c r="EX467" s="290"/>
      <c r="EY467" s="290"/>
      <c r="EZ467" s="290"/>
      <c r="FA467" s="290"/>
      <c r="FB467" s="290"/>
      <c r="FC467" s="290"/>
      <c r="FD467" s="290"/>
      <c r="FE467" s="290"/>
      <c r="FF467" s="290"/>
      <c r="FG467" s="290"/>
      <c r="FH467" s="290"/>
      <c r="FI467" s="290"/>
      <c r="FJ467" s="290"/>
      <c r="FK467" s="290"/>
      <c r="FL467" s="290"/>
      <c r="FM467" s="290"/>
      <c r="FN467" s="290"/>
      <c r="FO467" s="290"/>
      <c r="FP467" s="290"/>
      <c r="FQ467" s="290"/>
      <c r="FR467" s="290"/>
      <c r="FS467" s="290"/>
      <c r="FT467" s="290"/>
      <c r="FU467" s="290"/>
      <c r="FV467" s="290"/>
      <c r="FW467" s="290"/>
      <c r="FX467" s="290"/>
      <c r="FY467" s="290"/>
      <c r="FZ467" s="290"/>
      <c r="GA467" s="290"/>
      <c r="GB467" s="290"/>
      <c r="GC467" s="290"/>
      <c r="GD467" s="290"/>
      <c r="GE467" s="290"/>
      <c r="GF467" s="290"/>
      <c r="GG467" s="290"/>
      <c r="GH467" s="290"/>
      <c r="GI467" s="290"/>
      <c r="GJ467" s="290"/>
      <c r="GK467" s="290"/>
      <c r="GL467" s="290"/>
      <c r="GM467" s="290"/>
      <c r="GN467" s="290"/>
      <c r="GO467" s="290"/>
      <c r="GP467" s="290"/>
      <c r="GQ467" s="290"/>
      <c r="GR467" s="290"/>
      <c r="GS467" s="290"/>
      <c r="GT467" s="290"/>
      <c r="GU467" s="290"/>
      <c r="GV467" s="290"/>
      <c r="GW467" s="290"/>
      <c r="GX467" s="290"/>
      <c r="GY467" s="290"/>
      <c r="GZ467" s="290"/>
      <c r="HA467" s="290"/>
      <c r="HB467" s="290"/>
      <c r="HC467" s="290"/>
      <c r="HD467" s="290"/>
      <c r="HE467" s="290"/>
      <c r="HF467" s="290"/>
      <c r="HG467" s="290"/>
      <c r="HH467" s="290"/>
      <c r="HI467" s="290"/>
      <c r="HJ467" s="290"/>
      <c r="HK467" s="290"/>
      <c r="HL467" s="290"/>
      <c r="HM467" s="290"/>
      <c r="HN467" s="290"/>
      <c r="HO467" s="290"/>
      <c r="HP467" s="290"/>
      <c r="HQ467" s="290"/>
      <c r="HR467" s="290"/>
      <c r="HS467" s="290"/>
      <c r="HT467" s="290"/>
      <c r="HU467" s="290"/>
      <c r="HV467" s="290"/>
      <c r="HW467" s="290"/>
      <c r="HX467" s="290"/>
      <c r="HY467" s="290"/>
      <c r="HZ467" s="290"/>
      <c r="IA467" s="290"/>
      <c r="IB467" s="290"/>
      <c r="IC467" s="290"/>
      <c r="ID467" s="290"/>
      <c r="IE467" s="290"/>
      <c r="IF467" s="290"/>
      <c r="IG467" s="290"/>
      <c r="IH467" s="290"/>
      <c r="II467" s="290"/>
      <c r="IJ467" s="290"/>
      <c r="IK467" s="290"/>
      <c r="IL467" s="290"/>
      <c r="IM467" s="290"/>
      <c r="IN467" s="290"/>
      <c r="IO467" s="290"/>
      <c r="IP467" s="290"/>
      <c r="IQ467" s="290"/>
    </row>
    <row r="468" spans="1:251" x14ac:dyDescent="0.3">
      <c r="A468" s="268" t="s">
        <v>1872</v>
      </c>
      <c r="B468" s="271" t="s">
        <v>48</v>
      </c>
      <c r="C468" s="274" t="s">
        <v>49</v>
      </c>
      <c r="D468" s="265" t="s">
        <v>37</v>
      </c>
      <c r="E468" s="265" t="s">
        <v>38</v>
      </c>
      <c r="F468" s="111" t="s">
        <v>236</v>
      </c>
      <c r="G468" s="286"/>
      <c r="H468" s="289"/>
      <c r="I468" s="290"/>
      <c r="J468" s="290"/>
      <c r="K468" s="290"/>
      <c r="L468" s="290"/>
      <c r="M468" s="290"/>
      <c r="N468" s="290"/>
      <c r="O468" s="290"/>
      <c r="P468" s="290"/>
      <c r="Q468" s="290"/>
      <c r="R468" s="290"/>
      <c r="S468" s="290"/>
      <c r="T468" s="290"/>
      <c r="U468" s="290"/>
      <c r="V468" s="290"/>
      <c r="W468" s="290"/>
      <c r="X468" s="290"/>
      <c r="Y468" s="290"/>
      <c r="Z468" s="290"/>
      <c r="AA468" s="290"/>
      <c r="AB468" s="290"/>
      <c r="AC468" s="290"/>
      <c r="AD468" s="290"/>
      <c r="AE468" s="290"/>
      <c r="AF468" s="290"/>
      <c r="AG468" s="290"/>
      <c r="AH468" s="290"/>
      <c r="AI468" s="290"/>
      <c r="AJ468" s="290"/>
      <c r="AK468" s="290"/>
      <c r="AL468" s="290"/>
      <c r="AM468" s="290"/>
      <c r="AN468" s="290"/>
      <c r="AO468" s="290"/>
      <c r="AP468" s="290"/>
      <c r="AQ468" s="290"/>
      <c r="AR468" s="290"/>
      <c r="AS468" s="290"/>
      <c r="AT468" s="290"/>
      <c r="AU468" s="290"/>
      <c r="AV468" s="290"/>
      <c r="AW468" s="290"/>
      <c r="AX468" s="290"/>
      <c r="AY468" s="290"/>
      <c r="AZ468" s="290"/>
      <c r="BA468" s="290"/>
      <c r="BB468" s="290"/>
      <c r="BC468" s="290"/>
      <c r="BD468" s="290"/>
      <c r="BE468" s="290"/>
      <c r="BF468" s="290"/>
      <c r="BG468" s="290"/>
      <c r="BH468" s="290"/>
      <c r="BI468" s="290"/>
      <c r="BJ468" s="290"/>
      <c r="BK468" s="290"/>
      <c r="BL468" s="290"/>
      <c r="BM468" s="290"/>
      <c r="BN468" s="290"/>
      <c r="BO468" s="290"/>
      <c r="BP468" s="290"/>
      <c r="BQ468" s="290"/>
      <c r="BR468" s="290"/>
      <c r="BS468" s="290"/>
      <c r="BT468" s="290"/>
      <c r="BU468" s="290"/>
      <c r="BV468" s="290"/>
      <c r="BW468" s="290"/>
      <c r="BX468" s="290"/>
      <c r="BY468" s="290"/>
      <c r="BZ468" s="290"/>
      <c r="CA468" s="290"/>
      <c r="CB468" s="290"/>
      <c r="CC468" s="290"/>
      <c r="CD468" s="290"/>
      <c r="CE468" s="290"/>
      <c r="CF468" s="290"/>
      <c r="CG468" s="290"/>
      <c r="CH468" s="290"/>
      <c r="CI468" s="290"/>
      <c r="CJ468" s="290"/>
      <c r="CK468" s="290"/>
      <c r="CL468" s="290"/>
      <c r="CM468" s="290"/>
      <c r="CN468" s="290"/>
      <c r="CO468" s="290"/>
      <c r="CP468" s="290"/>
      <c r="CQ468" s="290"/>
      <c r="CR468" s="290"/>
      <c r="CS468" s="290"/>
      <c r="CT468" s="290"/>
      <c r="CU468" s="290"/>
      <c r="CV468" s="290"/>
      <c r="CW468" s="290"/>
      <c r="CX468" s="290"/>
      <c r="CY468" s="290"/>
      <c r="CZ468" s="290"/>
      <c r="DA468" s="290"/>
      <c r="DB468" s="290"/>
      <c r="DC468" s="290"/>
      <c r="DD468" s="290"/>
      <c r="DE468" s="290"/>
      <c r="DF468" s="290"/>
      <c r="DG468" s="290"/>
      <c r="DH468" s="290"/>
      <c r="DI468" s="290"/>
      <c r="DJ468" s="290"/>
      <c r="DK468" s="290"/>
      <c r="DL468" s="290"/>
      <c r="DM468" s="290"/>
      <c r="DN468" s="290"/>
      <c r="DO468" s="290"/>
      <c r="DP468" s="290"/>
      <c r="DQ468" s="290"/>
      <c r="DR468" s="290"/>
      <c r="DS468" s="290"/>
      <c r="DT468" s="290"/>
      <c r="DU468" s="290"/>
      <c r="DV468" s="290"/>
      <c r="DW468" s="290"/>
      <c r="DX468" s="290"/>
      <c r="DY468" s="290"/>
      <c r="DZ468" s="290"/>
      <c r="EA468" s="290"/>
      <c r="EB468" s="290"/>
      <c r="EC468" s="290"/>
      <c r="ED468" s="290"/>
      <c r="EE468" s="290"/>
      <c r="EF468" s="290"/>
      <c r="EG468" s="290"/>
      <c r="EH468" s="290"/>
      <c r="EI468" s="290"/>
      <c r="EJ468" s="290"/>
      <c r="EK468" s="290"/>
      <c r="EL468" s="290"/>
      <c r="EM468" s="290"/>
      <c r="EN468" s="290"/>
      <c r="EO468" s="290"/>
      <c r="EP468" s="290"/>
      <c r="EQ468" s="290"/>
      <c r="ER468" s="290"/>
      <c r="ES468" s="290"/>
      <c r="ET468" s="290"/>
      <c r="EU468" s="290"/>
      <c r="EV468" s="290"/>
      <c r="EW468" s="290"/>
      <c r="EX468" s="290"/>
      <c r="EY468" s="290"/>
      <c r="EZ468" s="290"/>
      <c r="FA468" s="290"/>
      <c r="FB468" s="290"/>
      <c r="FC468" s="290"/>
      <c r="FD468" s="290"/>
      <c r="FE468" s="290"/>
      <c r="FF468" s="290"/>
      <c r="FG468" s="290"/>
      <c r="FH468" s="290"/>
      <c r="FI468" s="290"/>
      <c r="FJ468" s="290"/>
      <c r="FK468" s="290"/>
      <c r="FL468" s="290"/>
      <c r="FM468" s="290"/>
      <c r="FN468" s="290"/>
      <c r="FO468" s="290"/>
      <c r="FP468" s="290"/>
      <c r="FQ468" s="290"/>
      <c r="FR468" s="290"/>
      <c r="FS468" s="290"/>
      <c r="FT468" s="290"/>
      <c r="FU468" s="290"/>
      <c r="FV468" s="290"/>
      <c r="FW468" s="290"/>
      <c r="FX468" s="290"/>
      <c r="FY468" s="290"/>
      <c r="FZ468" s="290"/>
      <c r="GA468" s="290"/>
      <c r="GB468" s="290"/>
      <c r="GC468" s="290"/>
      <c r="GD468" s="290"/>
      <c r="GE468" s="290"/>
      <c r="GF468" s="290"/>
      <c r="GG468" s="290"/>
      <c r="GH468" s="290"/>
      <c r="GI468" s="290"/>
      <c r="GJ468" s="290"/>
      <c r="GK468" s="290"/>
      <c r="GL468" s="290"/>
      <c r="GM468" s="290"/>
      <c r="GN468" s="290"/>
      <c r="GO468" s="290"/>
      <c r="GP468" s="290"/>
      <c r="GQ468" s="290"/>
      <c r="GR468" s="290"/>
      <c r="GS468" s="290"/>
      <c r="GT468" s="290"/>
      <c r="GU468" s="290"/>
      <c r="GV468" s="290"/>
      <c r="GW468" s="290"/>
      <c r="GX468" s="290"/>
      <c r="GY468" s="290"/>
      <c r="GZ468" s="290"/>
      <c r="HA468" s="290"/>
      <c r="HB468" s="290"/>
      <c r="HC468" s="290"/>
      <c r="HD468" s="290"/>
      <c r="HE468" s="290"/>
      <c r="HF468" s="290"/>
      <c r="HG468" s="290"/>
      <c r="HH468" s="290"/>
      <c r="HI468" s="290"/>
      <c r="HJ468" s="290"/>
      <c r="HK468" s="290"/>
      <c r="HL468" s="290"/>
      <c r="HM468" s="290"/>
      <c r="HN468" s="290"/>
      <c r="HO468" s="290"/>
      <c r="HP468" s="290"/>
      <c r="HQ468" s="290"/>
      <c r="HR468" s="290"/>
      <c r="HS468" s="290"/>
      <c r="HT468" s="290"/>
      <c r="HU468" s="290"/>
      <c r="HV468" s="290"/>
      <c r="HW468" s="290"/>
      <c r="HX468" s="290"/>
      <c r="HY468" s="290"/>
      <c r="HZ468" s="290"/>
      <c r="IA468" s="290"/>
      <c r="IB468" s="290"/>
      <c r="IC468" s="290"/>
      <c r="ID468" s="290"/>
      <c r="IE468" s="290"/>
      <c r="IF468" s="290"/>
      <c r="IG468" s="290"/>
      <c r="IH468" s="290"/>
      <c r="II468" s="290"/>
      <c r="IJ468" s="290"/>
      <c r="IK468" s="290"/>
      <c r="IL468" s="290"/>
      <c r="IM468" s="290"/>
      <c r="IN468" s="290"/>
      <c r="IO468" s="290"/>
      <c r="IP468" s="290"/>
      <c r="IQ468" s="290"/>
    </row>
    <row r="469" spans="1:251" x14ac:dyDescent="0.3">
      <c r="A469" s="269"/>
      <c r="B469" s="272"/>
      <c r="C469" s="275"/>
      <c r="D469" s="266"/>
      <c r="E469" s="266"/>
      <c r="F469" s="112" t="s">
        <v>237</v>
      </c>
      <c r="G469" s="287"/>
      <c r="H469" s="289"/>
      <c r="I469" s="290"/>
      <c r="J469" s="290"/>
      <c r="K469" s="290"/>
      <c r="L469" s="290"/>
      <c r="M469" s="290"/>
      <c r="N469" s="290"/>
      <c r="O469" s="290"/>
      <c r="P469" s="290"/>
      <c r="Q469" s="290"/>
      <c r="R469" s="290"/>
      <c r="S469" s="290"/>
      <c r="T469" s="290"/>
      <c r="U469" s="290"/>
      <c r="V469" s="290"/>
      <c r="W469" s="290"/>
      <c r="X469" s="290"/>
      <c r="Y469" s="290"/>
      <c r="Z469" s="290"/>
      <c r="AA469" s="290"/>
      <c r="AB469" s="290"/>
      <c r="AC469" s="290"/>
      <c r="AD469" s="290"/>
      <c r="AE469" s="290"/>
      <c r="AF469" s="290"/>
      <c r="AG469" s="290"/>
      <c r="AH469" s="290"/>
      <c r="AI469" s="290"/>
      <c r="AJ469" s="290"/>
      <c r="AK469" s="290"/>
      <c r="AL469" s="290"/>
      <c r="AM469" s="290"/>
      <c r="AN469" s="290"/>
      <c r="AO469" s="290"/>
      <c r="AP469" s="290"/>
      <c r="AQ469" s="290"/>
      <c r="AR469" s="290"/>
      <c r="AS469" s="290"/>
      <c r="AT469" s="290"/>
      <c r="AU469" s="290"/>
      <c r="AV469" s="290"/>
      <c r="AW469" s="290"/>
      <c r="AX469" s="290"/>
      <c r="AY469" s="290"/>
      <c r="AZ469" s="290"/>
      <c r="BA469" s="290"/>
      <c r="BB469" s="290"/>
      <c r="BC469" s="290"/>
      <c r="BD469" s="290"/>
      <c r="BE469" s="290"/>
      <c r="BF469" s="290"/>
      <c r="BG469" s="290"/>
      <c r="BH469" s="290"/>
      <c r="BI469" s="290"/>
      <c r="BJ469" s="290"/>
      <c r="BK469" s="290"/>
      <c r="BL469" s="290"/>
      <c r="BM469" s="290"/>
      <c r="BN469" s="290"/>
      <c r="BO469" s="290"/>
      <c r="BP469" s="290"/>
      <c r="BQ469" s="290"/>
      <c r="BR469" s="290"/>
      <c r="BS469" s="290"/>
      <c r="BT469" s="290"/>
      <c r="BU469" s="290"/>
      <c r="BV469" s="290"/>
      <c r="BW469" s="290"/>
      <c r="BX469" s="290"/>
      <c r="BY469" s="290"/>
      <c r="BZ469" s="290"/>
      <c r="CA469" s="290"/>
      <c r="CB469" s="290"/>
      <c r="CC469" s="290"/>
      <c r="CD469" s="290"/>
      <c r="CE469" s="290"/>
      <c r="CF469" s="290"/>
      <c r="CG469" s="290"/>
      <c r="CH469" s="290"/>
      <c r="CI469" s="290"/>
      <c r="CJ469" s="290"/>
      <c r="CK469" s="290"/>
      <c r="CL469" s="290"/>
      <c r="CM469" s="290"/>
      <c r="CN469" s="290"/>
      <c r="CO469" s="290"/>
      <c r="CP469" s="290"/>
      <c r="CQ469" s="290"/>
      <c r="CR469" s="290"/>
      <c r="CS469" s="290"/>
      <c r="CT469" s="290"/>
      <c r="CU469" s="290"/>
      <c r="CV469" s="290"/>
      <c r="CW469" s="290"/>
      <c r="CX469" s="290"/>
      <c r="CY469" s="290"/>
      <c r="CZ469" s="290"/>
      <c r="DA469" s="290"/>
      <c r="DB469" s="290"/>
      <c r="DC469" s="290"/>
      <c r="DD469" s="290"/>
      <c r="DE469" s="290"/>
      <c r="DF469" s="290"/>
      <c r="DG469" s="290"/>
      <c r="DH469" s="290"/>
      <c r="DI469" s="290"/>
      <c r="DJ469" s="290"/>
      <c r="DK469" s="290"/>
      <c r="DL469" s="290"/>
      <c r="DM469" s="290"/>
      <c r="DN469" s="290"/>
      <c r="DO469" s="290"/>
      <c r="DP469" s="290"/>
      <c r="DQ469" s="290"/>
      <c r="DR469" s="290"/>
      <c r="DS469" s="290"/>
      <c r="DT469" s="290"/>
      <c r="DU469" s="290"/>
      <c r="DV469" s="290"/>
      <c r="DW469" s="290"/>
      <c r="DX469" s="290"/>
      <c r="DY469" s="290"/>
      <c r="DZ469" s="290"/>
      <c r="EA469" s="290"/>
      <c r="EB469" s="290"/>
      <c r="EC469" s="290"/>
      <c r="ED469" s="290"/>
      <c r="EE469" s="290"/>
      <c r="EF469" s="290"/>
      <c r="EG469" s="290"/>
      <c r="EH469" s="290"/>
      <c r="EI469" s="290"/>
      <c r="EJ469" s="290"/>
      <c r="EK469" s="290"/>
      <c r="EL469" s="290"/>
      <c r="EM469" s="290"/>
      <c r="EN469" s="290"/>
      <c r="EO469" s="290"/>
      <c r="EP469" s="290"/>
      <c r="EQ469" s="290"/>
      <c r="ER469" s="290"/>
      <c r="ES469" s="290"/>
      <c r="ET469" s="290"/>
      <c r="EU469" s="290"/>
      <c r="EV469" s="290"/>
      <c r="EW469" s="290"/>
      <c r="EX469" s="290"/>
      <c r="EY469" s="290"/>
      <c r="EZ469" s="290"/>
      <c r="FA469" s="290"/>
      <c r="FB469" s="290"/>
      <c r="FC469" s="290"/>
      <c r="FD469" s="290"/>
      <c r="FE469" s="290"/>
      <c r="FF469" s="290"/>
      <c r="FG469" s="290"/>
      <c r="FH469" s="290"/>
      <c r="FI469" s="290"/>
      <c r="FJ469" s="290"/>
      <c r="FK469" s="290"/>
      <c r="FL469" s="290"/>
      <c r="FM469" s="290"/>
      <c r="FN469" s="290"/>
      <c r="FO469" s="290"/>
      <c r="FP469" s="290"/>
      <c r="FQ469" s="290"/>
      <c r="FR469" s="290"/>
      <c r="FS469" s="290"/>
      <c r="FT469" s="290"/>
      <c r="FU469" s="290"/>
      <c r="FV469" s="290"/>
      <c r="FW469" s="290"/>
      <c r="FX469" s="290"/>
      <c r="FY469" s="290"/>
      <c r="FZ469" s="290"/>
      <c r="GA469" s="290"/>
      <c r="GB469" s="290"/>
      <c r="GC469" s="290"/>
      <c r="GD469" s="290"/>
      <c r="GE469" s="290"/>
      <c r="GF469" s="290"/>
      <c r="GG469" s="290"/>
      <c r="GH469" s="290"/>
      <c r="GI469" s="290"/>
      <c r="GJ469" s="290"/>
      <c r="GK469" s="290"/>
      <c r="GL469" s="290"/>
      <c r="GM469" s="290"/>
      <c r="GN469" s="290"/>
      <c r="GO469" s="290"/>
      <c r="GP469" s="290"/>
      <c r="GQ469" s="290"/>
      <c r="GR469" s="290"/>
      <c r="GS469" s="290"/>
      <c r="GT469" s="290"/>
      <c r="GU469" s="290"/>
      <c r="GV469" s="290"/>
      <c r="GW469" s="290"/>
      <c r="GX469" s="290"/>
      <c r="GY469" s="290"/>
      <c r="GZ469" s="290"/>
      <c r="HA469" s="290"/>
      <c r="HB469" s="290"/>
      <c r="HC469" s="290"/>
      <c r="HD469" s="290"/>
      <c r="HE469" s="290"/>
      <c r="HF469" s="290"/>
      <c r="HG469" s="290"/>
      <c r="HH469" s="290"/>
      <c r="HI469" s="290"/>
      <c r="HJ469" s="290"/>
      <c r="HK469" s="290"/>
      <c r="HL469" s="290"/>
      <c r="HM469" s="290"/>
      <c r="HN469" s="290"/>
      <c r="HO469" s="290"/>
      <c r="HP469" s="290"/>
      <c r="HQ469" s="290"/>
      <c r="HR469" s="290"/>
      <c r="HS469" s="290"/>
      <c r="HT469" s="290"/>
      <c r="HU469" s="290"/>
      <c r="HV469" s="290"/>
      <c r="HW469" s="290"/>
      <c r="HX469" s="290"/>
      <c r="HY469" s="290"/>
      <c r="HZ469" s="290"/>
      <c r="IA469" s="290"/>
      <c r="IB469" s="290"/>
      <c r="IC469" s="290"/>
      <c r="ID469" s="290"/>
      <c r="IE469" s="290"/>
      <c r="IF469" s="290"/>
      <c r="IG469" s="290"/>
      <c r="IH469" s="290"/>
      <c r="II469" s="290"/>
      <c r="IJ469" s="290"/>
      <c r="IK469" s="290"/>
      <c r="IL469" s="290"/>
      <c r="IM469" s="290"/>
      <c r="IN469" s="290"/>
      <c r="IO469" s="290"/>
      <c r="IP469" s="290"/>
      <c r="IQ469" s="290"/>
    </row>
    <row r="470" spans="1:251" x14ac:dyDescent="0.3">
      <c r="A470" s="270"/>
      <c r="B470" s="273"/>
      <c r="C470" s="276"/>
      <c r="D470" s="267"/>
      <c r="E470" s="267"/>
      <c r="F470" s="113" t="s">
        <v>238</v>
      </c>
      <c r="G470" s="288"/>
      <c r="H470" s="289"/>
      <c r="I470" s="290"/>
      <c r="J470" s="290"/>
      <c r="K470" s="290"/>
      <c r="L470" s="290"/>
      <c r="M470" s="290"/>
      <c r="N470" s="290"/>
      <c r="O470" s="290"/>
      <c r="P470" s="290"/>
      <c r="Q470" s="290"/>
      <c r="R470" s="290"/>
      <c r="S470" s="290"/>
      <c r="T470" s="290"/>
      <c r="U470" s="290"/>
      <c r="V470" s="290"/>
      <c r="W470" s="290"/>
      <c r="X470" s="290"/>
      <c r="Y470" s="290"/>
      <c r="Z470" s="290"/>
      <c r="AA470" s="290"/>
      <c r="AB470" s="290"/>
      <c r="AC470" s="290"/>
      <c r="AD470" s="290"/>
      <c r="AE470" s="290"/>
      <c r="AF470" s="290"/>
      <c r="AG470" s="290"/>
      <c r="AH470" s="290"/>
      <c r="AI470" s="290"/>
      <c r="AJ470" s="290"/>
      <c r="AK470" s="290"/>
      <c r="AL470" s="290"/>
      <c r="AM470" s="290"/>
      <c r="AN470" s="290"/>
      <c r="AO470" s="290"/>
      <c r="AP470" s="290"/>
      <c r="AQ470" s="290"/>
      <c r="AR470" s="290"/>
      <c r="AS470" s="290"/>
      <c r="AT470" s="290"/>
      <c r="AU470" s="290"/>
      <c r="AV470" s="290"/>
      <c r="AW470" s="290"/>
      <c r="AX470" s="290"/>
      <c r="AY470" s="290"/>
      <c r="AZ470" s="290"/>
      <c r="BA470" s="290"/>
      <c r="BB470" s="290"/>
      <c r="BC470" s="290"/>
      <c r="BD470" s="290"/>
      <c r="BE470" s="290"/>
      <c r="BF470" s="290"/>
      <c r="BG470" s="290"/>
      <c r="BH470" s="290"/>
      <c r="BI470" s="290"/>
      <c r="BJ470" s="290"/>
      <c r="BK470" s="290"/>
      <c r="BL470" s="290"/>
      <c r="BM470" s="290"/>
      <c r="BN470" s="290"/>
      <c r="BO470" s="290"/>
      <c r="BP470" s="290"/>
      <c r="BQ470" s="290"/>
      <c r="BR470" s="290"/>
      <c r="BS470" s="290"/>
      <c r="BT470" s="290"/>
      <c r="BU470" s="290"/>
      <c r="BV470" s="290"/>
      <c r="BW470" s="290"/>
      <c r="BX470" s="290"/>
      <c r="BY470" s="290"/>
      <c r="BZ470" s="290"/>
      <c r="CA470" s="290"/>
      <c r="CB470" s="290"/>
      <c r="CC470" s="290"/>
      <c r="CD470" s="290"/>
      <c r="CE470" s="290"/>
      <c r="CF470" s="290"/>
      <c r="CG470" s="290"/>
      <c r="CH470" s="290"/>
      <c r="CI470" s="290"/>
      <c r="CJ470" s="290"/>
      <c r="CK470" s="290"/>
      <c r="CL470" s="290"/>
      <c r="CM470" s="290"/>
      <c r="CN470" s="290"/>
      <c r="CO470" s="290"/>
      <c r="CP470" s="290"/>
      <c r="CQ470" s="290"/>
      <c r="CR470" s="290"/>
      <c r="CS470" s="290"/>
      <c r="CT470" s="290"/>
      <c r="CU470" s="290"/>
      <c r="CV470" s="290"/>
      <c r="CW470" s="290"/>
      <c r="CX470" s="290"/>
      <c r="CY470" s="290"/>
      <c r="CZ470" s="290"/>
      <c r="DA470" s="290"/>
      <c r="DB470" s="290"/>
      <c r="DC470" s="290"/>
      <c r="DD470" s="290"/>
      <c r="DE470" s="290"/>
      <c r="DF470" s="290"/>
      <c r="DG470" s="290"/>
      <c r="DH470" s="290"/>
      <c r="DI470" s="290"/>
      <c r="DJ470" s="290"/>
      <c r="DK470" s="290"/>
      <c r="DL470" s="290"/>
      <c r="DM470" s="290"/>
      <c r="DN470" s="290"/>
      <c r="DO470" s="290"/>
      <c r="DP470" s="290"/>
      <c r="DQ470" s="290"/>
      <c r="DR470" s="290"/>
      <c r="DS470" s="290"/>
      <c r="DT470" s="290"/>
      <c r="DU470" s="290"/>
      <c r="DV470" s="290"/>
      <c r="DW470" s="290"/>
      <c r="DX470" s="290"/>
      <c r="DY470" s="290"/>
      <c r="DZ470" s="290"/>
      <c r="EA470" s="290"/>
      <c r="EB470" s="290"/>
      <c r="EC470" s="290"/>
      <c r="ED470" s="290"/>
      <c r="EE470" s="290"/>
      <c r="EF470" s="290"/>
      <c r="EG470" s="290"/>
      <c r="EH470" s="290"/>
      <c r="EI470" s="290"/>
      <c r="EJ470" s="290"/>
      <c r="EK470" s="290"/>
      <c r="EL470" s="290"/>
      <c r="EM470" s="290"/>
      <c r="EN470" s="290"/>
      <c r="EO470" s="290"/>
      <c r="EP470" s="290"/>
      <c r="EQ470" s="290"/>
      <c r="ER470" s="290"/>
      <c r="ES470" s="290"/>
      <c r="ET470" s="290"/>
      <c r="EU470" s="290"/>
      <c r="EV470" s="290"/>
      <c r="EW470" s="290"/>
      <c r="EX470" s="290"/>
      <c r="EY470" s="290"/>
      <c r="EZ470" s="290"/>
      <c r="FA470" s="290"/>
      <c r="FB470" s="290"/>
      <c r="FC470" s="290"/>
      <c r="FD470" s="290"/>
      <c r="FE470" s="290"/>
      <c r="FF470" s="290"/>
      <c r="FG470" s="290"/>
      <c r="FH470" s="290"/>
      <c r="FI470" s="290"/>
      <c r="FJ470" s="290"/>
      <c r="FK470" s="290"/>
      <c r="FL470" s="290"/>
      <c r="FM470" s="290"/>
      <c r="FN470" s="290"/>
      <c r="FO470" s="290"/>
      <c r="FP470" s="290"/>
      <c r="FQ470" s="290"/>
      <c r="FR470" s="290"/>
      <c r="FS470" s="290"/>
      <c r="FT470" s="290"/>
      <c r="FU470" s="290"/>
      <c r="FV470" s="290"/>
      <c r="FW470" s="290"/>
      <c r="FX470" s="290"/>
      <c r="FY470" s="290"/>
      <c r="FZ470" s="290"/>
      <c r="GA470" s="290"/>
      <c r="GB470" s="290"/>
      <c r="GC470" s="290"/>
      <c r="GD470" s="290"/>
      <c r="GE470" s="290"/>
      <c r="GF470" s="290"/>
      <c r="GG470" s="290"/>
      <c r="GH470" s="290"/>
      <c r="GI470" s="290"/>
      <c r="GJ470" s="290"/>
      <c r="GK470" s="290"/>
      <c r="GL470" s="290"/>
      <c r="GM470" s="290"/>
      <c r="GN470" s="290"/>
      <c r="GO470" s="290"/>
      <c r="GP470" s="290"/>
      <c r="GQ470" s="290"/>
      <c r="GR470" s="290"/>
      <c r="GS470" s="290"/>
      <c r="GT470" s="290"/>
      <c r="GU470" s="290"/>
      <c r="GV470" s="290"/>
      <c r="GW470" s="290"/>
      <c r="GX470" s="290"/>
      <c r="GY470" s="290"/>
      <c r="GZ470" s="290"/>
      <c r="HA470" s="290"/>
      <c r="HB470" s="290"/>
      <c r="HC470" s="290"/>
      <c r="HD470" s="290"/>
      <c r="HE470" s="290"/>
      <c r="HF470" s="290"/>
      <c r="HG470" s="290"/>
      <c r="HH470" s="290"/>
      <c r="HI470" s="290"/>
      <c r="HJ470" s="290"/>
      <c r="HK470" s="290"/>
      <c r="HL470" s="290"/>
      <c r="HM470" s="290"/>
      <c r="HN470" s="290"/>
      <c r="HO470" s="290"/>
      <c r="HP470" s="290"/>
      <c r="HQ470" s="290"/>
      <c r="HR470" s="290"/>
      <c r="HS470" s="290"/>
      <c r="HT470" s="290"/>
      <c r="HU470" s="290"/>
      <c r="HV470" s="290"/>
      <c r="HW470" s="290"/>
      <c r="HX470" s="290"/>
      <c r="HY470" s="290"/>
      <c r="HZ470" s="290"/>
      <c r="IA470" s="290"/>
      <c r="IB470" s="290"/>
      <c r="IC470" s="290"/>
      <c r="ID470" s="290"/>
      <c r="IE470" s="290"/>
      <c r="IF470" s="290"/>
      <c r="IG470" s="290"/>
      <c r="IH470" s="290"/>
      <c r="II470" s="290"/>
      <c r="IJ470" s="290"/>
      <c r="IK470" s="290"/>
      <c r="IL470" s="290"/>
      <c r="IM470" s="290"/>
      <c r="IN470" s="290"/>
      <c r="IO470" s="290"/>
      <c r="IP470" s="290"/>
      <c r="IQ470" s="290"/>
    </row>
    <row r="471" spans="1:251" ht="39" x14ac:dyDescent="0.3">
      <c r="A471" s="239" t="s">
        <v>1872</v>
      </c>
      <c r="B471" s="21" t="s">
        <v>1852</v>
      </c>
      <c r="C471" s="129" t="s">
        <v>49</v>
      </c>
      <c r="D471" s="166" t="s">
        <v>37</v>
      </c>
      <c r="E471" s="166" t="s">
        <v>38</v>
      </c>
      <c r="F471" s="100" t="s">
        <v>1854</v>
      </c>
      <c r="G471" s="240"/>
      <c r="H471" s="199"/>
      <c r="I471" s="183"/>
      <c r="J471" s="183"/>
      <c r="K471" s="183"/>
      <c r="L471" s="183"/>
      <c r="M471" s="183"/>
      <c r="N471" s="183"/>
      <c r="O471" s="183"/>
      <c r="P471" s="183"/>
      <c r="Q471" s="183"/>
      <c r="R471" s="183"/>
      <c r="S471" s="183"/>
      <c r="T471" s="183"/>
      <c r="U471" s="183"/>
      <c r="V471" s="183"/>
      <c r="W471" s="183"/>
      <c r="X471" s="183"/>
      <c r="Y471" s="183"/>
      <c r="Z471" s="183"/>
      <c r="AA471" s="183"/>
      <c r="AB471" s="183"/>
      <c r="AC471" s="183"/>
      <c r="AD471" s="183"/>
      <c r="AE471" s="183"/>
      <c r="AF471" s="183"/>
      <c r="AG471" s="183"/>
      <c r="AH471" s="183"/>
      <c r="AI471" s="183"/>
      <c r="AJ471" s="183"/>
      <c r="AK471" s="183"/>
      <c r="AL471" s="183"/>
      <c r="AM471" s="183"/>
      <c r="AN471" s="183"/>
      <c r="AO471" s="183"/>
      <c r="AP471" s="183"/>
      <c r="AQ471" s="183"/>
      <c r="AR471" s="183"/>
      <c r="AS471" s="183"/>
      <c r="AT471" s="183"/>
      <c r="AU471" s="183"/>
      <c r="AV471" s="183"/>
      <c r="AW471" s="183"/>
      <c r="AX471" s="183"/>
      <c r="AY471" s="183"/>
      <c r="AZ471" s="183"/>
      <c r="BA471" s="183"/>
      <c r="BB471" s="183"/>
      <c r="BC471" s="183"/>
      <c r="BD471" s="183"/>
      <c r="BE471" s="183"/>
      <c r="BF471" s="183"/>
      <c r="BG471" s="183"/>
      <c r="BH471" s="183"/>
      <c r="BI471" s="183"/>
      <c r="BJ471" s="183"/>
      <c r="BK471" s="183"/>
      <c r="BL471" s="183"/>
      <c r="BM471" s="183"/>
      <c r="BN471" s="183"/>
      <c r="BO471" s="183"/>
      <c r="BP471" s="183"/>
      <c r="BQ471" s="183"/>
      <c r="BR471" s="183"/>
      <c r="BS471" s="183"/>
      <c r="BT471" s="183"/>
      <c r="BU471" s="183"/>
      <c r="BV471" s="183"/>
      <c r="BW471" s="183"/>
      <c r="BX471" s="183"/>
      <c r="BY471" s="183"/>
      <c r="BZ471" s="183"/>
      <c r="CA471" s="183"/>
      <c r="CB471" s="183"/>
      <c r="CC471" s="183"/>
      <c r="CD471" s="183"/>
      <c r="CE471" s="183"/>
      <c r="CF471" s="183"/>
      <c r="CG471" s="183"/>
      <c r="CH471" s="183"/>
      <c r="CI471" s="183"/>
      <c r="CJ471" s="183"/>
      <c r="CK471" s="183"/>
      <c r="CL471" s="183"/>
      <c r="CM471" s="183"/>
      <c r="CN471" s="183"/>
      <c r="CO471" s="183"/>
      <c r="CP471" s="183"/>
      <c r="CQ471" s="183"/>
      <c r="CR471" s="183"/>
      <c r="CS471" s="183"/>
      <c r="CT471" s="183"/>
      <c r="CU471" s="183"/>
      <c r="CV471" s="183"/>
      <c r="CW471" s="183"/>
      <c r="CX471" s="183"/>
      <c r="CY471" s="183"/>
      <c r="CZ471" s="183"/>
      <c r="DA471" s="183"/>
      <c r="DB471" s="183"/>
      <c r="DC471" s="183"/>
      <c r="DD471" s="183"/>
      <c r="DE471" s="183"/>
      <c r="DF471" s="183"/>
      <c r="DG471" s="183"/>
      <c r="DH471" s="183"/>
      <c r="DI471" s="183"/>
      <c r="DJ471" s="183"/>
      <c r="DK471" s="183"/>
      <c r="DL471" s="183"/>
      <c r="DM471" s="183"/>
      <c r="DN471" s="183"/>
      <c r="DO471" s="183"/>
      <c r="DP471" s="183"/>
      <c r="DQ471" s="183"/>
      <c r="DR471" s="183"/>
      <c r="DS471" s="183"/>
      <c r="DT471" s="183"/>
      <c r="DU471" s="183"/>
      <c r="DV471" s="183"/>
      <c r="DW471" s="183"/>
      <c r="DX471" s="183"/>
      <c r="DY471" s="183"/>
      <c r="DZ471" s="183"/>
      <c r="EA471" s="183"/>
      <c r="EB471" s="183"/>
      <c r="EC471" s="183"/>
      <c r="ED471" s="183"/>
      <c r="EE471" s="183"/>
      <c r="EF471" s="183"/>
      <c r="EG471" s="183"/>
      <c r="EH471" s="183"/>
      <c r="EI471" s="183"/>
      <c r="EJ471" s="183"/>
      <c r="EK471" s="183"/>
      <c r="EL471" s="183"/>
      <c r="EM471" s="183"/>
      <c r="EN471" s="183"/>
      <c r="EO471" s="183"/>
      <c r="EP471" s="183"/>
      <c r="EQ471" s="183"/>
      <c r="ER471" s="183"/>
      <c r="ES471" s="183"/>
      <c r="ET471" s="183"/>
      <c r="EU471" s="183"/>
      <c r="EV471" s="183"/>
      <c r="EW471" s="183"/>
      <c r="EX471" s="183"/>
      <c r="EY471" s="183"/>
      <c r="EZ471" s="183"/>
      <c r="FA471" s="183"/>
      <c r="FB471" s="183"/>
      <c r="FC471" s="183"/>
      <c r="FD471" s="183"/>
      <c r="FE471" s="183"/>
      <c r="FF471" s="183"/>
      <c r="FG471" s="183"/>
      <c r="FH471" s="183"/>
      <c r="FI471" s="183"/>
      <c r="FJ471" s="183"/>
      <c r="FK471" s="183"/>
      <c r="FL471" s="183"/>
      <c r="FM471" s="183"/>
      <c r="FN471" s="183"/>
      <c r="FO471" s="183"/>
      <c r="FP471" s="183"/>
      <c r="FQ471" s="183"/>
      <c r="FR471" s="183"/>
      <c r="FS471" s="183"/>
      <c r="FT471" s="183"/>
      <c r="FU471" s="183"/>
      <c r="FV471" s="183"/>
      <c r="FW471" s="183"/>
      <c r="FX471" s="183"/>
      <c r="FY471" s="183"/>
      <c r="FZ471" s="183"/>
      <c r="GA471" s="183"/>
      <c r="GB471" s="183"/>
      <c r="GC471" s="183"/>
      <c r="GD471" s="183"/>
      <c r="GE471" s="183"/>
      <c r="GF471" s="183"/>
      <c r="GG471" s="183"/>
      <c r="GH471" s="183"/>
      <c r="GI471" s="183"/>
      <c r="GJ471" s="183"/>
      <c r="GK471" s="183"/>
      <c r="GL471" s="183"/>
      <c r="GM471" s="183"/>
      <c r="GN471" s="183"/>
      <c r="GO471" s="183"/>
      <c r="GP471" s="183"/>
      <c r="GQ471" s="183"/>
      <c r="GR471" s="183"/>
      <c r="GS471" s="183"/>
      <c r="GT471" s="183"/>
      <c r="GU471" s="183"/>
      <c r="GV471" s="183"/>
      <c r="GW471" s="183"/>
      <c r="GX471" s="183"/>
      <c r="GY471" s="183"/>
      <c r="GZ471" s="183"/>
      <c r="HA471" s="183"/>
      <c r="HB471" s="183"/>
      <c r="HC471" s="183"/>
      <c r="HD471" s="183"/>
      <c r="HE471" s="183"/>
      <c r="HF471" s="183"/>
      <c r="HG471" s="183"/>
      <c r="HH471" s="183"/>
      <c r="HI471" s="183"/>
      <c r="HJ471" s="183"/>
      <c r="HK471" s="183"/>
      <c r="HL471" s="183"/>
      <c r="HM471" s="183"/>
      <c r="HN471" s="183"/>
      <c r="HO471" s="183"/>
      <c r="HP471" s="183"/>
      <c r="HQ471" s="183"/>
      <c r="HR471" s="183"/>
      <c r="HS471" s="183"/>
      <c r="HT471" s="183"/>
      <c r="HU471" s="183"/>
      <c r="HV471" s="183"/>
      <c r="HW471" s="183"/>
      <c r="HX471" s="183"/>
      <c r="HY471" s="183"/>
      <c r="HZ471" s="183"/>
      <c r="IA471" s="183"/>
      <c r="IB471" s="183"/>
      <c r="IC471" s="183"/>
      <c r="ID471" s="183"/>
      <c r="IE471" s="183"/>
      <c r="IF471" s="183"/>
      <c r="IG471" s="183"/>
      <c r="IH471" s="183"/>
      <c r="II471" s="183"/>
      <c r="IJ471" s="183"/>
      <c r="IK471" s="183"/>
      <c r="IL471" s="183"/>
      <c r="IM471" s="183"/>
      <c r="IN471" s="183"/>
      <c r="IO471" s="183"/>
      <c r="IP471" s="183"/>
      <c r="IQ471" s="183"/>
    </row>
    <row r="472" spans="1:251" ht="39" x14ac:dyDescent="0.3">
      <c r="A472" s="83" t="s">
        <v>1703</v>
      </c>
      <c r="B472" s="196" t="s">
        <v>293</v>
      </c>
      <c r="C472" s="191" t="s">
        <v>30</v>
      </c>
      <c r="D472" s="192" t="s">
        <v>31</v>
      </c>
      <c r="E472" s="192" t="s">
        <v>32</v>
      </c>
      <c r="F472" s="114" t="s">
        <v>33</v>
      </c>
      <c r="G472" s="191"/>
      <c r="H472" s="199"/>
      <c r="I472" s="183"/>
      <c r="J472" s="183"/>
      <c r="K472" s="183"/>
      <c r="L472" s="183"/>
      <c r="M472" s="183"/>
      <c r="N472" s="183"/>
      <c r="O472" s="183"/>
      <c r="P472" s="183"/>
      <c r="Q472" s="183"/>
      <c r="R472" s="183"/>
      <c r="S472" s="183"/>
      <c r="T472" s="183"/>
      <c r="U472" s="183"/>
      <c r="V472" s="183"/>
      <c r="W472" s="183"/>
      <c r="X472" s="183"/>
      <c r="Y472" s="183"/>
      <c r="Z472" s="183"/>
      <c r="AA472" s="183"/>
      <c r="AB472" s="183"/>
      <c r="AC472" s="183"/>
      <c r="AD472" s="183"/>
      <c r="AE472" s="183"/>
      <c r="AF472" s="183"/>
      <c r="AG472" s="183"/>
      <c r="AH472" s="183"/>
      <c r="AI472" s="183"/>
      <c r="AJ472" s="183"/>
      <c r="AK472" s="183"/>
      <c r="AL472" s="183"/>
      <c r="AM472" s="183"/>
      <c r="AN472" s="183"/>
      <c r="AO472" s="183"/>
      <c r="AP472" s="183"/>
      <c r="AQ472" s="183"/>
      <c r="AR472" s="183"/>
      <c r="AS472" s="183"/>
      <c r="AT472" s="183"/>
      <c r="AU472" s="183"/>
      <c r="AV472" s="183"/>
      <c r="AW472" s="183"/>
      <c r="AX472" s="183"/>
      <c r="AY472" s="183"/>
      <c r="AZ472" s="183"/>
      <c r="BA472" s="183"/>
      <c r="BB472" s="183"/>
      <c r="BC472" s="183"/>
      <c r="BD472" s="183"/>
      <c r="BE472" s="183"/>
      <c r="BF472" s="183"/>
      <c r="BG472" s="183"/>
      <c r="BH472" s="183"/>
      <c r="BI472" s="183"/>
      <c r="BJ472" s="183"/>
      <c r="BK472" s="183"/>
      <c r="BL472" s="183"/>
      <c r="BM472" s="183"/>
      <c r="BN472" s="183"/>
      <c r="BO472" s="183"/>
      <c r="BP472" s="183"/>
      <c r="BQ472" s="183"/>
      <c r="BR472" s="183"/>
      <c r="BS472" s="183"/>
      <c r="BT472" s="183"/>
      <c r="BU472" s="183"/>
      <c r="BV472" s="183"/>
      <c r="BW472" s="183"/>
      <c r="BX472" s="183"/>
      <c r="BY472" s="183"/>
      <c r="BZ472" s="183"/>
      <c r="CA472" s="183"/>
      <c r="CB472" s="183"/>
      <c r="CC472" s="183"/>
      <c r="CD472" s="183"/>
      <c r="CE472" s="183"/>
      <c r="CF472" s="183"/>
      <c r="CG472" s="183"/>
      <c r="CH472" s="183"/>
      <c r="CI472" s="183"/>
      <c r="CJ472" s="183"/>
      <c r="CK472" s="183"/>
      <c r="CL472" s="183"/>
      <c r="CM472" s="183"/>
      <c r="CN472" s="183"/>
      <c r="CO472" s="183"/>
      <c r="CP472" s="183"/>
      <c r="CQ472" s="183"/>
      <c r="CR472" s="183"/>
      <c r="CS472" s="183"/>
      <c r="CT472" s="183"/>
      <c r="CU472" s="183"/>
      <c r="CV472" s="183"/>
      <c r="CW472" s="183"/>
      <c r="CX472" s="183"/>
      <c r="CY472" s="183"/>
      <c r="CZ472" s="183"/>
      <c r="DA472" s="183"/>
      <c r="DB472" s="183"/>
      <c r="DC472" s="183"/>
      <c r="DD472" s="183"/>
      <c r="DE472" s="183"/>
      <c r="DF472" s="183"/>
      <c r="DG472" s="183"/>
      <c r="DH472" s="183"/>
      <c r="DI472" s="183"/>
      <c r="DJ472" s="183"/>
      <c r="DK472" s="183"/>
      <c r="DL472" s="183"/>
      <c r="DM472" s="183"/>
      <c r="DN472" s="183"/>
      <c r="DO472" s="183"/>
      <c r="DP472" s="183"/>
      <c r="DQ472" s="183"/>
      <c r="DR472" s="183"/>
      <c r="DS472" s="183"/>
      <c r="DT472" s="183"/>
      <c r="DU472" s="183"/>
      <c r="DV472" s="183"/>
      <c r="DW472" s="183"/>
      <c r="DX472" s="183"/>
      <c r="DY472" s="183"/>
      <c r="DZ472" s="183"/>
      <c r="EA472" s="183"/>
      <c r="EB472" s="183"/>
      <c r="EC472" s="183"/>
      <c r="ED472" s="183"/>
      <c r="EE472" s="183"/>
      <c r="EF472" s="183"/>
      <c r="EG472" s="183"/>
      <c r="EH472" s="183"/>
      <c r="EI472" s="183"/>
      <c r="EJ472" s="183"/>
      <c r="EK472" s="183"/>
      <c r="EL472" s="183"/>
      <c r="EM472" s="183"/>
      <c r="EN472" s="183"/>
      <c r="EO472" s="183"/>
      <c r="EP472" s="183"/>
      <c r="EQ472" s="183"/>
      <c r="ER472" s="183"/>
      <c r="ES472" s="183"/>
      <c r="ET472" s="183"/>
      <c r="EU472" s="183"/>
      <c r="EV472" s="183"/>
      <c r="EW472" s="183"/>
      <c r="EX472" s="183"/>
      <c r="EY472" s="183"/>
      <c r="EZ472" s="183"/>
      <c r="FA472" s="183"/>
      <c r="FB472" s="183"/>
      <c r="FC472" s="183"/>
      <c r="FD472" s="183"/>
      <c r="FE472" s="183"/>
      <c r="FF472" s="183"/>
      <c r="FG472" s="183"/>
      <c r="FH472" s="183"/>
      <c r="FI472" s="183"/>
      <c r="FJ472" s="183"/>
      <c r="FK472" s="183"/>
      <c r="FL472" s="183"/>
      <c r="FM472" s="183"/>
      <c r="FN472" s="183"/>
      <c r="FO472" s="183"/>
      <c r="FP472" s="183"/>
      <c r="FQ472" s="183"/>
      <c r="FR472" s="183"/>
      <c r="FS472" s="183"/>
      <c r="FT472" s="183"/>
      <c r="FU472" s="183"/>
      <c r="FV472" s="183"/>
      <c r="FW472" s="183"/>
      <c r="FX472" s="183"/>
      <c r="FY472" s="183"/>
      <c r="FZ472" s="183"/>
      <c r="GA472" s="183"/>
      <c r="GB472" s="183"/>
      <c r="GC472" s="183"/>
      <c r="GD472" s="183"/>
      <c r="GE472" s="183"/>
      <c r="GF472" s="183"/>
      <c r="GG472" s="183"/>
      <c r="GH472" s="183"/>
      <c r="GI472" s="183"/>
      <c r="GJ472" s="183"/>
      <c r="GK472" s="183"/>
      <c r="GL472" s="183"/>
      <c r="GM472" s="183"/>
      <c r="GN472" s="183"/>
      <c r="GO472" s="183"/>
      <c r="GP472" s="183"/>
      <c r="GQ472" s="183"/>
      <c r="GR472" s="183"/>
      <c r="GS472" s="183"/>
      <c r="GT472" s="183"/>
      <c r="GU472" s="183"/>
      <c r="GV472" s="183"/>
      <c r="GW472" s="183"/>
      <c r="GX472" s="183"/>
      <c r="GY472" s="183"/>
      <c r="GZ472" s="183"/>
      <c r="HA472" s="183"/>
      <c r="HB472" s="183"/>
      <c r="HC472" s="183"/>
      <c r="HD472" s="183"/>
      <c r="HE472" s="183"/>
      <c r="HF472" s="183"/>
      <c r="HG472" s="183"/>
      <c r="HH472" s="183"/>
      <c r="HI472" s="183"/>
      <c r="HJ472" s="183"/>
      <c r="HK472" s="183"/>
      <c r="HL472" s="183"/>
      <c r="HM472" s="183"/>
      <c r="HN472" s="183"/>
      <c r="HO472" s="183"/>
      <c r="HP472" s="183"/>
      <c r="HQ472" s="183"/>
      <c r="HR472" s="183"/>
      <c r="HS472" s="183"/>
      <c r="HT472" s="183"/>
      <c r="HU472" s="183"/>
      <c r="HV472" s="183"/>
      <c r="HW472" s="183"/>
      <c r="HX472" s="183"/>
      <c r="HY472" s="183"/>
      <c r="HZ472" s="183"/>
      <c r="IA472" s="183"/>
      <c r="IB472" s="183"/>
      <c r="IC472" s="183"/>
      <c r="ID472" s="183"/>
      <c r="IE472" s="183"/>
      <c r="IF472" s="183"/>
      <c r="IG472" s="183"/>
      <c r="IH472" s="183"/>
      <c r="II472" s="183"/>
      <c r="IJ472" s="183"/>
      <c r="IK472" s="183"/>
      <c r="IL472" s="183"/>
      <c r="IM472" s="183"/>
      <c r="IN472" s="183"/>
      <c r="IO472" s="183"/>
      <c r="IP472" s="183"/>
      <c r="IQ472" s="183"/>
    </row>
    <row r="473" spans="1:251" x14ac:dyDescent="0.3">
      <c r="A473" s="268" t="s">
        <v>1873</v>
      </c>
      <c r="B473" s="271" t="s">
        <v>46</v>
      </c>
      <c r="C473" s="274" t="s">
        <v>36</v>
      </c>
      <c r="D473" s="265" t="s">
        <v>37</v>
      </c>
      <c r="E473" s="265" t="s">
        <v>38</v>
      </c>
      <c r="F473" s="108" t="s">
        <v>233</v>
      </c>
      <c r="G473" s="286"/>
      <c r="H473" s="289"/>
      <c r="I473" s="290"/>
      <c r="J473" s="290"/>
      <c r="K473" s="290"/>
      <c r="L473" s="290"/>
      <c r="M473" s="290"/>
      <c r="N473" s="290"/>
      <c r="O473" s="290"/>
      <c r="P473" s="290"/>
      <c r="Q473" s="290"/>
      <c r="R473" s="290"/>
      <c r="S473" s="290"/>
      <c r="T473" s="290"/>
      <c r="U473" s="290"/>
      <c r="V473" s="290"/>
      <c r="W473" s="290"/>
      <c r="X473" s="290"/>
      <c r="Y473" s="290"/>
      <c r="Z473" s="290"/>
      <c r="AA473" s="290"/>
      <c r="AB473" s="290"/>
      <c r="AC473" s="290"/>
      <c r="AD473" s="290"/>
      <c r="AE473" s="290"/>
      <c r="AF473" s="290"/>
      <c r="AG473" s="290"/>
      <c r="AH473" s="290"/>
      <c r="AI473" s="290"/>
      <c r="AJ473" s="290"/>
      <c r="AK473" s="290"/>
      <c r="AL473" s="290"/>
      <c r="AM473" s="290"/>
      <c r="AN473" s="290"/>
      <c r="AO473" s="290"/>
      <c r="AP473" s="290"/>
      <c r="AQ473" s="290"/>
      <c r="AR473" s="290"/>
      <c r="AS473" s="290"/>
      <c r="AT473" s="290"/>
      <c r="AU473" s="290"/>
      <c r="AV473" s="290"/>
      <c r="AW473" s="290"/>
      <c r="AX473" s="290"/>
      <c r="AY473" s="290"/>
      <c r="AZ473" s="290"/>
      <c r="BA473" s="290"/>
      <c r="BB473" s="290"/>
      <c r="BC473" s="290"/>
      <c r="BD473" s="290"/>
      <c r="BE473" s="290"/>
      <c r="BF473" s="290"/>
      <c r="BG473" s="290"/>
      <c r="BH473" s="290"/>
      <c r="BI473" s="290"/>
      <c r="BJ473" s="290"/>
      <c r="BK473" s="290"/>
      <c r="BL473" s="290"/>
      <c r="BM473" s="290"/>
      <c r="BN473" s="290"/>
      <c r="BO473" s="290"/>
      <c r="BP473" s="290"/>
      <c r="BQ473" s="290"/>
      <c r="BR473" s="290"/>
      <c r="BS473" s="290"/>
      <c r="BT473" s="290"/>
      <c r="BU473" s="290"/>
      <c r="BV473" s="290"/>
      <c r="BW473" s="290"/>
      <c r="BX473" s="290"/>
      <c r="BY473" s="290"/>
      <c r="BZ473" s="290"/>
      <c r="CA473" s="290"/>
      <c r="CB473" s="290"/>
      <c r="CC473" s="290"/>
      <c r="CD473" s="290"/>
      <c r="CE473" s="290"/>
      <c r="CF473" s="290"/>
      <c r="CG473" s="290"/>
      <c r="CH473" s="290"/>
      <c r="CI473" s="290"/>
      <c r="CJ473" s="290"/>
      <c r="CK473" s="290"/>
      <c r="CL473" s="290"/>
      <c r="CM473" s="290"/>
      <c r="CN473" s="290"/>
      <c r="CO473" s="290"/>
      <c r="CP473" s="290"/>
      <c r="CQ473" s="290"/>
      <c r="CR473" s="290"/>
      <c r="CS473" s="290"/>
      <c r="CT473" s="290"/>
      <c r="CU473" s="290"/>
      <c r="CV473" s="290"/>
      <c r="CW473" s="290"/>
      <c r="CX473" s="290"/>
      <c r="CY473" s="290"/>
      <c r="CZ473" s="290"/>
      <c r="DA473" s="290"/>
      <c r="DB473" s="290"/>
      <c r="DC473" s="290"/>
      <c r="DD473" s="290"/>
      <c r="DE473" s="290"/>
      <c r="DF473" s="290"/>
      <c r="DG473" s="290"/>
      <c r="DH473" s="290"/>
      <c r="DI473" s="290"/>
      <c r="DJ473" s="290"/>
      <c r="DK473" s="290"/>
      <c r="DL473" s="290"/>
      <c r="DM473" s="290"/>
      <c r="DN473" s="290"/>
      <c r="DO473" s="290"/>
      <c r="DP473" s="290"/>
      <c r="DQ473" s="290"/>
      <c r="DR473" s="290"/>
      <c r="DS473" s="290"/>
      <c r="DT473" s="290"/>
      <c r="DU473" s="290"/>
      <c r="DV473" s="290"/>
      <c r="DW473" s="290"/>
      <c r="DX473" s="290"/>
      <c r="DY473" s="290"/>
      <c r="DZ473" s="290"/>
      <c r="EA473" s="290"/>
      <c r="EB473" s="290"/>
      <c r="EC473" s="290"/>
      <c r="ED473" s="290"/>
      <c r="EE473" s="290"/>
      <c r="EF473" s="290"/>
      <c r="EG473" s="290"/>
      <c r="EH473" s="290"/>
      <c r="EI473" s="290"/>
      <c r="EJ473" s="290"/>
      <c r="EK473" s="290"/>
      <c r="EL473" s="290"/>
      <c r="EM473" s="290"/>
      <c r="EN473" s="290"/>
      <c r="EO473" s="290"/>
      <c r="EP473" s="290"/>
      <c r="EQ473" s="290"/>
      <c r="ER473" s="290"/>
      <c r="ES473" s="290"/>
      <c r="ET473" s="290"/>
      <c r="EU473" s="290"/>
      <c r="EV473" s="290"/>
      <c r="EW473" s="290"/>
      <c r="EX473" s="290"/>
      <c r="EY473" s="290"/>
      <c r="EZ473" s="290"/>
      <c r="FA473" s="290"/>
      <c r="FB473" s="290"/>
      <c r="FC473" s="290"/>
      <c r="FD473" s="290"/>
      <c r="FE473" s="290"/>
      <c r="FF473" s="290"/>
      <c r="FG473" s="290"/>
      <c r="FH473" s="290"/>
      <c r="FI473" s="290"/>
      <c r="FJ473" s="290"/>
      <c r="FK473" s="290"/>
      <c r="FL473" s="290"/>
      <c r="FM473" s="290"/>
      <c r="FN473" s="290"/>
      <c r="FO473" s="290"/>
      <c r="FP473" s="290"/>
      <c r="FQ473" s="290"/>
      <c r="FR473" s="290"/>
      <c r="FS473" s="290"/>
      <c r="FT473" s="290"/>
      <c r="FU473" s="290"/>
      <c r="FV473" s="290"/>
      <c r="FW473" s="290"/>
      <c r="FX473" s="290"/>
      <c r="FY473" s="290"/>
      <c r="FZ473" s="290"/>
      <c r="GA473" s="290"/>
      <c r="GB473" s="290"/>
      <c r="GC473" s="290"/>
      <c r="GD473" s="290"/>
      <c r="GE473" s="290"/>
      <c r="GF473" s="290"/>
      <c r="GG473" s="290"/>
      <c r="GH473" s="290"/>
      <c r="GI473" s="290"/>
      <c r="GJ473" s="290"/>
      <c r="GK473" s="290"/>
      <c r="GL473" s="290"/>
      <c r="GM473" s="290"/>
      <c r="GN473" s="290"/>
      <c r="GO473" s="290"/>
      <c r="GP473" s="290"/>
      <c r="GQ473" s="290"/>
      <c r="GR473" s="290"/>
      <c r="GS473" s="290"/>
      <c r="GT473" s="290"/>
      <c r="GU473" s="290"/>
      <c r="GV473" s="290"/>
      <c r="GW473" s="290"/>
      <c r="GX473" s="290"/>
      <c r="GY473" s="290"/>
      <c r="GZ473" s="290"/>
      <c r="HA473" s="290"/>
      <c r="HB473" s="290"/>
      <c r="HC473" s="290"/>
      <c r="HD473" s="290"/>
      <c r="HE473" s="290"/>
      <c r="HF473" s="290"/>
      <c r="HG473" s="290"/>
      <c r="HH473" s="290"/>
      <c r="HI473" s="290"/>
      <c r="HJ473" s="290"/>
      <c r="HK473" s="290"/>
      <c r="HL473" s="290"/>
      <c r="HM473" s="290"/>
      <c r="HN473" s="290"/>
      <c r="HO473" s="290"/>
      <c r="HP473" s="290"/>
      <c r="HQ473" s="290"/>
      <c r="HR473" s="290"/>
      <c r="HS473" s="290"/>
      <c r="HT473" s="290"/>
      <c r="HU473" s="290"/>
      <c r="HV473" s="290"/>
      <c r="HW473" s="290"/>
      <c r="HX473" s="290"/>
      <c r="HY473" s="290"/>
      <c r="HZ473" s="290"/>
      <c r="IA473" s="290"/>
      <c r="IB473" s="290"/>
      <c r="IC473" s="290"/>
      <c r="ID473" s="290"/>
      <c r="IE473" s="290"/>
      <c r="IF473" s="290"/>
      <c r="IG473" s="290"/>
      <c r="IH473" s="290"/>
      <c r="II473" s="290"/>
      <c r="IJ473" s="290"/>
      <c r="IK473" s="290"/>
      <c r="IL473" s="290"/>
      <c r="IM473" s="290"/>
      <c r="IN473" s="290"/>
      <c r="IO473" s="290"/>
      <c r="IP473" s="290"/>
      <c r="IQ473" s="290"/>
    </row>
    <row r="474" spans="1:251" x14ac:dyDescent="0.3">
      <c r="A474" s="269"/>
      <c r="B474" s="272"/>
      <c r="C474" s="275"/>
      <c r="D474" s="266"/>
      <c r="E474" s="266"/>
      <c r="F474" s="109" t="s">
        <v>234</v>
      </c>
      <c r="G474" s="287"/>
      <c r="H474" s="289"/>
      <c r="I474" s="290"/>
      <c r="J474" s="290"/>
      <c r="K474" s="290"/>
      <c r="L474" s="290"/>
      <c r="M474" s="290"/>
      <c r="N474" s="290"/>
      <c r="O474" s="290"/>
      <c r="P474" s="290"/>
      <c r="Q474" s="290"/>
      <c r="R474" s="290"/>
      <c r="S474" s="290"/>
      <c r="T474" s="290"/>
      <c r="U474" s="290"/>
      <c r="V474" s="290"/>
      <c r="W474" s="290"/>
      <c r="X474" s="290"/>
      <c r="Y474" s="290"/>
      <c r="Z474" s="290"/>
      <c r="AA474" s="290"/>
      <c r="AB474" s="290"/>
      <c r="AC474" s="290"/>
      <c r="AD474" s="290"/>
      <c r="AE474" s="290"/>
      <c r="AF474" s="290"/>
      <c r="AG474" s="290"/>
      <c r="AH474" s="290"/>
      <c r="AI474" s="290"/>
      <c r="AJ474" s="290"/>
      <c r="AK474" s="290"/>
      <c r="AL474" s="290"/>
      <c r="AM474" s="290"/>
      <c r="AN474" s="290"/>
      <c r="AO474" s="290"/>
      <c r="AP474" s="290"/>
      <c r="AQ474" s="290"/>
      <c r="AR474" s="290"/>
      <c r="AS474" s="290"/>
      <c r="AT474" s="290"/>
      <c r="AU474" s="290"/>
      <c r="AV474" s="290"/>
      <c r="AW474" s="290"/>
      <c r="AX474" s="290"/>
      <c r="AY474" s="290"/>
      <c r="AZ474" s="290"/>
      <c r="BA474" s="290"/>
      <c r="BB474" s="290"/>
      <c r="BC474" s="290"/>
      <c r="BD474" s="290"/>
      <c r="BE474" s="290"/>
      <c r="BF474" s="290"/>
      <c r="BG474" s="290"/>
      <c r="BH474" s="290"/>
      <c r="BI474" s="290"/>
      <c r="BJ474" s="290"/>
      <c r="BK474" s="290"/>
      <c r="BL474" s="290"/>
      <c r="BM474" s="290"/>
      <c r="BN474" s="290"/>
      <c r="BO474" s="290"/>
      <c r="BP474" s="290"/>
      <c r="BQ474" s="290"/>
      <c r="BR474" s="290"/>
      <c r="BS474" s="290"/>
      <c r="BT474" s="290"/>
      <c r="BU474" s="290"/>
      <c r="BV474" s="290"/>
      <c r="BW474" s="290"/>
      <c r="BX474" s="290"/>
      <c r="BY474" s="290"/>
      <c r="BZ474" s="290"/>
      <c r="CA474" s="290"/>
      <c r="CB474" s="290"/>
      <c r="CC474" s="290"/>
      <c r="CD474" s="290"/>
      <c r="CE474" s="290"/>
      <c r="CF474" s="290"/>
      <c r="CG474" s="290"/>
      <c r="CH474" s="290"/>
      <c r="CI474" s="290"/>
      <c r="CJ474" s="290"/>
      <c r="CK474" s="290"/>
      <c r="CL474" s="290"/>
      <c r="CM474" s="290"/>
      <c r="CN474" s="290"/>
      <c r="CO474" s="290"/>
      <c r="CP474" s="290"/>
      <c r="CQ474" s="290"/>
      <c r="CR474" s="290"/>
      <c r="CS474" s="290"/>
      <c r="CT474" s="290"/>
      <c r="CU474" s="290"/>
      <c r="CV474" s="290"/>
      <c r="CW474" s="290"/>
      <c r="CX474" s="290"/>
      <c r="CY474" s="290"/>
      <c r="CZ474" s="290"/>
      <c r="DA474" s="290"/>
      <c r="DB474" s="290"/>
      <c r="DC474" s="290"/>
      <c r="DD474" s="290"/>
      <c r="DE474" s="290"/>
      <c r="DF474" s="290"/>
      <c r="DG474" s="290"/>
      <c r="DH474" s="290"/>
      <c r="DI474" s="290"/>
      <c r="DJ474" s="290"/>
      <c r="DK474" s="290"/>
      <c r="DL474" s="290"/>
      <c r="DM474" s="290"/>
      <c r="DN474" s="290"/>
      <c r="DO474" s="290"/>
      <c r="DP474" s="290"/>
      <c r="DQ474" s="290"/>
      <c r="DR474" s="290"/>
      <c r="DS474" s="290"/>
      <c r="DT474" s="290"/>
      <c r="DU474" s="290"/>
      <c r="DV474" s="290"/>
      <c r="DW474" s="290"/>
      <c r="DX474" s="290"/>
      <c r="DY474" s="290"/>
      <c r="DZ474" s="290"/>
      <c r="EA474" s="290"/>
      <c r="EB474" s="290"/>
      <c r="EC474" s="290"/>
      <c r="ED474" s="290"/>
      <c r="EE474" s="290"/>
      <c r="EF474" s="290"/>
      <c r="EG474" s="290"/>
      <c r="EH474" s="290"/>
      <c r="EI474" s="290"/>
      <c r="EJ474" s="290"/>
      <c r="EK474" s="290"/>
      <c r="EL474" s="290"/>
      <c r="EM474" s="290"/>
      <c r="EN474" s="290"/>
      <c r="EO474" s="290"/>
      <c r="EP474" s="290"/>
      <c r="EQ474" s="290"/>
      <c r="ER474" s="290"/>
      <c r="ES474" s="290"/>
      <c r="ET474" s="290"/>
      <c r="EU474" s="290"/>
      <c r="EV474" s="290"/>
      <c r="EW474" s="290"/>
      <c r="EX474" s="290"/>
      <c r="EY474" s="290"/>
      <c r="EZ474" s="290"/>
      <c r="FA474" s="290"/>
      <c r="FB474" s="290"/>
      <c r="FC474" s="290"/>
      <c r="FD474" s="290"/>
      <c r="FE474" s="290"/>
      <c r="FF474" s="290"/>
      <c r="FG474" s="290"/>
      <c r="FH474" s="290"/>
      <c r="FI474" s="290"/>
      <c r="FJ474" s="290"/>
      <c r="FK474" s="290"/>
      <c r="FL474" s="290"/>
      <c r="FM474" s="290"/>
      <c r="FN474" s="290"/>
      <c r="FO474" s="290"/>
      <c r="FP474" s="290"/>
      <c r="FQ474" s="290"/>
      <c r="FR474" s="290"/>
      <c r="FS474" s="290"/>
      <c r="FT474" s="290"/>
      <c r="FU474" s="290"/>
      <c r="FV474" s="290"/>
      <c r="FW474" s="290"/>
      <c r="FX474" s="290"/>
      <c r="FY474" s="290"/>
      <c r="FZ474" s="290"/>
      <c r="GA474" s="290"/>
      <c r="GB474" s="290"/>
      <c r="GC474" s="290"/>
      <c r="GD474" s="290"/>
      <c r="GE474" s="290"/>
      <c r="GF474" s="290"/>
      <c r="GG474" s="290"/>
      <c r="GH474" s="290"/>
      <c r="GI474" s="290"/>
      <c r="GJ474" s="290"/>
      <c r="GK474" s="290"/>
      <c r="GL474" s="290"/>
      <c r="GM474" s="290"/>
      <c r="GN474" s="290"/>
      <c r="GO474" s="290"/>
      <c r="GP474" s="290"/>
      <c r="GQ474" s="290"/>
      <c r="GR474" s="290"/>
      <c r="GS474" s="290"/>
      <c r="GT474" s="290"/>
      <c r="GU474" s="290"/>
      <c r="GV474" s="290"/>
      <c r="GW474" s="290"/>
      <c r="GX474" s="290"/>
      <c r="GY474" s="290"/>
      <c r="GZ474" s="290"/>
      <c r="HA474" s="290"/>
      <c r="HB474" s="290"/>
      <c r="HC474" s="290"/>
      <c r="HD474" s="290"/>
      <c r="HE474" s="290"/>
      <c r="HF474" s="290"/>
      <c r="HG474" s="290"/>
      <c r="HH474" s="290"/>
      <c r="HI474" s="290"/>
      <c r="HJ474" s="290"/>
      <c r="HK474" s="290"/>
      <c r="HL474" s="290"/>
      <c r="HM474" s="290"/>
      <c r="HN474" s="290"/>
      <c r="HO474" s="290"/>
      <c r="HP474" s="290"/>
      <c r="HQ474" s="290"/>
      <c r="HR474" s="290"/>
      <c r="HS474" s="290"/>
      <c r="HT474" s="290"/>
      <c r="HU474" s="290"/>
      <c r="HV474" s="290"/>
      <c r="HW474" s="290"/>
      <c r="HX474" s="290"/>
      <c r="HY474" s="290"/>
      <c r="HZ474" s="290"/>
      <c r="IA474" s="290"/>
      <c r="IB474" s="290"/>
      <c r="IC474" s="290"/>
      <c r="ID474" s="290"/>
      <c r="IE474" s="290"/>
      <c r="IF474" s="290"/>
      <c r="IG474" s="290"/>
      <c r="IH474" s="290"/>
      <c r="II474" s="290"/>
      <c r="IJ474" s="290"/>
      <c r="IK474" s="290"/>
      <c r="IL474" s="290"/>
      <c r="IM474" s="290"/>
      <c r="IN474" s="290"/>
      <c r="IO474" s="290"/>
      <c r="IP474" s="290"/>
      <c r="IQ474" s="290"/>
    </row>
    <row r="475" spans="1:251" x14ac:dyDescent="0.3">
      <c r="A475" s="270"/>
      <c r="B475" s="273"/>
      <c r="C475" s="276"/>
      <c r="D475" s="267"/>
      <c r="E475" s="267"/>
      <c r="F475" s="110" t="s">
        <v>235</v>
      </c>
      <c r="G475" s="288"/>
      <c r="H475" s="289"/>
      <c r="I475" s="290"/>
      <c r="J475" s="290"/>
      <c r="K475" s="290"/>
      <c r="L475" s="290"/>
      <c r="M475" s="290"/>
      <c r="N475" s="290"/>
      <c r="O475" s="290"/>
      <c r="P475" s="290"/>
      <c r="Q475" s="290"/>
      <c r="R475" s="290"/>
      <c r="S475" s="290"/>
      <c r="T475" s="290"/>
      <c r="U475" s="290"/>
      <c r="V475" s="290"/>
      <c r="W475" s="290"/>
      <c r="X475" s="290"/>
      <c r="Y475" s="290"/>
      <c r="Z475" s="290"/>
      <c r="AA475" s="290"/>
      <c r="AB475" s="290"/>
      <c r="AC475" s="290"/>
      <c r="AD475" s="290"/>
      <c r="AE475" s="290"/>
      <c r="AF475" s="290"/>
      <c r="AG475" s="290"/>
      <c r="AH475" s="290"/>
      <c r="AI475" s="290"/>
      <c r="AJ475" s="290"/>
      <c r="AK475" s="290"/>
      <c r="AL475" s="290"/>
      <c r="AM475" s="290"/>
      <c r="AN475" s="290"/>
      <c r="AO475" s="290"/>
      <c r="AP475" s="290"/>
      <c r="AQ475" s="290"/>
      <c r="AR475" s="290"/>
      <c r="AS475" s="290"/>
      <c r="AT475" s="290"/>
      <c r="AU475" s="290"/>
      <c r="AV475" s="290"/>
      <c r="AW475" s="290"/>
      <c r="AX475" s="290"/>
      <c r="AY475" s="290"/>
      <c r="AZ475" s="290"/>
      <c r="BA475" s="290"/>
      <c r="BB475" s="290"/>
      <c r="BC475" s="290"/>
      <c r="BD475" s="290"/>
      <c r="BE475" s="290"/>
      <c r="BF475" s="290"/>
      <c r="BG475" s="290"/>
      <c r="BH475" s="290"/>
      <c r="BI475" s="290"/>
      <c r="BJ475" s="290"/>
      <c r="BK475" s="290"/>
      <c r="BL475" s="290"/>
      <c r="BM475" s="290"/>
      <c r="BN475" s="290"/>
      <c r="BO475" s="290"/>
      <c r="BP475" s="290"/>
      <c r="BQ475" s="290"/>
      <c r="BR475" s="290"/>
      <c r="BS475" s="290"/>
      <c r="BT475" s="290"/>
      <c r="BU475" s="290"/>
      <c r="BV475" s="290"/>
      <c r="BW475" s="290"/>
      <c r="BX475" s="290"/>
      <c r="BY475" s="290"/>
      <c r="BZ475" s="290"/>
      <c r="CA475" s="290"/>
      <c r="CB475" s="290"/>
      <c r="CC475" s="290"/>
      <c r="CD475" s="290"/>
      <c r="CE475" s="290"/>
      <c r="CF475" s="290"/>
      <c r="CG475" s="290"/>
      <c r="CH475" s="290"/>
      <c r="CI475" s="290"/>
      <c r="CJ475" s="290"/>
      <c r="CK475" s="290"/>
      <c r="CL475" s="290"/>
      <c r="CM475" s="290"/>
      <c r="CN475" s="290"/>
      <c r="CO475" s="290"/>
      <c r="CP475" s="290"/>
      <c r="CQ475" s="290"/>
      <c r="CR475" s="290"/>
      <c r="CS475" s="290"/>
      <c r="CT475" s="290"/>
      <c r="CU475" s="290"/>
      <c r="CV475" s="290"/>
      <c r="CW475" s="290"/>
      <c r="CX475" s="290"/>
      <c r="CY475" s="290"/>
      <c r="CZ475" s="290"/>
      <c r="DA475" s="290"/>
      <c r="DB475" s="290"/>
      <c r="DC475" s="290"/>
      <c r="DD475" s="290"/>
      <c r="DE475" s="290"/>
      <c r="DF475" s="290"/>
      <c r="DG475" s="290"/>
      <c r="DH475" s="290"/>
      <c r="DI475" s="290"/>
      <c r="DJ475" s="290"/>
      <c r="DK475" s="290"/>
      <c r="DL475" s="290"/>
      <c r="DM475" s="290"/>
      <c r="DN475" s="290"/>
      <c r="DO475" s="290"/>
      <c r="DP475" s="290"/>
      <c r="DQ475" s="290"/>
      <c r="DR475" s="290"/>
      <c r="DS475" s="290"/>
      <c r="DT475" s="290"/>
      <c r="DU475" s="290"/>
      <c r="DV475" s="290"/>
      <c r="DW475" s="290"/>
      <c r="DX475" s="290"/>
      <c r="DY475" s="290"/>
      <c r="DZ475" s="290"/>
      <c r="EA475" s="290"/>
      <c r="EB475" s="290"/>
      <c r="EC475" s="290"/>
      <c r="ED475" s="290"/>
      <c r="EE475" s="290"/>
      <c r="EF475" s="290"/>
      <c r="EG475" s="290"/>
      <c r="EH475" s="290"/>
      <c r="EI475" s="290"/>
      <c r="EJ475" s="290"/>
      <c r="EK475" s="290"/>
      <c r="EL475" s="290"/>
      <c r="EM475" s="290"/>
      <c r="EN475" s="290"/>
      <c r="EO475" s="290"/>
      <c r="EP475" s="290"/>
      <c r="EQ475" s="290"/>
      <c r="ER475" s="290"/>
      <c r="ES475" s="290"/>
      <c r="ET475" s="290"/>
      <c r="EU475" s="290"/>
      <c r="EV475" s="290"/>
      <c r="EW475" s="290"/>
      <c r="EX475" s="290"/>
      <c r="EY475" s="290"/>
      <c r="EZ475" s="290"/>
      <c r="FA475" s="290"/>
      <c r="FB475" s="290"/>
      <c r="FC475" s="290"/>
      <c r="FD475" s="290"/>
      <c r="FE475" s="290"/>
      <c r="FF475" s="290"/>
      <c r="FG475" s="290"/>
      <c r="FH475" s="290"/>
      <c r="FI475" s="290"/>
      <c r="FJ475" s="290"/>
      <c r="FK475" s="290"/>
      <c r="FL475" s="290"/>
      <c r="FM475" s="290"/>
      <c r="FN475" s="290"/>
      <c r="FO475" s="290"/>
      <c r="FP475" s="290"/>
      <c r="FQ475" s="290"/>
      <c r="FR475" s="290"/>
      <c r="FS475" s="290"/>
      <c r="FT475" s="290"/>
      <c r="FU475" s="290"/>
      <c r="FV475" s="290"/>
      <c r="FW475" s="290"/>
      <c r="FX475" s="290"/>
      <c r="FY475" s="290"/>
      <c r="FZ475" s="290"/>
      <c r="GA475" s="290"/>
      <c r="GB475" s="290"/>
      <c r="GC475" s="290"/>
      <c r="GD475" s="290"/>
      <c r="GE475" s="290"/>
      <c r="GF475" s="290"/>
      <c r="GG475" s="290"/>
      <c r="GH475" s="290"/>
      <c r="GI475" s="290"/>
      <c r="GJ475" s="290"/>
      <c r="GK475" s="290"/>
      <c r="GL475" s="290"/>
      <c r="GM475" s="290"/>
      <c r="GN475" s="290"/>
      <c r="GO475" s="290"/>
      <c r="GP475" s="290"/>
      <c r="GQ475" s="290"/>
      <c r="GR475" s="290"/>
      <c r="GS475" s="290"/>
      <c r="GT475" s="290"/>
      <c r="GU475" s="290"/>
      <c r="GV475" s="290"/>
      <c r="GW475" s="290"/>
      <c r="GX475" s="290"/>
      <c r="GY475" s="290"/>
      <c r="GZ475" s="290"/>
      <c r="HA475" s="290"/>
      <c r="HB475" s="290"/>
      <c r="HC475" s="290"/>
      <c r="HD475" s="290"/>
      <c r="HE475" s="290"/>
      <c r="HF475" s="290"/>
      <c r="HG475" s="290"/>
      <c r="HH475" s="290"/>
      <c r="HI475" s="290"/>
      <c r="HJ475" s="290"/>
      <c r="HK475" s="290"/>
      <c r="HL475" s="290"/>
      <c r="HM475" s="290"/>
      <c r="HN475" s="290"/>
      <c r="HO475" s="290"/>
      <c r="HP475" s="290"/>
      <c r="HQ475" s="290"/>
      <c r="HR475" s="290"/>
      <c r="HS475" s="290"/>
      <c r="HT475" s="290"/>
      <c r="HU475" s="290"/>
      <c r="HV475" s="290"/>
      <c r="HW475" s="290"/>
      <c r="HX475" s="290"/>
      <c r="HY475" s="290"/>
      <c r="HZ475" s="290"/>
      <c r="IA475" s="290"/>
      <c r="IB475" s="290"/>
      <c r="IC475" s="290"/>
      <c r="ID475" s="290"/>
      <c r="IE475" s="290"/>
      <c r="IF475" s="290"/>
      <c r="IG475" s="290"/>
      <c r="IH475" s="290"/>
      <c r="II475" s="290"/>
      <c r="IJ475" s="290"/>
      <c r="IK475" s="290"/>
      <c r="IL475" s="290"/>
      <c r="IM475" s="290"/>
      <c r="IN475" s="290"/>
      <c r="IO475" s="290"/>
      <c r="IP475" s="290"/>
      <c r="IQ475" s="290"/>
    </row>
    <row r="476" spans="1:251" x14ac:dyDescent="0.3">
      <c r="A476" s="268" t="s">
        <v>1873</v>
      </c>
      <c r="B476" s="271" t="s">
        <v>48</v>
      </c>
      <c r="C476" s="274" t="s">
        <v>49</v>
      </c>
      <c r="D476" s="265" t="s">
        <v>37</v>
      </c>
      <c r="E476" s="265" t="s">
        <v>38</v>
      </c>
      <c r="F476" s="111" t="s">
        <v>236</v>
      </c>
      <c r="G476" s="286"/>
      <c r="H476" s="289"/>
      <c r="I476" s="290"/>
      <c r="J476" s="290"/>
      <c r="K476" s="290"/>
      <c r="L476" s="290"/>
      <c r="M476" s="290"/>
      <c r="N476" s="290"/>
      <c r="O476" s="290"/>
      <c r="P476" s="290"/>
      <c r="Q476" s="290"/>
      <c r="R476" s="290"/>
      <c r="S476" s="290"/>
      <c r="T476" s="290"/>
      <c r="U476" s="290"/>
      <c r="V476" s="290"/>
      <c r="W476" s="290"/>
      <c r="X476" s="290"/>
      <c r="Y476" s="290"/>
      <c r="Z476" s="290"/>
      <c r="AA476" s="290"/>
      <c r="AB476" s="290"/>
      <c r="AC476" s="290"/>
      <c r="AD476" s="290"/>
      <c r="AE476" s="290"/>
      <c r="AF476" s="290"/>
      <c r="AG476" s="290"/>
      <c r="AH476" s="290"/>
      <c r="AI476" s="290"/>
      <c r="AJ476" s="290"/>
      <c r="AK476" s="290"/>
      <c r="AL476" s="290"/>
      <c r="AM476" s="290"/>
      <c r="AN476" s="290"/>
      <c r="AO476" s="290"/>
      <c r="AP476" s="290"/>
      <c r="AQ476" s="290"/>
      <c r="AR476" s="290"/>
      <c r="AS476" s="290"/>
      <c r="AT476" s="290"/>
      <c r="AU476" s="290"/>
      <c r="AV476" s="290"/>
      <c r="AW476" s="290"/>
      <c r="AX476" s="290"/>
      <c r="AY476" s="290"/>
      <c r="AZ476" s="290"/>
      <c r="BA476" s="290"/>
      <c r="BB476" s="290"/>
      <c r="BC476" s="290"/>
      <c r="BD476" s="290"/>
      <c r="BE476" s="290"/>
      <c r="BF476" s="290"/>
      <c r="BG476" s="290"/>
      <c r="BH476" s="290"/>
      <c r="BI476" s="290"/>
      <c r="BJ476" s="290"/>
      <c r="BK476" s="290"/>
      <c r="BL476" s="290"/>
      <c r="BM476" s="290"/>
      <c r="BN476" s="290"/>
      <c r="BO476" s="290"/>
      <c r="BP476" s="290"/>
      <c r="BQ476" s="290"/>
      <c r="BR476" s="290"/>
      <c r="BS476" s="290"/>
      <c r="BT476" s="290"/>
      <c r="BU476" s="290"/>
      <c r="BV476" s="290"/>
      <c r="BW476" s="290"/>
      <c r="BX476" s="290"/>
      <c r="BY476" s="290"/>
      <c r="BZ476" s="290"/>
      <c r="CA476" s="290"/>
      <c r="CB476" s="290"/>
      <c r="CC476" s="290"/>
      <c r="CD476" s="290"/>
      <c r="CE476" s="290"/>
      <c r="CF476" s="290"/>
      <c r="CG476" s="290"/>
      <c r="CH476" s="290"/>
      <c r="CI476" s="290"/>
      <c r="CJ476" s="290"/>
      <c r="CK476" s="290"/>
      <c r="CL476" s="290"/>
      <c r="CM476" s="290"/>
      <c r="CN476" s="290"/>
      <c r="CO476" s="290"/>
      <c r="CP476" s="290"/>
      <c r="CQ476" s="290"/>
      <c r="CR476" s="290"/>
      <c r="CS476" s="290"/>
      <c r="CT476" s="290"/>
      <c r="CU476" s="290"/>
      <c r="CV476" s="290"/>
      <c r="CW476" s="290"/>
      <c r="CX476" s="290"/>
      <c r="CY476" s="290"/>
      <c r="CZ476" s="290"/>
      <c r="DA476" s="290"/>
      <c r="DB476" s="290"/>
      <c r="DC476" s="290"/>
      <c r="DD476" s="290"/>
      <c r="DE476" s="290"/>
      <c r="DF476" s="290"/>
      <c r="DG476" s="290"/>
      <c r="DH476" s="290"/>
      <c r="DI476" s="290"/>
      <c r="DJ476" s="290"/>
      <c r="DK476" s="290"/>
      <c r="DL476" s="290"/>
      <c r="DM476" s="290"/>
      <c r="DN476" s="290"/>
      <c r="DO476" s="290"/>
      <c r="DP476" s="290"/>
      <c r="DQ476" s="290"/>
      <c r="DR476" s="290"/>
      <c r="DS476" s="290"/>
      <c r="DT476" s="290"/>
      <c r="DU476" s="290"/>
      <c r="DV476" s="290"/>
      <c r="DW476" s="290"/>
      <c r="DX476" s="290"/>
      <c r="DY476" s="290"/>
      <c r="DZ476" s="290"/>
      <c r="EA476" s="290"/>
      <c r="EB476" s="290"/>
      <c r="EC476" s="290"/>
      <c r="ED476" s="290"/>
      <c r="EE476" s="290"/>
      <c r="EF476" s="290"/>
      <c r="EG476" s="290"/>
      <c r="EH476" s="290"/>
      <c r="EI476" s="290"/>
      <c r="EJ476" s="290"/>
      <c r="EK476" s="290"/>
      <c r="EL476" s="290"/>
      <c r="EM476" s="290"/>
      <c r="EN476" s="290"/>
      <c r="EO476" s="290"/>
      <c r="EP476" s="290"/>
      <c r="EQ476" s="290"/>
      <c r="ER476" s="290"/>
      <c r="ES476" s="290"/>
      <c r="ET476" s="290"/>
      <c r="EU476" s="290"/>
      <c r="EV476" s="290"/>
      <c r="EW476" s="290"/>
      <c r="EX476" s="290"/>
      <c r="EY476" s="290"/>
      <c r="EZ476" s="290"/>
      <c r="FA476" s="290"/>
      <c r="FB476" s="290"/>
      <c r="FC476" s="290"/>
      <c r="FD476" s="290"/>
      <c r="FE476" s="290"/>
      <c r="FF476" s="290"/>
      <c r="FG476" s="290"/>
      <c r="FH476" s="290"/>
      <c r="FI476" s="290"/>
      <c r="FJ476" s="290"/>
      <c r="FK476" s="290"/>
      <c r="FL476" s="290"/>
      <c r="FM476" s="290"/>
      <c r="FN476" s="290"/>
      <c r="FO476" s="290"/>
      <c r="FP476" s="290"/>
      <c r="FQ476" s="290"/>
      <c r="FR476" s="290"/>
      <c r="FS476" s="290"/>
      <c r="FT476" s="290"/>
      <c r="FU476" s="290"/>
      <c r="FV476" s="290"/>
      <c r="FW476" s="290"/>
      <c r="FX476" s="290"/>
      <c r="FY476" s="290"/>
      <c r="FZ476" s="290"/>
      <c r="GA476" s="290"/>
      <c r="GB476" s="290"/>
      <c r="GC476" s="290"/>
      <c r="GD476" s="290"/>
      <c r="GE476" s="290"/>
      <c r="GF476" s="290"/>
      <c r="GG476" s="290"/>
      <c r="GH476" s="290"/>
      <c r="GI476" s="290"/>
      <c r="GJ476" s="290"/>
      <c r="GK476" s="290"/>
      <c r="GL476" s="290"/>
      <c r="GM476" s="290"/>
      <c r="GN476" s="290"/>
      <c r="GO476" s="290"/>
      <c r="GP476" s="290"/>
      <c r="GQ476" s="290"/>
      <c r="GR476" s="290"/>
      <c r="GS476" s="290"/>
      <c r="GT476" s="290"/>
      <c r="GU476" s="290"/>
      <c r="GV476" s="290"/>
      <c r="GW476" s="290"/>
      <c r="GX476" s="290"/>
      <c r="GY476" s="290"/>
      <c r="GZ476" s="290"/>
      <c r="HA476" s="290"/>
      <c r="HB476" s="290"/>
      <c r="HC476" s="290"/>
      <c r="HD476" s="290"/>
      <c r="HE476" s="290"/>
      <c r="HF476" s="290"/>
      <c r="HG476" s="290"/>
      <c r="HH476" s="290"/>
      <c r="HI476" s="290"/>
      <c r="HJ476" s="290"/>
      <c r="HK476" s="290"/>
      <c r="HL476" s="290"/>
      <c r="HM476" s="290"/>
      <c r="HN476" s="290"/>
      <c r="HO476" s="290"/>
      <c r="HP476" s="290"/>
      <c r="HQ476" s="290"/>
      <c r="HR476" s="290"/>
      <c r="HS476" s="290"/>
      <c r="HT476" s="290"/>
      <c r="HU476" s="290"/>
      <c r="HV476" s="290"/>
      <c r="HW476" s="290"/>
      <c r="HX476" s="290"/>
      <c r="HY476" s="290"/>
      <c r="HZ476" s="290"/>
      <c r="IA476" s="290"/>
      <c r="IB476" s="290"/>
      <c r="IC476" s="290"/>
      <c r="ID476" s="290"/>
      <c r="IE476" s="290"/>
      <c r="IF476" s="290"/>
      <c r="IG476" s="290"/>
      <c r="IH476" s="290"/>
      <c r="II476" s="290"/>
      <c r="IJ476" s="290"/>
      <c r="IK476" s="290"/>
      <c r="IL476" s="290"/>
      <c r="IM476" s="290"/>
      <c r="IN476" s="290"/>
      <c r="IO476" s="290"/>
      <c r="IP476" s="290"/>
      <c r="IQ476" s="290"/>
    </row>
    <row r="477" spans="1:251" x14ac:dyDescent="0.3">
      <c r="A477" s="269"/>
      <c r="B477" s="272"/>
      <c r="C477" s="275"/>
      <c r="D477" s="266"/>
      <c r="E477" s="266"/>
      <c r="F477" s="112" t="s">
        <v>237</v>
      </c>
      <c r="G477" s="287"/>
      <c r="H477" s="289"/>
      <c r="I477" s="290"/>
      <c r="J477" s="290"/>
      <c r="K477" s="290"/>
      <c r="L477" s="290"/>
      <c r="M477" s="290"/>
      <c r="N477" s="290"/>
      <c r="O477" s="290"/>
      <c r="P477" s="290"/>
      <c r="Q477" s="290"/>
      <c r="R477" s="290"/>
      <c r="S477" s="290"/>
      <c r="T477" s="290"/>
      <c r="U477" s="290"/>
      <c r="V477" s="290"/>
      <c r="W477" s="290"/>
      <c r="X477" s="290"/>
      <c r="Y477" s="290"/>
      <c r="Z477" s="290"/>
      <c r="AA477" s="290"/>
      <c r="AB477" s="290"/>
      <c r="AC477" s="290"/>
      <c r="AD477" s="290"/>
      <c r="AE477" s="290"/>
      <c r="AF477" s="290"/>
      <c r="AG477" s="290"/>
      <c r="AH477" s="290"/>
      <c r="AI477" s="290"/>
      <c r="AJ477" s="290"/>
      <c r="AK477" s="290"/>
      <c r="AL477" s="290"/>
      <c r="AM477" s="290"/>
      <c r="AN477" s="290"/>
      <c r="AO477" s="290"/>
      <c r="AP477" s="290"/>
      <c r="AQ477" s="290"/>
      <c r="AR477" s="290"/>
      <c r="AS477" s="290"/>
      <c r="AT477" s="290"/>
      <c r="AU477" s="290"/>
      <c r="AV477" s="290"/>
      <c r="AW477" s="290"/>
      <c r="AX477" s="290"/>
      <c r="AY477" s="290"/>
      <c r="AZ477" s="290"/>
      <c r="BA477" s="290"/>
      <c r="BB477" s="290"/>
      <c r="BC477" s="290"/>
      <c r="BD477" s="290"/>
      <c r="BE477" s="290"/>
      <c r="BF477" s="290"/>
      <c r="BG477" s="290"/>
      <c r="BH477" s="290"/>
      <c r="BI477" s="290"/>
      <c r="BJ477" s="290"/>
      <c r="BK477" s="290"/>
      <c r="BL477" s="290"/>
      <c r="BM477" s="290"/>
      <c r="BN477" s="290"/>
      <c r="BO477" s="290"/>
      <c r="BP477" s="290"/>
      <c r="BQ477" s="290"/>
      <c r="BR477" s="290"/>
      <c r="BS477" s="290"/>
      <c r="BT477" s="290"/>
      <c r="BU477" s="290"/>
      <c r="BV477" s="290"/>
      <c r="BW477" s="290"/>
      <c r="BX477" s="290"/>
      <c r="BY477" s="290"/>
      <c r="BZ477" s="290"/>
      <c r="CA477" s="290"/>
      <c r="CB477" s="290"/>
      <c r="CC477" s="290"/>
      <c r="CD477" s="290"/>
      <c r="CE477" s="290"/>
      <c r="CF477" s="290"/>
      <c r="CG477" s="290"/>
      <c r="CH477" s="290"/>
      <c r="CI477" s="290"/>
      <c r="CJ477" s="290"/>
      <c r="CK477" s="290"/>
      <c r="CL477" s="290"/>
      <c r="CM477" s="290"/>
      <c r="CN477" s="290"/>
      <c r="CO477" s="290"/>
      <c r="CP477" s="290"/>
      <c r="CQ477" s="290"/>
      <c r="CR477" s="290"/>
      <c r="CS477" s="290"/>
      <c r="CT477" s="290"/>
      <c r="CU477" s="290"/>
      <c r="CV477" s="290"/>
      <c r="CW477" s="290"/>
      <c r="CX477" s="290"/>
      <c r="CY477" s="290"/>
      <c r="CZ477" s="290"/>
      <c r="DA477" s="290"/>
      <c r="DB477" s="290"/>
      <c r="DC477" s="290"/>
      <c r="DD477" s="290"/>
      <c r="DE477" s="290"/>
      <c r="DF477" s="290"/>
      <c r="DG477" s="290"/>
      <c r="DH477" s="290"/>
      <c r="DI477" s="290"/>
      <c r="DJ477" s="290"/>
      <c r="DK477" s="290"/>
      <c r="DL477" s="290"/>
      <c r="DM477" s="290"/>
      <c r="DN477" s="290"/>
      <c r="DO477" s="290"/>
      <c r="DP477" s="290"/>
      <c r="DQ477" s="290"/>
      <c r="DR477" s="290"/>
      <c r="DS477" s="290"/>
      <c r="DT477" s="290"/>
      <c r="DU477" s="290"/>
      <c r="DV477" s="290"/>
      <c r="DW477" s="290"/>
      <c r="DX477" s="290"/>
      <c r="DY477" s="290"/>
      <c r="DZ477" s="290"/>
      <c r="EA477" s="290"/>
      <c r="EB477" s="290"/>
      <c r="EC477" s="290"/>
      <c r="ED477" s="290"/>
      <c r="EE477" s="290"/>
      <c r="EF477" s="290"/>
      <c r="EG477" s="290"/>
      <c r="EH477" s="290"/>
      <c r="EI477" s="290"/>
      <c r="EJ477" s="290"/>
      <c r="EK477" s="290"/>
      <c r="EL477" s="290"/>
      <c r="EM477" s="290"/>
      <c r="EN477" s="290"/>
      <c r="EO477" s="290"/>
      <c r="EP477" s="290"/>
      <c r="EQ477" s="290"/>
      <c r="ER477" s="290"/>
      <c r="ES477" s="290"/>
      <c r="ET477" s="290"/>
      <c r="EU477" s="290"/>
      <c r="EV477" s="290"/>
      <c r="EW477" s="290"/>
      <c r="EX477" s="290"/>
      <c r="EY477" s="290"/>
      <c r="EZ477" s="290"/>
      <c r="FA477" s="290"/>
      <c r="FB477" s="290"/>
      <c r="FC477" s="290"/>
      <c r="FD477" s="290"/>
      <c r="FE477" s="290"/>
      <c r="FF477" s="290"/>
      <c r="FG477" s="290"/>
      <c r="FH477" s="290"/>
      <c r="FI477" s="290"/>
      <c r="FJ477" s="290"/>
      <c r="FK477" s="290"/>
      <c r="FL477" s="290"/>
      <c r="FM477" s="290"/>
      <c r="FN477" s="290"/>
      <c r="FO477" s="290"/>
      <c r="FP477" s="290"/>
      <c r="FQ477" s="290"/>
      <c r="FR477" s="290"/>
      <c r="FS477" s="290"/>
      <c r="FT477" s="290"/>
      <c r="FU477" s="290"/>
      <c r="FV477" s="290"/>
      <c r="FW477" s="290"/>
      <c r="FX477" s="290"/>
      <c r="FY477" s="290"/>
      <c r="FZ477" s="290"/>
      <c r="GA477" s="290"/>
      <c r="GB477" s="290"/>
      <c r="GC477" s="290"/>
      <c r="GD477" s="290"/>
      <c r="GE477" s="290"/>
      <c r="GF477" s="290"/>
      <c r="GG477" s="290"/>
      <c r="GH477" s="290"/>
      <c r="GI477" s="290"/>
      <c r="GJ477" s="290"/>
      <c r="GK477" s="290"/>
      <c r="GL477" s="290"/>
      <c r="GM477" s="290"/>
      <c r="GN477" s="290"/>
      <c r="GO477" s="290"/>
      <c r="GP477" s="290"/>
      <c r="GQ477" s="290"/>
      <c r="GR477" s="290"/>
      <c r="GS477" s="290"/>
      <c r="GT477" s="290"/>
      <c r="GU477" s="290"/>
      <c r="GV477" s="290"/>
      <c r="GW477" s="290"/>
      <c r="GX477" s="290"/>
      <c r="GY477" s="290"/>
      <c r="GZ477" s="290"/>
      <c r="HA477" s="290"/>
      <c r="HB477" s="290"/>
      <c r="HC477" s="290"/>
      <c r="HD477" s="290"/>
      <c r="HE477" s="290"/>
      <c r="HF477" s="290"/>
      <c r="HG477" s="290"/>
      <c r="HH477" s="290"/>
      <c r="HI477" s="290"/>
      <c r="HJ477" s="290"/>
      <c r="HK477" s="290"/>
      <c r="HL477" s="290"/>
      <c r="HM477" s="290"/>
      <c r="HN477" s="290"/>
      <c r="HO477" s="290"/>
      <c r="HP477" s="290"/>
      <c r="HQ477" s="290"/>
      <c r="HR477" s="290"/>
      <c r="HS477" s="290"/>
      <c r="HT477" s="290"/>
      <c r="HU477" s="290"/>
      <c r="HV477" s="290"/>
      <c r="HW477" s="290"/>
      <c r="HX477" s="290"/>
      <c r="HY477" s="290"/>
      <c r="HZ477" s="290"/>
      <c r="IA477" s="290"/>
      <c r="IB477" s="290"/>
      <c r="IC477" s="290"/>
      <c r="ID477" s="290"/>
      <c r="IE477" s="290"/>
      <c r="IF477" s="290"/>
      <c r="IG477" s="290"/>
      <c r="IH477" s="290"/>
      <c r="II477" s="290"/>
      <c r="IJ477" s="290"/>
      <c r="IK477" s="290"/>
      <c r="IL477" s="290"/>
      <c r="IM477" s="290"/>
      <c r="IN477" s="290"/>
      <c r="IO477" s="290"/>
      <c r="IP477" s="290"/>
      <c r="IQ477" s="290"/>
    </row>
    <row r="478" spans="1:251" x14ac:dyDescent="0.3">
      <c r="A478" s="270"/>
      <c r="B478" s="273"/>
      <c r="C478" s="276"/>
      <c r="D478" s="267"/>
      <c r="E478" s="267"/>
      <c r="F478" s="113" t="s">
        <v>238</v>
      </c>
      <c r="G478" s="288"/>
      <c r="H478" s="289"/>
      <c r="I478" s="290"/>
      <c r="J478" s="290"/>
      <c r="K478" s="290"/>
      <c r="L478" s="290"/>
      <c r="M478" s="290"/>
      <c r="N478" s="290"/>
      <c r="O478" s="290"/>
      <c r="P478" s="290"/>
      <c r="Q478" s="290"/>
      <c r="R478" s="290"/>
      <c r="S478" s="290"/>
      <c r="T478" s="290"/>
      <c r="U478" s="290"/>
      <c r="V478" s="290"/>
      <c r="W478" s="290"/>
      <c r="X478" s="290"/>
      <c r="Y478" s="290"/>
      <c r="Z478" s="290"/>
      <c r="AA478" s="290"/>
      <c r="AB478" s="290"/>
      <c r="AC478" s="290"/>
      <c r="AD478" s="290"/>
      <c r="AE478" s="290"/>
      <c r="AF478" s="290"/>
      <c r="AG478" s="290"/>
      <c r="AH478" s="290"/>
      <c r="AI478" s="290"/>
      <c r="AJ478" s="290"/>
      <c r="AK478" s="290"/>
      <c r="AL478" s="290"/>
      <c r="AM478" s="290"/>
      <c r="AN478" s="290"/>
      <c r="AO478" s="290"/>
      <c r="AP478" s="290"/>
      <c r="AQ478" s="290"/>
      <c r="AR478" s="290"/>
      <c r="AS478" s="290"/>
      <c r="AT478" s="290"/>
      <c r="AU478" s="290"/>
      <c r="AV478" s="290"/>
      <c r="AW478" s="290"/>
      <c r="AX478" s="290"/>
      <c r="AY478" s="290"/>
      <c r="AZ478" s="290"/>
      <c r="BA478" s="290"/>
      <c r="BB478" s="290"/>
      <c r="BC478" s="290"/>
      <c r="BD478" s="290"/>
      <c r="BE478" s="290"/>
      <c r="BF478" s="290"/>
      <c r="BG478" s="290"/>
      <c r="BH478" s="290"/>
      <c r="BI478" s="290"/>
      <c r="BJ478" s="290"/>
      <c r="BK478" s="290"/>
      <c r="BL478" s="290"/>
      <c r="BM478" s="290"/>
      <c r="BN478" s="290"/>
      <c r="BO478" s="290"/>
      <c r="BP478" s="290"/>
      <c r="BQ478" s="290"/>
      <c r="BR478" s="290"/>
      <c r="BS478" s="290"/>
      <c r="BT478" s="290"/>
      <c r="BU478" s="290"/>
      <c r="BV478" s="290"/>
      <c r="BW478" s="290"/>
      <c r="BX478" s="290"/>
      <c r="BY478" s="290"/>
      <c r="BZ478" s="290"/>
      <c r="CA478" s="290"/>
      <c r="CB478" s="290"/>
      <c r="CC478" s="290"/>
      <c r="CD478" s="290"/>
      <c r="CE478" s="290"/>
      <c r="CF478" s="290"/>
      <c r="CG478" s="290"/>
      <c r="CH478" s="290"/>
      <c r="CI478" s="290"/>
      <c r="CJ478" s="290"/>
      <c r="CK478" s="290"/>
      <c r="CL478" s="290"/>
      <c r="CM478" s="290"/>
      <c r="CN478" s="290"/>
      <c r="CO478" s="290"/>
      <c r="CP478" s="290"/>
      <c r="CQ478" s="290"/>
      <c r="CR478" s="290"/>
      <c r="CS478" s="290"/>
      <c r="CT478" s="290"/>
      <c r="CU478" s="290"/>
      <c r="CV478" s="290"/>
      <c r="CW478" s="290"/>
      <c r="CX478" s="290"/>
      <c r="CY478" s="290"/>
      <c r="CZ478" s="290"/>
      <c r="DA478" s="290"/>
      <c r="DB478" s="290"/>
      <c r="DC478" s="290"/>
      <c r="DD478" s="290"/>
      <c r="DE478" s="290"/>
      <c r="DF478" s="290"/>
      <c r="DG478" s="290"/>
      <c r="DH478" s="290"/>
      <c r="DI478" s="290"/>
      <c r="DJ478" s="290"/>
      <c r="DK478" s="290"/>
      <c r="DL478" s="290"/>
      <c r="DM478" s="290"/>
      <c r="DN478" s="290"/>
      <c r="DO478" s="290"/>
      <c r="DP478" s="290"/>
      <c r="DQ478" s="290"/>
      <c r="DR478" s="290"/>
      <c r="DS478" s="290"/>
      <c r="DT478" s="290"/>
      <c r="DU478" s="290"/>
      <c r="DV478" s="290"/>
      <c r="DW478" s="290"/>
      <c r="DX478" s="290"/>
      <c r="DY478" s="290"/>
      <c r="DZ478" s="290"/>
      <c r="EA478" s="290"/>
      <c r="EB478" s="290"/>
      <c r="EC478" s="290"/>
      <c r="ED478" s="290"/>
      <c r="EE478" s="290"/>
      <c r="EF478" s="290"/>
      <c r="EG478" s="290"/>
      <c r="EH478" s="290"/>
      <c r="EI478" s="290"/>
      <c r="EJ478" s="290"/>
      <c r="EK478" s="290"/>
      <c r="EL478" s="290"/>
      <c r="EM478" s="290"/>
      <c r="EN478" s="290"/>
      <c r="EO478" s="290"/>
      <c r="EP478" s="290"/>
      <c r="EQ478" s="290"/>
      <c r="ER478" s="290"/>
      <c r="ES478" s="290"/>
      <c r="ET478" s="290"/>
      <c r="EU478" s="290"/>
      <c r="EV478" s="290"/>
      <c r="EW478" s="290"/>
      <c r="EX478" s="290"/>
      <c r="EY478" s="290"/>
      <c r="EZ478" s="290"/>
      <c r="FA478" s="290"/>
      <c r="FB478" s="290"/>
      <c r="FC478" s="290"/>
      <c r="FD478" s="290"/>
      <c r="FE478" s="290"/>
      <c r="FF478" s="290"/>
      <c r="FG478" s="290"/>
      <c r="FH478" s="290"/>
      <c r="FI478" s="290"/>
      <c r="FJ478" s="290"/>
      <c r="FK478" s="290"/>
      <c r="FL478" s="290"/>
      <c r="FM478" s="290"/>
      <c r="FN478" s="290"/>
      <c r="FO478" s="290"/>
      <c r="FP478" s="290"/>
      <c r="FQ478" s="290"/>
      <c r="FR478" s="290"/>
      <c r="FS478" s="290"/>
      <c r="FT478" s="290"/>
      <c r="FU478" s="290"/>
      <c r="FV478" s="290"/>
      <c r="FW478" s="290"/>
      <c r="FX478" s="290"/>
      <c r="FY478" s="290"/>
      <c r="FZ478" s="290"/>
      <c r="GA478" s="290"/>
      <c r="GB478" s="290"/>
      <c r="GC478" s="290"/>
      <c r="GD478" s="290"/>
      <c r="GE478" s="290"/>
      <c r="GF478" s="290"/>
      <c r="GG478" s="290"/>
      <c r="GH478" s="290"/>
      <c r="GI478" s="290"/>
      <c r="GJ478" s="290"/>
      <c r="GK478" s="290"/>
      <c r="GL478" s="290"/>
      <c r="GM478" s="290"/>
      <c r="GN478" s="290"/>
      <c r="GO478" s="290"/>
      <c r="GP478" s="290"/>
      <c r="GQ478" s="290"/>
      <c r="GR478" s="290"/>
      <c r="GS478" s="290"/>
      <c r="GT478" s="290"/>
      <c r="GU478" s="290"/>
      <c r="GV478" s="290"/>
      <c r="GW478" s="290"/>
      <c r="GX478" s="290"/>
      <c r="GY478" s="290"/>
      <c r="GZ478" s="290"/>
      <c r="HA478" s="290"/>
      <c r="HB478" s="290"/>
      <c r="HC478" s="290"/>
      <c r="HD478" s="290"/>
      <c r="HE478" s="290"/>
      <c r="HF478" s="290"/>
      <c r="HG478" s="290"/>
      <c r="HH478" s="290"/>
      <c r="HI478" s="290"/>
      <c r="HJ478" s="290"/>
      <c r="HK478" s="290"/>
      <c r="HL478" s="290"/>
      <c r="HM478" s="290"/>
      <c r="HN478" s="290"/>
      <c r="HO478" s="290"/>
      <c r="HP478" s="290"/>
      <c r="HQ478" s="290"/>
      <c r="HR478" s="290"/>
      <c r="HS478" s="290"/>
      <c r="HT478" s="290"/>
      <c r="HU478" s="290"/>
      <c r="HV478" s="290"/>
      <c r="HW478" s="290"/>
      <c r="HX478" s="290"/>
      <c r="HY478" s="290"/>
      <c r="HZ478" s="290"/>
      <c r="IA478" s="290"/>
      <c r="IB478" s="290"/>
      <c r="IC478" s="290"/>
      <c r="ID478" s="290"/>
      <c r="IE478" s="290"/>
      <c r="IF478" s="290"/>
      <c r="IG478" s="290"/>
      <c r="IH478" s="290"/>
      <c r="II478" s="290"/>
      <c r="IJ478" s="290"/>
      <c r="IK478" s="290"/>
      <c r="IL478" s="290"/>
      <c r="IM478" s="290"/>
      <c r="IN478" s="290"/>
      <c r="IO478" s="290"/>
      <c r="IP478" s="290"/>
      <c r="IQ478" s="290"/>
    </row>
    <row r="479" spans="1:251" ht="39" x14ac:dyDescent="0.3">
      <c r="A479" s="239" t="s">
        <v>1873</v>
      </c>
      <c r="B479" s="21" t="s">
        <v>1852</v>
      </c>
      <c r="C479" s="129" t="s">
        <v>49</v>
      </c>
      <c r="D479" s="166" t="s">
        <v>37</v>
      </c>
      <c r="E479" s="166" t="s">
        <v>38</v>
      </c>
      <c r="F479" s="100" t="s">
        <v>1854</v>
      </c>
      <c r="G479" s="183"/>
      <c r="H479" s="183"/>
      <c r="I479" s="183"/>
      <c r="J479" s="183"/>
      <c r="K479" s="183"/>
      <c r="L479" s="183"/>
      <c r="M479" s="183"/>
      <c r="N479" s="183"/>
      <c r="O479" s="183"/>
      <c r="P479" s="183"/>
      <c r="Q479" s="183"/>
      <c r="R479" s="183"/>
      <c r="S479" s="183"/>
      <c r="T479" s="183"/>
      <c r="U479" s="183"/>
      <c r="V479" s="183"/>
      <c r="W479" s="183"/>
      <c r="X479" s="183"/>
      <c r="Y479" s="183"/>
      <c r="Z479" s="183"/>
      <c r="AA479" s="183"/>
      <c r="AB479" s="183"/>
      <c r="AC479" s="183"/>
      <c r="AD479" s="183"/>
      <c r="AE479" s="183"/>
      <c r="AF479" s="183"/>
      <c r="AG479" s="183"/>
      <c r="AH479" s="183"/>
      <c r="AI479" s="183"/>
      <c r="AJ479" s="183"/>
      <c r="AK479" s="183"/>
      <c r="AL479" s="183"/>
      <c r="AM479" s="183"/>
      <c r="AN479" s="183"/>
      <c r="AO479" s="183"/>
      <c r="AP479" s="183"/>
      <c r="AQ479" s="183"/>
      <c r="AR479" s="183"/>
      <c r="AS479" s="183"/>
      <c r="AT479" s="183"/>
      <c r="AU479" s="183"/>
      <c r="AV479" s="183"/>
      <c r="AW479" s="183"/>
      <c r="AX479" s="183"/>
      <c r="AY479" s="183"/>
      <c r="AZ479" s="183"/>
      <c r="BA479" s="183"/>
      <c r="BB479" s="183"/>
      <c r="BC479" s="183"/>
      <c r="BD479" s="183"/>
      <c r="BE479" s="183"/>
      <c r="BF479" s="183"/>
      <c r="BG479" s="183"/>
      <c r="BH479" s="183"/>
      <c r="BI479" s="183"/>
      <c r="BJ479" s="183"/>
      <c r="BK479" s="183"/>
      <c r="BL479" s="183"/>
      <c r="BM479" s="183"/>
      <c r="BN479" s="183"/>
      <c r="BO479" s="183"/>
      <c r="BP479" s="183"/>
      <c r="BQ479" s="183"/>
      <c r="BR479" s="183"/>
      <c r="BS479" s="183"/>
      <c r="BT479" s="183"/>
      <c r="BU479" s="183"/>
      <c r="BV479" s="183"/>
      <c r="BW479" s="183"/>
      <c r="BX479" s="183"/>
      <c r="BY479" s="183"/>
      <c r="BZ479" s="183"/>
      <c r="CA479" s="183"/>
      <c r="CB479" s="183"/>
      <c r="CC479" s="183"/>
      <c r="CD479" s="183"/>
      <c r="CE479" s="183"/>
      <c r="CF479" s="183"/>
      <c r="CG479" s="183"/>
      <c r="CH479" s="183"/>
      <c r="CI479" s="183"/>
      <c r="CJ479" s="183"/>
      <c r="CK479" s="183"/>
      <c r="CL479" s="183"/>
      <c r="CM479" s="183"/>
      <c r="CN479" s="183"/>
      <c r="CO479" s="183"/>
      <c r="CP479" s="183"/>
      <c r="CQ479" s="183"/>
      <c r="CR479" s="183"/>
      <c r="CS479" s="183"/>
      <c r="CT479" s="183"/>
      <c r="CU479" s="183"/>
      <c r="CV479" s="183"/>
      <c r="CW479" s="183"/>
      <c r="CX479" s="183"/>
      <c r="CY479" s="183"/>
      <c r="CZ479" s="183"/>
      <c r="DA479" s="183"/>
      <c r="DB479" s="183"/>
      <c r="DC479" s="183"/>
      <c r="DD479" s="183"/>
      <c r="DE479" s="183"/>
      <c r="DF479" s="183"/>
      <c r="DG479" s="183"/>
      <c r="DH479" s="183"/>
      <c r="DI479" s="183"/>
      <c r="DJ479" s="183"/>
      <c r="DK479" s="183"/>
      <c r="DL479" s="183"/>
      <c r="DM479" s="183"/>
      <c r="DN479" s="183"/>
      <c r="DO479" s="183"/>
      <c r="DP479" s="183"/>
      <c r="DQ479" s="183"/>
      <c r="DR479" s="183"/>
      <c r="DS479" s="183"/>
      <c r="DT479" s="183"/>
      <c r="DU479" s="183"/>
      <c r="DV479" s="183"/>
      <c r="DW479" s="183"/>
      <c r="DX479" s="183"/>
      <c r="DY479" s="183"/>
      <c r="DZ479" s="183"/>
      <c r="EA479" s="183"/>
      <c r="EB479" s="183"/>
      <c r="EC479" s="183"/>
      <c r="ED479" s="183"/>
      <c r="EE479" s="183"/>
      <c r="EF479" s="183"/>
      <c r="EG479" s="183"/>
      <c r="EH479" s="183"/>
      <c r="EI479" s="183"/>
      <c r="EJ479" s="183"/>
      <c r="EK479" s="183"/>
      <c r="EL479" s="183"/>
      <c r="EM479" s="183"/>
      <c r="EN479" s="183"/>
      <c r="EO479" s="183"/>
      <c r="EP479" s="183"/>
      <c r="EQ479" s="183"/>
      <c r="ER479" s="183"/>
      <c r="ES479" s="183"/>
      <c r="ET479" s="183"/>
      <c r="EU479" s="183"/>
      <c r="EV479" s="183"/>
      <c r="EW479" s="183"/>
      <c r="EX479" s="183"/>
      <c r="EY479" s="183"/>
      <c r="EZ479" s="183"/>
      <c r="FA479" s="183"/>
      <c r="FB479" s="183"/>
      <c r="FC479" s="183"/>
      <c r="FD479" s="183"/>
      <c r="FE479" s="183"/>
      <c r="FF479" s="183"/>
      <c r="FG479" s="183"/>
      <c r="FH479" s="183"/>
      <c r="FI479" s="183"/>
      <c r="FJ479" s="183"/>
      <c r="FK479" s="183"/>
      <c r="FL479" s="183"/>
      <c r="FM479" s="183"/>
      <c r="FN479" s="183"/>
      <c r="FO479" s="183"/>
      <c r="FP479" s="183"/>
      <c r="FQ479" s="183"/>
      <c r="FR479" s="183"/>
      <c r="FS479" s="183"/>
      <c r="FT479" s="183"/>
      <c r="FU479" s="183"/>
      <c r="FV479" s="183"/>
      <c r="FW479" s="183"/>
      <c r="FX479" s="183"/>
      <c r="FY479" s="183"/>
      <c r="FZ479" s="183"/>
      <c r="GA479" s="183"/>
      <c r="GB479" s="183"/>
      <c r="GC479" s="183"/>
      <c r="GD479" s="183"/>
      <c r="GE479" s="183"/>
      <c r="GF479" s="183"/>
      <c r="GG479" s="183"/>
      <c r="GH479" s="183"/>
      <c r="GI479" s="183"/>
      <c r="GJ479" s="183"/>
      <c r="GK479" s="183"/>
      <c r="GL479" s="183"/>
      <c r="GM479" s="183"/>
      <c r="GN479" s="183"/>
      <c r="GO479" s="183"/>
      <c r="GP479" s="183"/>
      <c r="GQ479" s="183"/>
      <c r="GR479" s="183"/>
      <c r="GS479" s="183"/>
      <c r="GT479" s="183"/>
      <c r="GU479" s="183"/>
      <c r="GV479" s="183"/>
      <c r="GW479" s="183"/>
      <c r="GX479" s="183"/>
      <c r="GY479" s="183"/>
      <c r="GZ479" s="183"/>
      <c r="HA479" s="183"/>
      <c r="HB479" s="183"/>
      <c r="HC479" s="183"/>
      <c r="HD479" s="183"/>
      <c r="HE479" s="183"/>
      <c r="HF479" s="183"/>
      <c r="HG479" s="183"/>
      <c r="HH479" s="183"/>
      <c r="HI479" s="183"/>
      <c r="HJ479" s="183"/>
      <c r="HK479" s="183"/>
      <c r="HL479" s="183"/>
      <c r="HM479" s="183"/>
      <c r="HN479" s="183"/>
      <c r="HO479" s="183"/>
      <c r="HP479" s="183"/>
      <c r="HQ479" s="183"/>
      <c r="HR479" s="183"/>
      <c r="HS479" s="183"/>
      <c r="HT479" s="183"/>
      <c r="HU479" s="183"/>
      <c r="HV479" s="183"/>
      <c r="HW479" s="183"/>
      <c r="HX479" s="183"/>
      <c r="HY479" s="183"/>
      <c r="HZ479" s="183"/>
      <c r="IA479" s="183"/>
      <c r="IB479" s="183"/>
      <c r="IC479" s="183"/>
      <c r="ID479" s="183"/>
      <c r="IE479" s="183"/>
      <c r="IF479" s="183"/>
      <c r="IG479" s="183"/>
      <c r="IH479" s="183"/>
      <c r="II479" s="183"/>
      <c r="IJ479" s="183"/>
      <c r="IK479" s="183"/>
      <c r="IL479" s="183"/>
      <c r="IM479" s="183"/>
      <c r="IN479" s="183"/>
      <c r="IO479" s="183"/>
      <c r="IP479" s="183"/>
      <c r="IQ479" s="183"/>
    </row>
    <row r="480" spans="1:251" ht="39" x14ac:dyDescent="0.3">
      <c r="A480" s="83" t="s">
        <v>184</v>
      </c>
      <c r="B480" s="196" t="s">
        <v>294</v>
      </c>
      <c r="C480" s="191" t="s">
        <v>30</v>
      </c>
      <c r="D480" s="192" t="s">
        <v>31</v>
      </c>
      <c r="E480" s="192" t="s">
        <v>32</v>
      </c>
      <c r="F480" s="114" t="s">
        <v>33</v>
      </c>
    </row>
    <row r="481" spans="1:6" x14ac:dyDescent="0.3">
      <c r="A481" s="268" t="s">
        <v>295</v>
      </c>
      <c r="B481" s="271" t="s">
        <v>46</v>
      </c>
      <c r="C481" s="274" t="s">
        <v>36</v>
      </c>
      <c r="D481" s="265" t="s">
        <v>37</v>
      </c>
      <c r="E481" s="265" t="s">
        <v>38</v>
      </c>
      <c r="F481" s="108" t="s">
        <v>233</v>
      </c>
    </row>
    <row r="482" spans="1:6" x14ac:dyDescent="0.3">
      <c r="A482" s="269"/>
      <c r="B482" s="272"/>
      <c r="C482" s="275"/>
      <c r="D482" s="266"/>
      <c r="E482" s="266"/>
      <c r="F482" s="109" t="s">
        <v>234</v>
      </c>
    </row>
    <row r="483" spans="1:6" x14ac:dyDescent="0.3">
      <c r="A483" s="270"/>
      <c r="B483" s="273"/>
      <c r="C483" s="276"/>
      <c r="D483" s="267"/>
      <c r="E483" s="267"/>
      <c r="F483" s="110" t="s">
        <v>235</v>
      </c>
    </row>
    <row r="484" spans="1:6" x14ac:dyDescent="0.3">
      <c r="A484" s="268" t="s">
        <v>295</v>
      </c>
      <c r="B484" s="271" t="s">
        <v>48</v>
      </c>
      <c r="C484" s="274" t="s">
        <v>49</v>
      </c>
      <c r="D484" s="265" t="s">
        <v>37</v>
      </c>
      <c r="E484" s="265" t="s">
        <v>38</v>
      </c>
      <c r="F484" s="111" t="s">
        <v>236</v>
      </c>
    </row>
    <row r="485" spans="1:6" x14ac:dyDescent="0.3">
      <c r="A485" s="269"/>
      <c r="B485" s="272"/>
      <c r="C485" s="275"/>
      <c r="D485" s="266"/>
      <c r="E485" s="266"/>
      <c r="F485" s="112" t="s">
        <v>237</v>
      </c>
    </row>
    <row r="486" spans="1:6" x14ac:dyDescent="0.3">
      <c r="A486" s="270"/>
      <c r="B486" s="273"/>
      <c r="C486" s="276"/>
      <c r="D486" s="267"/>
      <c r="E486" s="267"/>
      <c r="F486" s="113" t="s">
        <v>238</v>
      </c>
    </row>
    <row r="487" spans="1:6" ht="39" x14ac:dyDescent="0.3">
      <c r="A487" s="246" t="s">
        <v>295</v>
      </c>
      <c r="B487" s="21" t="s">
        <v>1852</v>
      </c>
      <c r="C487" s="129" t="s">
        <v>49</v>
      </c>
      <c r="D487" s="166" t="s">
        <v>37</v>
      </c>
      <c r="E487" s="166" t="s">
        <v>38</v>
      </c>
      <c r="F487" s="100" t="s">
        <v>1854</v>
      </c>
    </row>
    <row r="488" spans="1:6" ht="39" x14ac:dyDescent="0.3">
      <c r="A488" s="241" t="s">
        <v>184</v>
      </c>
      <c r="B488" s="242" t="s">
        <v>295</v>
      </c>
      <c r="C488" s="243" t="s">
        <v>30</v>
      </c>
      <c r="D488" s="244" t="s">
        <v>31</v>
      </c>
      <c r="E488" s="244" t="s">
        <v>32</v>
      </c>
      <c r="F488" s="245" t="s">
        <v>33</v>
      </c>
    </row>
    <row r="489" spans="1:6" x14ac:dyDescent="0.3">
      <c r="A489" s="268" t="s">
        <v>296</v>
      </c>
      <c r="B489" s="271" t="s">
        <v>46</v>
      </c>
      <c r="C489" s="274" t="s">
        <v>36</v>
      </c>
      <c r="D489" s="265" t="s">
        <v>37</v>
      </c>
      <c r="E489" s="265" t="s">
        <v>38</v>
      </c>
      <c r="F489" s="108" t="s">
        <v>233</v>
      </c>
    </row>
    <row r="490" spans="1:6" x14ac:dyDescent="0.3">
      <c r="A490" s="269"/>
      <c r="B490" s="272"/>
      <c r="C490" s="275"/>
      <c r="D490" s="266"/>
      <c r="E490" s="266"/>
      <c r="F490" s="109" t="s">
        <v>234</v>
      </c>
    </row>
    <row r="491" spans="1:6" x14ac:dyDescent="0.3">
      <c r="A491" s="270"/>
      <c r="B491" s="273"/>
      <c r="C491" s="276"/>
      <c r="D491" s="267"/>
      <c r="E491" s="267"/>
      <c r="F491" s="110" t="s">
        <v>235</v>
      </c>
    </row>
    <row r="492" spans="1:6" x14ac:dyDescent="0.3">
      <c r="A492" s="268" t="s">
        <v>296</v>
      </c>
      <c r="B492" s="271" t="s">
        <v>48</v>
      </c>
      <c r="C492" s="274" t="s">
        <v>49</v>
      </c>
      <c r="D492" s="265" t="s">
        <v>37</v>
      </c>
      <c r="E492" s="265" t="s">
        <v>38</v>
      </c>
      <c r="F492" s="111" t="s">
        <v>236</v>
      </c>
    </row>
    <row r="493" spans="1:6" x14ac:dyDescent="0.3">
      <c r="A493" s="269"/>
      <c r="B493" s="272"/>
      <c r="C493" s="275"/>
      <c r="D493" s="266"/>
      <c r="E493" s="266"/>
      <c r="F493" s="112" t="s">
        <v>237</v>
      </c>
    </row>
    <row r="494" spans="1:6" x14ac:dyDescent="0.3">
      <c r="A494" s="270"/>
      <c r="B494" s="273"/>
      <c r="C494" s="276"/>
      <c r="D494" s="267"/>
      <c r="E494" s="267"/>
      <c r="F494" s="113" t="s">
        <v>238</v>
      </c>
    </row>
    <row r="495" spans="1:6" ht="39" x14ac:dyDescent="0.3">
      <c r="A495" s="239" t="s">
        <v>296</v>
      </c>
      <c r="B495" s="21" t="s">
        <v>1852</v>
      </c>
      <c r="C495" s="129" t="s">
        <v>49</v>
      </c>
      <c r="D495" s="166" t="s">
        <v>37</v>
      </c>
      <c r="E495" s="166" t="s">
        <v>38</v>
      </c>
      <c r="F495" s="100" t="s">
        <v>1854</v>
      </c>
    </row>
    <row r="496" spans="1:6" ht="55.5" x14ac:dyDescent="0.3">
      <c r="A496" s="83" t="s">
        <v>184</v>
      </c>
      <c r="B496" s="196" t="s">
        <v>1944</v>
      </c>
      <c r="C496" s="191" t="s">
        <v>30</v>
      </c>
      <c r="D496" s="192" t="s">
        <v>31</v>
      </c>
      <c r="E496" s="192" t="s">
        <v>32</v>
      </c>
      <c r="F496" s="114" t="s">
        <v>33</v>
      </c>
    </row>
    <row r="497" spans="1:6" x14ac:dyDescent="0.3">
      <c r="A497" s="268" t="s">
        <v>1947</v>
      </c>
      <c r="B497" s="271" t="s">
        <v>46</v>
      </c>
      <c r="C497" s="274" t="s">
        <v>36</v>
      </c>
      <c r="D497" s="265" t="s">
        <v>37</v>
      </c>
      <c r="E497" s="265" t="s">
        <v>38</v>
      </c>
      <c r="F497" s="108" t="s">
        <v>233</v>
      </c>
    </row>
    <row r="498" spans="1:6" x14ac:dyDescent="0.3">
      <c r="A498" s="269"/>
      <c r="B498" s="272"/>
      <c r="C498" s="275"/>
      <c r="D498" s="266"/>
      <c r="E498" s="266"/>
      <c r="F498" s="109" t="s">
        <v>234</v>
      </c>
    </row>
    <row r="499" spans="1:6" x14ac:dyDescent="0.3">
      <c r="A499" s="270"/>
      <c r="B499" s="273"/>
      <c r="C499" s="276"/>
      <c r="D499" s="267"/>
      <c r="E499" s="267"/>
      <c r="F499" s="110" t="s">
        <v>235</v>
      </c>
    </row>
    <row r="500" spans="1:6" x14ac:dyDescent="0.3">
      <c r="A500" s="268" t="s">
        <v>1947</v>
      </c>
      <c r="B500" s="271" t="s">
        <v>48</v>
      </c>
      <c r="C500" s="274" t="s">
        <v>49</v>
      </c>
      <c r="D500" s="265" t="s">
        <v>37</v>
      </c>
      <c r="E500" s="265" t="s">
        <v>38</v>
      </c>
      <c r="F500" s="111" t="s">
        <v>236</v>
      </c>
    </row>
    <row r="501" spans="1:6" x14ac:dyDescent="0.3">
      <c r="A501" s="269"/>
      <c r="B501" s="272"/>
      <c r="C501" s="275"/>
      <c r="D501" s="266"/>
      <c r="E501" s="266"/>
      <c r="F501" s="112" t="s">
        <v>237</v>
      </c>
    </row>
    <row r="502" spans="1:6" x14ac:dyDescent="0.3">
      <c r="A502" s="270"/>
      <c r="B502" s="273"/>
      <c r="C502" s="276"/>
      <c r="D502" s="267"/>
      <c r="E502" s="267"/>
      <c r="F502" s="113" t="s">
        <v>238</v>
      </c>
    </row>
    <row r="503" spans="1:6" ht="39" x14ac:dyDescent="0.3">
      <c r="A503" s="239" t="s">
        <v>1948</v>
      </c>
      <c r="B503" s="21" t="s">
        <v>1852</v>
      </c>
      <c r="C503" s="129" t="s">
        <v>49</v>
      </c>
      <c r="D503" s="166" t="s">
        <v>37</v>
      </c>
      <c r="E503" s="166" t="s">
        <v>38</v>
      </c>
      <c r="F503" s="100" t="s">
        <v>1854</v>
      </c>
    </row>
    <row r="504" spans="1:6" ht="39" x14ac:dyDescent="0.3">
      <c r="A504" s="83" t="s">
        <v>184</v>
      </c>
      <c r="B504" s="196" t="s">
        <v>1945</v>
      </c>
      <c r="C504" s="191" t="s">
        <v>30</v>
      </c>
      <c r="D504" s="192" t="s">
        <v>31</v>
      </c>
      <c r="E504" s="192" t="s">
        <v>32</v>
      </c>
      <c r="F504" s="114" t="s">
        <v>33</v>
      </c>
    </row>
    <row r="505" spans="1:6" x14ac:dyDescent="0.3">
      <c r="A505" s="268" t="s">
        <v>1946</v>
      </c>
      <c r="B505" s="271" t="s">
        <v>46</v>
      </c>
      <c r="C505" s="274" t="s">
        <v>36</v>
      </c>
      <c r="D505" s="265" t="s">
        <v>37</v>
      </c>
      <c r="E505" s="265" t="s">
        <v>38</v>
      </c>
      <c r="F505" s="108" t="s">
        <v>233</v>
      </c>
    </row>
    <row r="506" spans="1:6" x14ac:dyDescent="0.3">
      <c r="A506" s="269"/>
      <c r="B506" s="272"/>
      <c r="C506" s="275"/>
      <c r="D506" s="266"/>
      <c r="E506" s="266"/>
      <c r="F506" s="109" t="s">
        <v>234</v>
      </c>
    </row>
    <row r="507" spans="1:6" x14ac:dyDescent="0.3">
      <c r="A507" s="270"/>
      <c r="B507" s="273"/>
      <c r="C507" s="276"/>
      <c r="D507" s="267"/>
      <c r="E507" s="267"/>
      <c r="F507" s="110" t="s">
        <v>235</v>
      </c>
    </row>
    <row r="508" spans="1:6" x14ac:dyDescent="0.3">
      <c r="A508" s="268" t="s">
        <v>1946</v>
      </c>
      <c r="B508" s="271" t="s">
        <v>48</v>
      </c>
      <c r="C508" s="274" t="s">
        <v>49</v>
      </c>
      <c r="D508" s="265" t="s">
        <v>37</v>
      </c>
      <c r="E508" s="265" t="s">
        <v>38</v>
      </c>
      <c r="F508" s="111" t="s">
        <v>236</v>
      </c>
    </row>
    <row r="509" spans="1:6" x14ac:dyDescent="0.3">
      <c r="A509" s="269"/>
      <c r="B509" s="272"/>
      <c r="C509" s="275"/>
      <c r="D509" s="266"/>
      <c r="E509" s="266"/>
      <c r="F509" s="112" t="s">
        <v>237</v>
      </c>
    </row>
    <row r="510" spans="1:6" x14ac:dyDescent="0.3">
      <c r="A510" s="270"/>
      <c r="B510" s="273"/>
      <c r="C510" s="276"/>
      <c r="D510" s="267"/>
      <c r="E510" s="267"/>
      <c r="F510" s="113" t="s">
        <v>238</v>
      </c>
    </row>
    <row r="511" spans="1:6" ht="39" x14ac:dyDescent="0.3">
      <c r="A511" s="238" t="s">
        <v>1946</v>
      </c>
      <c r="B511" s="21" t="s">
        <v>1852</v>
      </c>
      <c r="C511" s="129" t="s">
        <v>49</v>
      </c>
      <c r="D511" s="166" t="s">
        <v>37</v>
      </c>
      <c r="E511" s="166" t="s">
        <v>38</v>
      </c>
      <c r="F511" s="100" t="s">
        <v>1854</v>
      </c>
    </row>
    <row r="512" spans="1:6" x14ac:dyDescent="0.3">
      <c r="A512" s="114" t="s">
        <v>297</v>
      </c>
      <c r="B512" s="294" t="s">
        <v>298</v>
      </c>
      <c r="C512" s="297" t="s">
        <v>30</v>
      </c>
      <c r="D512" s="300" t="s">
        <v>31</v>
      </c>
      <c r="E512" s="300" t="s">
        <v>32</v>
      </c>
      <c r="F512" s="291" t="s">
        <v>33</v>
      </c>
    </row>
    <row r="513" spans="1:6" x14ac:dyDescent="0.3">
      <c r="A513" s="120" t="s">
        <v>299</v>
      </c>
      <c r="B513" s="295"/>
      <c r="C513" s="298"/>
      <c r="D513" s="301"/>
      <c r="E513" s="301"/>
      <c r="F513" s="292"/>
    </row>
    <row r="514" spans="1:6" x14ac:dyDescent="0.3">
      <c r="A514" s="121" t="s">
        <v>300</v>
      </c>
      <c r="B514" s="296"/>
      <c r="C514" s="299"/>
      <c r="D514" s="302"/>
      <c r="E514" s="302"/>
      <c r="F514" s="293"/>
    </row>
    <row r="515" spans="1:6" x14ac:dyDescent="0.3">
      <c r="A515" s="268" t="s">
        <v>301</v>
      </c>
      <c r="B515" s="271" t="s">
        <v>46</v>
      </c>
      <c r="C515" s="274" t="s">
        <v>36</v>
      </c>
      <c r="D515" s="265" t="s">
        <v>37</v>
      </c>
      <c r="E515" s="265" t="s">
        <v>38</v>
      </c>
      <c r="F515" s="108" t="s">
        <v>233</v>
      </c>
    </row>
    <row r="516" spans="1:6" x14ac:dyDescent="0.3">
      <c r="A516" s="269"/>
      <c r="B516" s="272"/>
      <c r="C516" s="275"/>
      <c r="D516" s="266"/>
      <c r="E516" s="266"/>
      <c r="F516" s="109" t="s">
        <v>234</v>
      </c>
    </row>
    <row r="517" spans="1:6" x14ac:dyDescent="0.3">
      <c r="A517" s="270"/>
      <c r="B517" s="273"/>
      <c r="C517" s="276"/>
      <c r="D517" s="267"/>
      <c r="E517" s="267"/>
      <c r="F517" s="110" t="s">
        <v>235</v>
      </c>
    </row>
    <row r="518" spans="1:6" x14ac:dyDescent="0.3">
      <c r="A518" s="268" t="s">
        <v>301</v>
      </c>
      <c r="B518" s="271" t="s">
        <v>48</v>
      </c>
      <c r="C518" s="274" t="s">
        <v>49</v>
      </c>
      <c r="D518" s="265" t="s">
        <v>37</v>
      </c>
      <c r="E518" s="265" t="s">
        <v>38</v>
      </c>
      <c r="F518" s="111" t="s">
        <v>236</v>
      </c>
    </row>
    <row r="519" spans="1:6" x14ac:dyDescent="0.3">
      <c r="A519" s="269"/>
      <c r="B519" s="272"/>
      <c r="C519" s="275"/>
      <c r="D519" s="266"/>
      <c r="E519" s="266"/>
      <c r="F519" s="112" t="s">
        <v>237</v>
      </c>
    </row>
    <row r="520" spans="1:6" x14ac:dyDescent="0.3">
      <c r="A520" s="270"/>
      <c r="B520" s="273"/>
      <c r="C520" s="276"/>
      <c r="D520" s="267"/>
      <c r="E520" s="267"/>
      <c r="F520" s="113" t="s">
        <v>238</v>
      </c>
    </row>
    <row r="521" spans="1:6" ht="39" x14ac:dyDescent="0.3">
      <c r="A521" s="239" t="s">
        <v>301</v>
      </c>
      <c r="B521" s="21" t="s">
        <v>1852</v>
      </c>
      <c r="C521" s="129" t="s">
        <v>49</v>
      </c>
      <c r="D521" s="166" t="s">
        <v>37</v>
      </c>
      <c r="E521" s="166" t="s">
        <v>38</v>
      </c>
      <c r="F521" s="100" t="s">
        <v>1854</v>
      </c>
    </row>
    <row r="522" spans="1:6" ht="39" x14ac:dyDescent="0.3">
      <c r="A522" s="83" t="s">
        <v>213</v>
      </c>
      <c r="B522" s="196" t="s">
        <v>302</v>
      </c>
      <c r="C522" s="191" t="s">
        <v>30</v>
      </c>
      <c r="D522" s="192" t="s">
        <v>31</v>
      </c>
      <c r="E522" s="192" t="s">
        <v>32</v>
      </c>
      <c r="F522" s="114" t="s">
        <v>33</v>
      </c>
    </row>
    <row r="523" spans="1:6" x14ac:dyDescent="0.3">
      <c r="A523" s="268" t="s">
        <v>1875</v>
      </c>
      <c r="B523" s="271" t="s">
        <v>46</v>
      </c>
      <c r="C523" s="274" t="s">
        <v>36</v>
      </c>
      <c r="D523" s="265" t="s">
        <v>37</v>
      </c>
      <c r="E523" s="265" t="s">
        <v>38</v>
      </c>
      <c r="F523" s="108" t="s">
        <v>233</v>
      </c>
    </row>
    <row r="524" spans="1:6" x14ac:dyDescent="0.3">
      <c r="A524" s="269"/>
      <c r="B524" s="272"/>
      <c r="C524" s="275"/>
      <c r="D524" s="266"/>
      <c r="E524" s="266"/>
      <c r="F524" s="109" t="s">
        <v>234</v>
      </c>
    </row>
    <row r="525" spans="1:6" x14ac:dyDescent="0.3">
      <c r="A525" s="270"/>
      <c r="B525" s="273"/>
      <c r="C525" s="276"/>
      <c r="D525" s="267"/>
      <c r="E525" s="267"/>
      <c r="F525" s="110" t="s">
        <v>235</v>
      </c>
    </row>
    <row r="526" spans="1:6" x14ac:dyDescent="0.3">
      <c r="A526" s="268" t="s">
        <v>1875</v>
      </c>
      <c r="B526" s="271" t="s">
        <v>48</v>
      </c>
      <c r="C526" s="274" t="s">
        <v>49</v>
      </c>
      <c r="D526" s="265" t="s">
        <v>37</v>
      </c>
      <c r="E526" s="265" t="s">
        <v>38</v>
      </c>
      <c r="F526" s="111" t="s">
        <v>236</v>
      </c>
    </row>
    <row r="527" spans="1:6" x14ac:dyDescent="0.3">
      <c r="A527" s="269"/>
      <c r="B527" s="272"/>
      <c r="C527" s="275"/>
      <c r="D527" s="266"/>
      <c r="E527" s="266"/>
      <c r="F527" s="112" t="s">
        <v>237</v>
      </c>
    </row>
    <row r="528" spans="1:6" x14ac:dyDescent="0.3">
      <c r="A528" s="270"/>
      <c r="B528" s="273"/>
      <c r="C528" s="276"/>
      <c r="D528" s="267"/>
      <c r="E528" s="267"/>
      <c r="F528" s="113" t="s">
        <v>238</v>
      </c>
    </row>
    <row r="529" spans="1:6" ht="39" x14ac:dyDescent="0.3">
      <c r="A529" s="239" t="s">
        <v>1875</v>
      </c>
      <c r="B529" s="21" t="s">
        <v>1852</v>
      </c>
      <c r="C529" s="129" t="s">
        <v>49</v>
      </c>
      <c r="D529" s="166" t="s">
        <v>37</v>
      </c>
      <c r="E529" s="166" t="s">
        <v>38</v>
      </c>
      <c r="F529" s="100" t="s">
        <v>1854</v>
      </c>
    </row>
    <row r="530" spans="1:6" ht="39" x14ac:dyDescent="0.3">
      <c r="A530" s="83" t="s">
        <v>184</v>
      </c>
      <c r="B530" s="196" t="s">
        <v>303</v>
      </c>
      <c r="C530" s="191" t="s">
        <v>30</v>
      </c>
      <c r="D530" s="192" t="s">
        <v>31</v>
      </c>
      <c r="E530" s="192" t="s">
        <v>32</v>
      </c>
      <c r="F530" s="114" t="s">
        <v>33</v>
      </c>
    </row>
    <row r="531" spans="1:6" x14ac:dyDescent="0.3">
      <c r="A531" s="268" t="s">
        <v>1874</v>
      </c>
      <c r="B531" s="271" t="s">
        <v>46</v>
      </c>
      <c r="C531" s="274" t="s">
        <v>36</v>
      </c>
      <c r="D531" s="265" t="s">
        <v>37</v>
      </c>
      <c r="E531" s="265" t="s">
        <v>38</v>
      </c>
      <c r="F531" s="108" t="s">
        <v>233</v>
      </c>
    </row>
    <row r="532" spans="1:6" x14ac:dyDescent="0.3">
      <c r="A532" s="269"/>
      <c r="B532" s="272"/>
      <c r="C532" s="275"/>
      <c r="D532" s="266"/>
      <c r="E532" s="266"/>
      <c r="F532" s="109" t="s">
        <v>234</v>
      </c>
    </row>
    <row r="533" spans="1:6" x14ac:dyDescent="0.3">
      <c r="A533" s="270"/>
      <c r="B533" s="273"/>
      <c r="C533" s="276"/>
      <c r="D533" s="267"/>
      <c r="E533" s="267"/>
      <c r="F533" s="110" t="s">
        <v>235</v>
      </c>
    </row>
    <row r="534" spans="1:6" x14ac:dyDescent="0.3">
      <c r="A534" s="268" t="s">
        <v>1874</v>
      </c>
      <c r="B534" s="271" t="s">
        <v>48</v>
      </c>
      <c r="C534" s="274" t="s">
        <v>49</v>
      </c>
      <c r="D534" s="265" t="s">
        <v>37</v>
      </c>
      <c r="E534" s="265" t="s">
        <v>38</v>
      </c>
      <c r="F534" s="111" t="s">
        <v>236</v>
      </c>
    </row>
    <row r="535" spans="1:6" x14ac:dyDescent="0.3">
      <c r="A535" s="269"/>
      <c r="B535" s="272"/>
      <c r="C535" s="275"/>
      <c r="D535" s="266"/>
      <c r="E535" s="266"/>
      <c r="F535" s="112" t="s">
        <v>237</v>
      </c>
    </row>
    <row r="536" spans="1:6" x14ac:dyDescent="0.3">
      <c r="A536" s="270"/>
      <c r="B536" s="273"/>
      <c r="C536" s="276"/>
      <c r="D536" s="267"/>
      <c r="E536" s="267"/>
      <c r="F536" s="113" t="s">
        <v>238</v>
      </c>
    </row>
    <row r="537" spans="1:6" ht="39" x14ac:dyDescent="0.3">
      <c r="A537" s="239" t="s">
        <v>1874</v>
      </c>
      <c r="B537" s="21" t="s">
        <v>1852</v>
      </c>
      <c r="C537" s="129" t="s">
        <v>49</v>
      </c>
      <c r="D537" s="166" t="s">
        <v>37</v>
      </c>
      <c r="E537" s="166" t="s">
        <v>38</v>
      </c>
      <c r="F537" s="100" t="s">
        <v>1854</v>
      </c>
    </row>
    <row r="538" spans="1:6" ht="39" x14ac:dyDescent="0.3">
      <c r="A538" s="83" t="s">
        <v>184</v>
      </c>
      <c r="B538" s="196" t="s">
        <v>1949</v>
      </c>
      <c r="C538" s="191" t="s">
        <v>30</v>
      </c>
      <c r="D538" s="192" t="s">
        <v>31</v>
      </c>
      <c r="E538" s="192" t="s">
        <v>32</v>
      </c>
      <c r="F538" s="114" t="s">
        <v>33</v>
      </c>
    </row>
    <row r="539" spans="1:6" x14ac:dyDescent="0.3">
      <c r="A539" s="268" t="s">
        <v>1950</v>
      </c>
      <c r="B539" s="271" t="s">
        <v>46</v>
      </c>
      <c r="C539" s="274" t="s">
        <v>36</v>
      </c>
      <c r="D539" s="265" t="s">
        <v>37</v>
      </c>
      <c r="E539" s="265" t="s">
        <v>38</v>
      </c>
      <c r="F539" s="108" t="s">
        <v>233</v>
      </c>
    </row>
    <row r="540" spans="1:6" x14ac:dyDescent="0.3">
      <c r="A540" s="269"/>
      <c r="B540" s="272"/>
      <c r="C540" s="275"/>
      <c r="D540" s="266"/>
      <c r="E540" s="266"/>
      <c r="F540" s="109" t="s">
        <v>234</v>
      </c>
    </row>
    <row r="541" spans="1:6" x14ac:dyDescent="0.3">
      <c r="A541" s="270"/>
      <c r="B541" s="273"/>
      <c r="C541" s="276"/>
      <c r="D541" s="267"/>
      <c r="E541" s="267"/>
      <c r="F541" s="110" t="s">
        <v>235</v>
      </c>
    </row>
    <row r="542" spans="1:6" x14ac:dyDescent="0.3">
      <c r="A542" s="268" t="s">
        <v>1950</v>
      </c>
      <c r="B542" s="271" t="s">
        <v>48</v>
      </c>
      <c r="C542" s="274" t="s">
        <v>49</v>
      </c>
      <c r="D542" s="265" t="s">
        <v>37</v>
      </c>
      <c r="E542" s="265" t="s">
        <v>38</v>
      </c>
      <c r="F542" s="111" t="s">
        <v>236</v>
      </c>
    </row>
    <row r="543" spans="1:6" x14ac:dyDescent="0.3">
      <c r="A543" s="269"/>
      <c r="B543" s="272"/>
      <c r="C543" s="275"/>
      <c r="D543" s="266"/>
      <c r="E543" s="266"/>
      <c r="F543" s="112" t="s">
        <v>237</v>
      </c>
    </row>
    <row r="544" spans="1:6" x14ac:dyDescent="0.3">
      <c r="A544" s="270"/>
      <c r="B544" s="273"/>
      <c r="C544" s="276"/>
      <c r="D544" s="267"/>
      <c r="E544" s="267"/>
      <c r="F544" s="113" t="s">
        <v>238</v>
      </c>
    </row>
    <row r="545" spans="1:6" ht="39" x14ac:dyDescent="0.3">
      <c r="A545" s="239" t="s">
        <v>1950</v>
      </c>
      <c r="B545" s="21" t="s">
        <v>1852</v>
      </c>
      <c r="C545" s="129" t="s">
        <v>49</v>
      </c>
      <c r="D545" s="166" t="s">
        <v>37</v>
      </c>
      <c r="E545" s="166" t="s">
        <v>38</v>
      </c>
      <c r="F545" s="100" t="s">
        <v>1854</v>
      </c>
    </row>
    <row r="546" spans="1:6" ht="39" x14ac:dyDescent="0.3">
      <c r="A546" s="83" t="s">
        <v>184</v>
      </c>
      <c r="B546" s="196" t="s">
        <v>1951</v>
      </c>
      <c r="C546" s="191" t="s">
        <v>30</v>
      </c>
      <c r="D546" s="192" t="s">
        <v>31</v>
      </c>
      <c r="E546" s="192" t="s">
        <v>32</v>
      </c>
      <c r="F546" s="114" t="s">
        <v>33</v>
      </c>
    </row>
    <row r="547" spans="1:6" x14ac:dyDescent="0.3">
      <c r="A547" s="268" t="s">
        <v>1952</v>
      </c>
      <c r="B547" s="271" t="s">
        <v>46</v>
      </c>
      <c r="C547" s="274" t="s">
        <v>36</v>
      </c>
      <c r="D547" s="265" t="s">
        <v>37</v>
      </c>
      <c r="E547" s="265" t="s">
        <v>38</v>
      </c>
      <c r="F547" s="108" t="s">
        <v>233</v>
      </c>
    </row>
    <row r="548" spans="1:6" x14ac:dyDescent="0.3">
      <c r="A548" s="269"/>
      <c r="B548" s="272"/>
      <c r="C548" s="275"/>
      <c r="D548" s="266"/>
      <c r="E548" s="266"/>
      <c r="F548" s="109" t="s">
        <v>234</v>
      </c>
    </row>
    <row r="549" spans="1:6" x14ac:dyDescent="0.3">
      <c r="A549" s="270"/>
      <c r="B549" s="273"/>
      <c r="C549" s="276"/>
      <c r="D549" s="267"/>
      <c r="E549" s="267"/>
      <c r="F549" s="110" t="s">
        <v>235</v>
      </c>
    </row>
    <row r="550" spans="1:6" x14ac:dyDescent="0.3">
      <c r="A550" s="268" t="s">
        <v>1952</v>
      </c>
      <c r="B550" s="271" t="s">
        <v>48</v>
      </c>
      <c r="C550" s="274" t="s">
        <v>49</v>
      </c>
      <c r="D550" s="265" t="s">
        <v>37</v>
      </c>
      <c r="E550" s="265" t="s">
        <v>38</v>
      </c>
      <c r="F550" s="111" t="s">
        <v>236</v>
      </c>
    </row>
    <row r="551" spans="1:6" x14ac:dyDescent="0.3">
      <c r="A551" s="269"/>
      <c r="B551" s="272"/>
      <c r="C551" s="275"/>
      <c r="D551" s="266"/>
      <c r="E551" s="266"/>
      <c r="F551" s="112" t="s">
        <v>237</v>
      </c>
    </row>
    <row r="552" spans="1:6" x14ac:dyDescent="0.3">
      <c r="A552" s="270"/>
      <c r="B552" s="273"/>
      <c r="C552" s="276"/>
      <c r="D552" s="267"/>
      <c r="E552" s="267"/>
      <c r="F552" s="113" t="s">
        <v>238</v>
      </c>
    </row>
    <row r="553" spans="1:6" ht="39" x14ac:dyDescent="0.3">
      <c r="A553" s="239" t="s">
        <v>1952</v>
      </c>
      <c r="B553" s="21" t="s">
        <v>1852</v>
      </c>
      <c r="C553" s="129" t="s">
        <v>49</v>
      </c>
      <c r="D553" s="166" t="s">
        <v>37</v>
      </c>
      <c r="E553" s="166" t="s">
        <v>38</v>
      </c>
      <c r="F553" s="100" t="s">
        <v>1854</v>
      </c>
    </row>
    <row r="554" spans="1:6" ht="39" x14ac:dyDescent="0.3">
      <c r="A554" s="83" t="s">
        <v>184</v>
      </c>
      <c r="B554" s="196" t="s">
        <v>1953</v>
      </c>
      <c r="C554" s="191" t="s">
        <v>30</v>
      </c>
      <c r="D554" s="192" t="s">
        <v>31</v>
      </c>
      <c r="E554" s="192" t="s">
        <v>32</v>
      </c>
      <c r="F554" s="114" t="s">
        <v>33</v>
      </c>
    </row>
    <row r="555" spans="1:6" x14ac:dyDescent="0.3">
      <c r="A555" s="268" t="s">
        <v>1954</v>
      </c>
      <c r="B555" s="271" t="s">
        <v>46</v>
      </c>
      <c r="C555" s="274" t="s">
        <v>36</v>
      </c>
      <c r="D555" s="265" t="s">
        <v>37</v>
      </c>
      <c r="E555" s="265" t="s">
        <v>38</v>
      </c>
      <c r="F555" s="108" t="s">
        <v>233</v>
      </c>
    </row>
    <row r="556" spans="1:6" x14ac:dyDescent="0.3">
      <c r="A556" s="269"/>
      <c r="B556" s="272"/>
      <c r="C556" s="275"/>
      <c r="D556" s="266"/>
      <c r="E556" s="266"/>
      <c r="F556" s="109" t="s">
        <v>234</v>
      </c>
    </row>
    <row r="557" spans="1:6" x14ac:dyDescent="0.3">
      <c r="A557" s="270"/>
      <c r="B557" s="273"/>
      <c r="C557" s="276"/>
      <c r="D557" s="267"/>
      <c r="E557" s="267"/>
      <c r="F557" s="110" t="s">
        <v>235</v>
      </c>
    </row>
    <row r="558" spans="1:6" x14ac:dyDescent="0.3">
      <c r="A558" s="268" t="s">
        <v>1954</v>
      </c>
      <c r="B558" s="271" t="s">
        <v>48</v>
      </c>
      <c r="C558" s="274" t="s">
        <v>49</v>
      </c>
      <c r="D558" s="265" t="s">
        <v>37</v>
      </c>
      <c r="E558" s="265" t="s">
        <v>38</v>
      </c>
      <c r="F558" s="111" t="s">
        <v>236</v>
      </c>
    </row>
    <row r="559" spans="1:6" x14ac:dyDescent="0.3">
      <c r="A559" s="269"/>
      <c r="B559" s="272"/>
      <c r="C559" s="275"/>
      <c r="D559" s="266"/>
      <c r="E559" s="266"/>
      <c r="F559" s="112" t="s">
        <v>237</v>
      </c>
    </row>
    <row r="560" spans="1:6" x14ac:dyDescent="0.3">
      <c r="A560" s="270"/>
      <c r="B560" s="273"/>
      <c r="C560" s="276"/>
      <c r="D560" s="267"/>
      <c r="E560" s="267"/>
      <c r="F560" s="113" t="s">
        <v>238</v>
      </c>
    </row>
    <row r="561" spans="1:6" ht="39" x14ac:dyDescent="0.3">
      <c r="A561" s="239" t="s">
        <v>1954</v>
      </c>
      <c r="B561" s="21" t="s">
        <v>1852</v>
      </c>
      <c r="C561" s="129" t="s">
        <v>49</v>
      </c>
      <c r="D561" s="166" t="s">
        <v>37</v>
      </c>
      <c r="E561" s="166" t="s">
        <v>38</v>
      </c>
      <c r="F561" s="100" t="s">
        <v>1854</v>
      </c>
    </row>
    <row r="562" spans="1:6" ht="39" x14ac:dyDescent="0.3">
      <c r="A562" s="83" t="s">
        <v>184</v>
      </c>
      <c r="B562" s="196" t="s">
        <v>1955</v>
      </c>
      <c r="C562" s="191" t="s">
        <v>30</v>
      </c>
      <c r="D562" s="192" t="s">
        <v>31</v>
      </c>
      <c r="E562" s="192" t="s">
        <v>32</v>
      </c>
      <c r="F562" s="114" t="s">
        <v>33</v>
      </c>
    </row>
    <row r="563" spans="1:6" x14ac:dyDescent="0.3">
      <c r="A563" s="268" t="s">
        <v>1956</v>
      </c>
      <c r="B563" s="271" t="s">
        <v>46</v>
      </c>
      <c r="C563" s="274" t="s">
        <v>36</v>
      </c>
      <c r="D563" s="265" t="s">
        <v>37</v>
      </c>
      <c r="E563" s="265" t="s">
        <v>38</v>
      </c>
      <c r="F563" s="108" t="s">
        <v>233</v>
      </c>
    </row>
    <row r="564" spans="1:6" x14ac:dyDescent="0.3">
      <c r="A564" s="269"/>
      <c r="B564" s="272"/>
      <c r="C564" s="275"/>
      <c r="D564" s="266"/>
      <c r="E564" s="266"/>
      <c r="F564" s="109" t="s">
        <v>234</v>
      </c>
    </row>
    <row r="565" spans="1:6" x14ac:dyDescent="0.3">
      <c r="A565" s="270"/>
      <c r="B565" s="273"/>
      <c r="C565" s="276"/>
      <c r="D565" s="267"/>
      <c r="E565" s="267"/>
      <c r="F565" s="110" t="s">
        <v>235</v>
      </c>
    </row>
    <row r="566" spans="1:6" x14ac:dyDescent="0.3">
      <c r="A566" s="268" t="s">
        <v>1956</v>
      </c>
      <c r="B566" s="271" t="s">
        <v>1878</v>
      </c>
      <c r="C566" s="274" t="s">
        <v>49</v>
      </c>
      <c r="D566" s="265" t="s">
        <v>37</v>
      </c>
      <c r="E566" s="265" t="s">
        <v>38</v>
      </c>
      <c r="F566" s="111" t="s">
        <v>236</v>
      </c>
    </row>
    <row r="567" spans="1:6" x14ac:dyDescent="0.3">
      <c r="A567" s="269"/>
      <c r="B567" s="272"/>
      <c r="C567" s="275"/>
      <c r="D567" s="266"/>
      <c r="E567" s="266"/>
      <c r="F567" s="112" t="s">
        <v>237</v>
      </c>
    </row>
    <row r="568" spans="1:6" x14ac:dyDescent="0.3">
      <c r="A568" s="270"/>
      <c r="B568" s="273"/>
      <c r="C568" s="276"/>
      <c r="D568" s="267"/>
      <c r="E568" s="267"/>
      <c r="F568" s="113" t="s">
        <v>238</v>
      </c>
    </row>
    <row r="569" spans="1:6" ht="39" x14ac:dyDescent="0.3">
      <c r="A569" s="239" t="s">
        <v>1956</v>
      </c>
      <c r="B569" s="21" t="s">
        <v>1852</v>
      </c>
      <c r="C569" s="129" t="s">
        <v>49</v>
      </c>
      <c r="D569" s="166" t="s">
        <v>37</v>
      </c>
      <c r="E569" s="166" t="s">
        <v>38</v>
      </c>
      <c r="F569" s="100" t="s">
        <v>1854</v>
      </c>
    </row>
    <row r="570" spans="1:6" ht="39" x14ac:dyDescent="0.3">
      <c r="A570" s="83" t="s">
        <v>184</v>
      </c>
      <c r="B570" s="196" t="s">
        <v>304</v>
      </c>
      <c r="C570" s="191" t="s">
        <v>30</v>
      </c>
      <c r="D570" s="192" t="s">
        <v>31</v>
      </c>
      <c r="E570" s="192" t="s">
        <v>32</v>
      </c>
      <c r="F570" s="114" t="s">
        <v>33</v>
      </c>
    </row>
    <row r="571" spans="1:6" x14ac:dyDescent="0.3">
      <c r="A571" s="268" t="s">
        <v>1876</v>
      </c>
      <c r="B571" s="271" t="s">
        <v>46</v>
      </c>
      <c r="C571" s="274" t="s">
        <v>36</v>
      </c>
      <c r="D571" s="265" t="s">
        <v>37</v>
      </c>
      <c r="E571" s="265" t="s">
        <v>38</v>
      </c>
      <c r="F571" s="108" t="s">
        <v>233</v>
      </c>
    </row>
    <row r="572" spans="1:6" x14ac:dyDescent="0.3">
      <c r="A572" s="269"/>
      <c r="B572" s="272"/>
      <c r="C572" s="275"/>
      <c r="D572" s="266"/>
      <c r="E572" s="266"/>
      <c r="F572" s="109" t="s">
        <v>234</v>
      </c>
    </row>
    <row r="573" spans="1:6" x14ac:dyDescent="0.3">
      <c r="A573" s="270"/>
      <c r="B573" s="273"/>
      <c r="C573" s="276"/>
      <c r="D573" s="267"/>
      <c r="E573" s="267"/>
      <c r="F573" s="110" t="s">
        <v>235</v>
      </c>
    </row>
    <row r="574" spans="1:6" x14ac:dyDescent="0.3">
      <c r="A574" s="268" t="s">
        <v>1876</v>
      </c>
      <c r="B574" s="271" t="s">
        <v>48</v>
      </c>
      <c r="C574" s="274" t="s">
        <v>49</v>
      </c>
      <c r="D574" s="265" t="s">
        <v>37</v>
      </c>
      <c r="E574" s="265" t="s">
        <v>38</v>
      </c>
      <c r="F574" s="111" t="s">
        <v>236</v>
      </c>
    </row>
    <row r="575" spans="1:6" x14ac:dyDescent="0.3">
      <c r="A575" s="269"/>
      <c r="B575" s="272"/>
      <c r="C575" s="275"/>
      <c r="D575" s="266"/>
      <c r="E575" s="266"/>
      <c r="F575" s="112" t="s">
        <v>237</v>
      </c>
    </row>
    <row r="576" spans="1:6" x14ac:dyDescent="0.3">
      <c r="A576" s="270"/>
      <c r="B576" s="273"/>
      <c r="C576" s="276"/>
      <c r="D576" s="267"/>
      <c r="E576" s="267"/>
      <c r="F576" s="113" t="s">
        <v>238</v>
      </c>
    </row>
    <row r="577" spans="1:251" ht="39" x14ac:dyDescent="0.3">
      <c r="A577" s="239" t="s">
        <v>1876</v>
      </c>
      <c r="B577" s="21" t="s">
        <v>1852</v>
      </c>
      <c r="C577" s="129" t="s">
        <v>49</v>
      </c>
      <c r="D577" s="166" t="s">
        <v>37</v>
      </c>
      <c r="E577" s="166" t="s">
        <v>38</v>
      </c>
      <c r="F577" s="100" t="s">
        <v>1854</v>
      </c>
    </row>
    <row r="578" spans="1:251" ht="39" x14ac:dyDescent="0.3">
      <c r="A578" s="83" t="s">
        <v>184</v>
      </c>
      <c r="B578" s="196" t="s">
        <v>305</v>
      </c>
      <c r="C578" s="191" t="s">
        <v>30</v>
      </c>
      <c r="D578" s="192" t="s">
        <v>31</v>
      </c>
      <c r="E578" s="192" t="s">
        <v>32</v>
      </c>
      <c r="F578" s="114" t="s">
        <v>33</v>
      </c>
    </row>
    <row r="579" spans="1:251" x14ac:dyDescent="0.3">
      <c r="A579" s="268" t="s">
        <v>1877</v>
      </c>
      <c r="B579" s="271" t="s">
        <v>46</v>
      </c>
      <c r="C579" s="274" t="s">
        <v>36</v>
      </c>
      <c r="D579" s="265" t="s">
        <v>37</v>
      </c>
      <c r="E579" s="265" t="s">
        <v>38</v>
      </c>
      <c r="F579" s="108" t="s">
        <v>233</v>
      </c>
    </row>
    <row r="580" spans="1:251" x14ac:dyDescent="0.3">
      <c r="A580" s="269"/>
      <c r="B580" s="272"/>
      <c r="C580" s="275"/>
      <c r="D580" s="266"/>
      <c r="E580" s="266"/>
      <c r="F580" s="109" t="s">
        <v>234</v>
      </c>
    </row>
    <row r="581" spans="1:251" x14ac:dyDescent="0.3">
      <c r="A581" s="270"/>
      <c r="B581" s="273"/>
      <c r="C581" s="276"/>
      <c r="D581" s="267"/>
      <c r="E581" s="267"/>
      <c r="F581" s="110" t="s">
        <v>235</v>
      </c>
    </row>
    <row r="582" spans="1:251" x14ac:dyDescent="0.3">
      <c r="A582" s="268" t="s">
        <v>1877</v>
      </c>
      <c r="B582" s="271" t="s">
        <v>48</v>
      </c>
      <c r="C582" s="274" t="s">
        <v>49</v>
      </c>
      <c r="D582" s="265" t="s">
        <v>37</v>
      </c>
      <c r="E582" s="265" t="s">
        <v>38</v>
      </c>
      <c r="F582" s="111" t="s">
        <v>236</v>
      </c>
    </row>
    <row r="583" spans="1:251" x14ac:dyDescent="0.3">
      <c r="A583" s="269"/>
      <c r="B583" s="272"/>
      <c r="C583" s="275"/>
      <c r="D583" s="266"/>
      <c r="E583" s="266"/>
      <c r="F583" s="112" t="s">
        <v>237</v>
      </c>
    </row>
    <row r="584" spans="1:251" x14ac:dyDescent="0.3">
      <c r="A584" s="270"/>
      <c r="B584" s="273"/>
      <c r="C584" s="276"/>
      <c r="D584" s="267"/>
      <c r="E584" s="267"/>
      <c r="F584" s="113" t="s">
        <v>238</v>
      </c>
    </row>
    <row r="585" spans="1:251" ht="39" x14ac:dyDescent="0.3">
      <c r="A585" s="239" t="s">
        <v>1877</v>
      </c>
      <c r="B585" s="21" t="s">
        <v>1852</v>
      </c>
      <c r="C585" s="129" t="s">
        <v>49</v>
      </c>
      <c r="D585" s="166" t="s">
        <v>37</v>
      </c>
      <c r="E585" s="166" t="s">
        <v>38</v>
      </c>
      <c r="F585" s="100" t="s">
        <v>1854</v>
      </c>
    </row>
    <row r="586" spans="1:251" ht="39" x14ac:dyDescent="0.3">
      <c r="A586" s="83" t="s">
        <v>1703</v>
      </c>
      <c r="B586" s="196" t="s">
        <v>306</v>
      </c>
      <c r="C586" s="191" t="s">
        <v>30</v>
      </c>
      <c r="D586" s="192" t="s">
        <v>31</v>
      </c>
      <c r="E586" s="192" t="s">
        <v>32</v>
      </c>
      <c r="F586" s="114" t="s">
        <v>33</v>
      </c>
      <c r="G586" s="191" t="s">
        <v>5</v>
      </c>
      <c r="H586" s="199"/>
      <c r="I586" s="183"/>
      <c r="J586" s="183"/>
      <c r="K586" s="183"/>
      <c r="L586" s="183"/>
      <c r="M586" s="183"/>
      <c r="N586" s="183"/>
      <c r="O586" s="183"/>
      <c r="P586" s="183"/>
      <c r="Q586" s="183"/>
      <c r="R586" s="183"/>
      <c r="S586" s="183"/>
      <c r="T586" s="183"/>
      <c r="U586" s="183"/>
      <c r="V586" s="183"/>
      <c r="W586" s="183"/>
      <c r="X586" s="183"/>
      <c r="Y586" s="183"/>
      <c r="Z586" s="183"/>
      <c r="AA586" s="183"/>
      <c r="AB586" s="183"/>
      <c r="AC586" s="183"/>
      <c r="AD586" s="183"/>
      <c r="AE586" s="183"/>
      <c r="AF586" s="183"/>
      <c r="AG586" s="183"/>
      <c r="AH586" s="183"/>
      <c r="AI586" s="183"/>
      <c r="AJ586" s="183"/>
      <c r="AK586" s="183"/>
      <c r="AL586" s="183"/>
      <c r="AM586" s="183"/>
      <c r="AN586" s="183"/>
      <c r="AO586" s="183"/>
      <c r="AP586" s="183"/>
      <c r="AQ586" s="183"/>
      <c r="AR586" s="183"/>
      <c r="AS586" s="183"/>
      <c r="AT586" s="183"/>
      <c r="AU586" s="183"/>
      <c r="AV586" s="183"/>
      <c r="AW586" s="183"/>
      <c r="AX586" s="183"/>
      <c r="AY586" s="183"/>
      <c r="AZ586" s="183"/>
      <c r="BA586" s="183"/>
      <c r="BB586" s="183"/>
      <c r="BC586" s="183"/>
      <c r="BD586" s="183"/>
      <c r="BE586" s="183"/>
      <c r="BF586" s="183"/>
      <c r="BG586" s="183"/>
      <c r="BH586" s="183"/>
      <c r="BI586" s="183"/>
      <c r="BJ586" s="183"/>
      <c r="BK586" s="183"/>
      <c r="BL586" s="183"/>
      <c r="BM586" s="183"/>
      <c r="BN586" s="183"/>
      <c r="BO586" s="183"/>
      <c r="BP586" s="183"/>
      <c r="BQ586" s="183"/>
      <c r="BR586" s="183"/>
      <c r="BS586" s="183"/>
      <c r="BT586" s="183"/>
      <c r="BU586" s="183"/>
      <c r="BV586" s="183"/>
      <c r="BW586" s="183"/>
      <c r="BX586" s="183"/>
      <c r="BY586" s="183"/>
      <c r="BZ586" s="183"/>
      <c r="CA586" s="183"/>
      <c r="CB586" s="183"/>
      <c r="CC586" s="183"/>
      <c r="CD586" s="183"/>
      <c r="CE586" s="183"/>
      <c r="CF586" s="183"/>
      <c r="CG586" s="183"/>
      <c r="CH586" s="183"/>
      <c r="CI586" s="183"/>
      <c r="CJ586" s="183"/>
      <c r="CK586" s="183"/>
      <c r="CL586" s="183"/>
      <c r="CM586" s="183"/>
      <c r="CN586" s="183"/>
      <c r="CO586" s="183"/>
      <c r="CP586" s="183"/>
      <c r="CQ586" s="183"/>
      <c r="CR586" s="183"/>
      <c r="CS586" s="183"/>
      <c r="CT586" s="183"/>
      <c r="CU586" s="183"/>
      <c r="CV586" s="183"/>
      <c r="CW586" s="183"/>
      <c r="CX586" s="183"/>
      <c r="CY586" s="183"/>
      <c r="CZ586" s="183"/>
      <c r="DA586" s="183"/>
      <c r="DB586" s="183"/>
      <c r="DC586" s="183"/>
      <c r="DD586" s="183"/>
      <c r="DE586" s="183"/>
      <c r="DF586" s="183"/>
      <c r="DG586" s="183"/>
      <c r="DH586" s="183"/>
      <c r="DI586" s="183"/>
      <c r="DJ586" s="183"/>
      <c r="DK586" s="183"/>
      <c r="DL586" s="183"/>
      <c r="DM586" s="183"/>
      <c r="DN586" s="183"/>
      <c r="DO586" s="183"/>
      <c r="DP586" s="183"/>
      <c r="DQ586" s="183"/>
      <c r="DR586" s="183"/>
      <c r="DS586" s="183"/>
      <c r="DT586" s="183"/>
      <c r="DU586" s="183"/>
      <c r="DV586" s="183"/>
      <c r="DW586" s="183"/>
      <c r="DX586" s="183"/>
      <c r="DY586" s="183"/>
      <c r="DZ586" s="183"/>
      <c r="EA586" s="183"/>
      <c r="EB586" s="183"/>
      <c r="EC586" s="183"/>
      <c r="ED586" s="183"/>
      <c r="EE586" s="183"/>
      <c r="EF586" s="183"/>
      <c r="EG586" s="183"/>
      <c r="EH586" s="183"/>
      <c r="EI586" s="183"/>
      <c r="EJ586" s="183"/>
      <c r="EK586" s="183"/>
      <c r="EL586" s="183"/>
      <c r="EM586" s="183"/>
      <c r="EN586" s="183"/>
      <c r="EO586" s="183"/>
      <c r="EP586" s="183"/>
      <c r="EQ586" s="183"/>
      <c r="ER586" s="183"/>
      <c r="ES586" s="183"/>
      <c r="ET586" s="183"/>
      <c r="EU586" s="183"/>
      <c r="EV586" s="183"/>
      <c r="EW586" s="183"/>
      <c r="EX586" s="183"/>
      <c r="EY586" s="183"/>
      <c r="EZ586" s="183"/>
      <c r="FA586" s="183"/>
      <c r="FB586" s="183"/>
      <c r="FC586" s="183"/>
      <c r="FD586" s="183"/>
      <c r="FE586" s="183"/>
      <c r="FF586" s="183"/>
      <c r="FG586" s="183"/>
      <c r="FH586" s="183"/>
      <c r="FI586" s="183"/>
      <c r="FJ586" s="183"/>
      <c r="FK586" s="183"/>
      <c r="FL586" s="183"/>
      <c r="FM586" s="183"/>
      <c r="FN586" s="183"/>
      <c r="FO586" s="183"/>
      <c r="FP586" s="183"/>
      <c r="FQ586" s="183"/>
      <c r="FR586" s="183"/>
      <c r="FS586" s="183"/>
      <c r="FT586" s="183"/>
      <c r="FU586" s="183"/>
      <c r="FV586" s="183"/>
      <c r="FW586" s="183"/>
      <c r="FX586" s="183"/>
      <c r="FY586" s="183"/>
      <c r="FZ586" s="183"/>
      <c r="GA586" s="183"/>
      <c r="GB586" s="183"/>
      <c r="GC586" s="183"/>
      <c r="GD586" s="183"/>
      <c r="GE586" s="183"/>
      <c r="GF586" s="183"/>
      <c r="GG586" s="183"/>
      <c r="GH586" s="183"/>
      <c r="GI586" s="183"/>
      <c r="GJ586" s="183"/>
      <c r="GK586" s="183"/>
      <c r="GL586" s="183"/>
      <c r="GM586" s="183"/>
      <c r="GN586" s="183"/>
      <c r="GO586" s="183"/>
      <c r="GP586" s="183"/>
      <c r="GQ586" s="183"/>
      <c r="GR586" s="183"/>
      <c r="GS586" s="183"/>
      <c r="GT586" s="183"/>
      <c r="GU586" s="183"/>
      <c r="GV586" s="183"/>
      <c r="GW586" s="183"/>
      <c r="GX586" s="183"/>
      <c r="GY586" s="183"/>
      <c r="GZ586" s="183"/>
      <c r="HA586" s="183"/>
      <c r="HB586" s="183"/>
      <c r="HC586" s="183"/>
      <c r="HD586" s="183"/>
      <c r="HE586" s="183"/>
      <c r="HF586" s="183"/>
      <c r="HG586" s="183"/>
      <c r="HH586" s="183"/>
      <c r="HI586" s="183"/>
      <c r="HJ586" s="183"/>
      <c r="HK586" s="183"/>
      <c r="HL586" s="183"/>
      <c r="HM586" s="183"/>
      <c r="HN586" s="183"/>
      <c r="HO586" s="183"/>
      <c r="HP586" s="183"/>
      <c r="HQ586" s="183"/>
      <c r="HR586" s="183"/>
      <c r="HS586" s="183"/>
      <c r="HT586" s="183"/>
      <c r="HU586" s="183"/>
      <c r="HV586" s="183"/>
      <c r="HW586" s="183"/>
      <c r="HX586" s="183"/>
      <c r="HY586" s="183"/>
      <c r="HZ586" s="183"/>
      <c r="IA586" s="183"/>
      <c r="IB586" s="183"/>
      <c r="IC586" s="183"/>
      <c r="ID586" s="183"/>
      <c r="IE586" s="183"/>
      <c r="IF586" s="183"/>
      <c r="IG586" s="183"/>
      <c r="IH586" s="183"/>
      <c r="II586" s="183"/>
      <c r="IJ586" s="183"/>
      <c r="IK586" s="183"/>
      <c r="IL586" s="183"/>
      <c r="IM586" s="183"/>
      <c r="IN586" s="183"/>
      <c r="IO586" s="183"/>
      <c r="IP586" s="183"/>
      <c r="IQ586" s="183"/>
    </row>
    <row r="587" spans="1:251" x14ac:dyDescent="0.3">
      <c r="A587" s="268" t="s">
        <v>307</v>
      </c>
      <c r="B587" s="271" t="s">
        <v>46</v>
      </c>
      <c r="C587" s="274" t="s">
        <v>36</v>
      </c>
      <c r="D587" s="265" t="s">
        <v>37</v>
      </c>
      <c r="E587" s="265" t="s">
        <v>38</v>
      </c>
      <c r="F587" s="108" t="s">
        <v>233</v>
      </c>
      <c r="G587" s="286"/>
      <c r="H587" s="289"/>
      <c r="I587" s="290"/>
      <c r="J587" s="290"/>
      <c r="K587" s="290"/>
      <c r="L587" s="290"/>
      <c r="M587" s="290"/>
      <c r="N587" s="290"/>
      <c r="O587" s="290"/>
      <c r="P587" s="290"/>
      <c r="Q587" s="290"/>
      <c r="R587" s="290"/>
      <c r="S587" s="290"/>
      <c r="T587" s="290"/>
      <c r="U587" s="290"/>
      <c r="V587" s="290"/>
      <c r="W587" s="290"/>
      <c r="X587" s="290"/>
      <c r="Y587" s="290"/>
      <c r="Z587" s="290"/>
      <c r="AA587" s="290"/>
      <c r="AB587" s="290"/>
      <c r="AC587" s="290"/>
      <c r="AD587" s="290"/>
      <c r="AE587" s="290"/>
      <c r="AF587" s="290"/>
      <c r="AG587" s="290"/>
      <c r="AH587" s="290"/>
      <c r="AI587" s="290"/>
      <c r="AJ587" s="290"/>
      <c r="AK587" s="290"/>
      <c r="AL587" s="290"/>
      <c r="AM587" s="290"/>
      <c r="AN587" s="290"/>
      <c r="AO587" s="290"/>
      <c r="AP587" s="290"/>
      <c r="AQ587" s="290"/>
      <c r="AR587" s="290"/>
      <c r="AS587" s="290"/>
      <c r="AT587" s="290"/>
      <c r="AU587" s="290"/>
      <c r="AV587" s="290"/>
      <c r="AW587" s="290"/>
      <c r="AX587" s="290"/>
      <c r="AY587" s="290"/>
      <c r="AZ587" s="290"/>
      <c r="BA587" s="290"/>
      <c r="BB587" s="290"/>
      <c r="BC587" s="290"/>
      <c r="BD587" s="290"/>
      <c r="BE587" s="290"/>
      <c r="BF587" s="290"/>
      <c r="BG587" s="290"/>
      <c r="BH587" s="290"/>
      <c r="BI587" s="290"/>
      <c r="BJ587" s="290"/>
      <c r="BK587" s="290"/>
      <c r="BL587" s="290"/>
      <c r="BM587" s="290"/>
      <c r="BN587" s="290"/>
      <c r="BO587" s="290"/>
      <c r="BP587" s="290"/>
      <c r="BQ587" s="290"/>
      <c r="BR587" s="290"/>
      <c r="BS587" s="290"/>
      <c r="BT587" s="290"/>
      <c r="BU587" s="290"/>
      <c r="BV587" s="290"/>
      <c r="BW587" s="290"/>
      <c r="BX587" s="290"/>
      <c r="BY587" s="290"/>
      <c r="BZ587" s="290"/>
      <c r="CA587" s="290"/>
      <c r="CB587" s="290"/>
      <c r="CC587" s="290"/>
      <c r="CD587" s="290"/>
      <c r="CE587" s="290"/>
      <c r="CF587" s="290"/>
      <c r="CG587" s="290"/>
      <c r="CH587" s="290"/>
      <c r="CI587" s="290"/>
      <c r="CJ587" s="290"/>
      <c r="CK587" s="290"/>
      <c r="CL587" s="290"/>
      <c r="CM587" s="290"/>
      <c r="CN587" s="290"/>
      <c r="CO587" s="290"/>
      <c r="CP587" s="290"/>
      <c r="CQ587" s="290"/>
      <c r="CR587" s="290"/>
      <c r="CS587" s="290"/>
      <c r="CT587" s="290"/>
      <c r="CU587" s="290"/>
      <c r="CV587" s="290"/>
      <c r="CW587" s="290"/>
      <c r="CX587" s="290"/>
      <c r="CY587" s="290"/>
      <c r="CZ587" s="290"/>
      <c r="DA587" s="290"/>
      <c r="DB587" s="290"/>
      <c r="DC587" s="290"/>
      <c r="DD587" s="290"/>
      <c r="DE587" s="290"/>
      <c r="DF587" s="290"/>
      <c r="DG587" s="290"/>
      <c r="DH587" s="290"/>
      <c r="DI587" s="290"/>
      <c r="DJ587" s="290"/>
      <c r="DK587" s="290"/>
      <c r="DL587" s="290"/>
      <c r="DM587" s="290"/>
      <c r="DN587" s="290"/>
      <c r="DO587" s="290"/>
      <c r="DP587" s="290"/>
      <c r="DQ587" s="290"/>
      <c r="DR587" s="290"/>
      <c r="DS587" s="290"/>
      <c r="DT587" s="290"/>
      <c r="DU587" s="290"/>
      <c r="DV587" s="290"/>
      <c r="DW587" s="290"/>
      <c r="DX587" s="290"/>
      <c r="DY587" s="290"/>
      <c r="DZ587" s="290"/>
      <c r="EA587" s="290"/>
      <c r="EB587" s="290"/>
      <c r="EC587" s="290"/>
      <c r="ED587" s="290"/>
      <c r="EE587" s="290"/>
      <c r="EF587" s="290"/>
      <c r="EG587" s="290"/>
      <c r="EH587" s="290"/>
      <c r="EI587" s="290"/>
      <c r="EJ587" s="290"/>
      <c r="EK587" s="290"/>
      <c r="EL587" s="290"/>
      <c r="EM587" s="290"/>
      <c r="EN587" s="290"/>
      <c r="EO587" s="290"/>
      <c r="EP587" s="290"/>
      <c r="EQ587" s="290"/>
      <c r="ER587" s="290"/>
      <c r="ES587" s="290"/>
      <c r="ET587" s="290"/>
      <c r="EU587" s="290"/>
      <c r="EV587" s="290"/>
      <c r="EW587" s="290"/>
      <c r="EX587" s="290"/>
      <c r="EY587" s="290"/>
      <c r="EZ587" s="290"/>
      <c r="FA587" s="290"/>
      <c r="FB587" s="290"/>
      <c r="FC587" s="290"/>
      <c r="FD587" s="290"/>
      <c r="FE587" s="290"/>
      <c r="FF587" s="290"/>
      <c r="FG587" s="290"/>
      <c r="FH587" s="290"/>
      <c r="FI587" s="290"/>
      <c r="FJ587" s="290"/>
      <c r="FK587" s="290"/>
      <c r="FL587" s="290"/>
      <c r="FM587" s="290"/>
      <c r="FN587" s="290"/>
      <c r="FO587" s="290"/>
      <c r="FP587" s="290"/>
      <c r="FQ587" s="290"/>
      <c r="FR587" s="290"/>
      <c r="FS587" s="290"/>
      <c r="FT587" s="290"/>
      <c r="FU587" s="290"/>
      <c r="FV587" s="290"/>
      <c r="FW587" s="290"/>
      <c r="FX587" s="290"/>
      <c r="FY587" s="290"/>
      <c r="FZ587" s="290"/>
      <c r="GA587" s="290"/>
      <c r="GB587" s="290"/>
      <c r="GC587" s="290"/>
      <c r="GD587" s="290"/>
      <c r="GE587" s="290"/>
      <c r="GF587" s="290"/>
      <c r="GG587" s="290"/>
      <c r="GH587" s="290"/>
      <c r="GI587" s="290"/>
      <c r="GJ587" s="290"/>
      <c r="GK587" s="290"/>
      <c r="GL587" s="290"/>
      <c r="GM587" s="290"/>
      <c r="GN587" s="290"/>
      <c r="GO587" s="290"/>
      <c r="GP587" s="290"/>
      <c r="GQ587" s="290"/>
      <c r="GR587" s="290"/>
      <c r="GS587" s="290"/>
      <c r="GT587" s="290"/>
      <c r="GU587" s="290"/>
      <c r="GV587" s="290"/>
      <c r="GW587" s="290"/>
      <c r="GX587" s="290"/>
      <c r="GY587" s="290"/>
      <c r="GZ587" s="290"/>
      <c r="HA587" s="290"/>
      <c r="HB587" s="290"/>
      <c r="HC587" s="290"/>
      <c r="HD587" s="290"/>
      <c r="HE587" s="290"/>
      <c r="HF587" s="290"/>
      <c r="HG587" s="290"/>
      <c r="HH587" s="290"/>
      <c r="HI587" s="290"/>
      <c r="HJ587" s="290"/>
      <c r="HK587" s="290"/>
      <c r="HL587" s="290"/>
      <c r="HM587" s="290"/>
      <c r="HN587" s="290"/>
      <c r="HO587" s="290"/>
      <c r="HP587" s="290"/>
      <c r="HQ587" s="290"/>
      <c r="HR587" s="290"/>
      <c r="HS587" s="290"/>
      <c r="HT587" s="290"/>
      <c r="HU587" s="290"/>
      <c r="HV587" s="290"/>
      <c r="HW587" s="290"/>
      <c r="HX587" s="290"/>
      <c r="HY587" s="290"/>
      <c r="HZ587" s="290"/>
      <c r="IA587" s="290"/>
      <c r="IB587" s="290"/>
      <c r="IC587" s="290"/>
      <c r="ID587" s="290"/>
      <c r="IE587" s="290"/>
      <c r="IF587" s="290"/>
      <c r="IG587" s="290"/>
      <c r="IH587" s="290"/>
      <c r="II587" s="290"/>
      <c r="IJ587" s="290"/>
      <c r="IK587" s="290"/>
      <c r="IL587" s="290"/>
      <c r="IM587" s="290"/>
      <c r="IN587" s="290"/>
      <c r="IO587" s="290"/>
      <c r="IP587" s="290"/>
      <c r="IQ587" s="290"/>
    </row>
    <row r="588" spans="1:251" x14ac:dyDescent="0.3">
      <c r="A588" s="269"/>
      <c r="B588" s="272"/>
      <c r="C588" s="275"/>
      <c r="D588" s="266"/>
      <c r="E588" s="266"/>
      <c r="F588" s="109" t="s">
        <v>234</v>
      </c>
      <c r="G588" s="287"/>
      <c r="H588" s="289"/>
      <c r="I588" s="290"/>
      <c r="J588" s="290"/>
      <c r="K588" s="290"/>
      <c r="L588" s="290"/>
      <c r="M588" s="290"/>
      <c r="N588" s="290"/>
      <c r="O588" s="290"/>
      <c r="P588" s="290"/>
      <c r="Q588" s="290"/>
      <c r="R588" s="290"/>
      <c r="S588" s="290"/>
      <c r="T588" s="290"/>
      <c r="U588" s="290"/>
      <c r="V588" s="290"/>
      <c r="W588" s="290"/>
      <c r="X588" s="290"/>
      <c r="Y588" s="290"/>
      <c r="Z588" s="290"/>
      <c r="AA588" s="290"/>
      <c r="AB588" s="290"/>
      <c r="AC588" s="290"/>
      <c r="AD588" s="290"/>
      <c r="AE588" s="290"/>
      <c r="AF588" s="290"/>
      <c r="AG588" s="290"/>
      <c r="AH588" s="290"/>
      <c r="AI588" s="290"/>
      <c r="AJ588" s="290"/>
      <c r="AK588" s="290"/>
      <c r="AL588" s="290"/>
      <c r="AM588" s="290"/>
      <c r="AN588" s="290"/>
      <c r="AO588" s="290"/>
      <c r="AP588" s="290"/>
      <c r="AQ588" s="290"/>
      <c r="AR588" s="290"/>
      <c r="AS588" s="290"/>
      <c r="AT588" s="290"/>
      <c r="AU588" s="290"/>
      <c r="AV588" s="290"/>
      <c r="AW588" s="290"/>
      <c r="AX588" s="290"/>
      <c r="AY588" s="290"/>
      <c r="AZ588" s="290"/>
      <c r="BA588" s="290"/>
      <c r="BB588" s="290"/>
      <c r="BC588" s="290"/>
      <c r="BD588" s="290"/>
      <c r="BE588" s="290"/>
      <c r="BF588" s="290"/>
      <c r="BG588" s="290"/>
      <c r="BH588" s="290"/>
      <c r="BI588" s="290"/>
      <c r="BJ588" s="290"/>
      <c r="BK588" s="290"/>
      <c r="BL588" s="290"/>
      <c r="BM588" s="290"/>
      <c r="BN588" s="290"/>
      <c r="BO588" s="290"/>
      <c r="BP588" s="290"/>
      <c r="BQ588" s="290"/>
      <c r="BR588" s="290"/>
      <c r="BS588" s="290"/>
      <c r="BT588" s="290"/>
      <c r="BU588" s="290"/>
      <c r="BV588" s="290"/>
      <c r="BW588" s="290"/>
      <c r="BX588" s="290"/>
      <c r="BY588" s="290"/>
      <c r="BZ588" s="290"/>
      <c r="CA588" s="290"/>
      <c r="CB588" s="290"/>
      <c r="CC588" s="290"/>
      <c r="CD588" s="290"/>
      <c r="CE588" s="290"/>
      <c r="CF588" s="290"/>
      <c r="CG588" s="290"/>
      <c r="CH588" s="290"/>
      <c r="CI588" s="290"/>
      <c r="CJ588" s="290"/>
      <c r="CK588" s="290"/>
      <c r="CL588" s="290"/>
      <c r="CM588" s="290"/>
      <c r="CN588" s="290"/>
      <c r="CO588" s="290"/>
      <c r="CP588" s="290"/>
      <c r="CQ588" s="290"/>
      <c r="CR588" s="290"/>
      <c r="CS588" s="290"/>
      <c r="CT588" s="290"/>
      <c r="CU588" s="290"/>
      <c r="CV588" s="290"/>
      <c r="CW588" s="290"/>
      <c r="CX588" s="290"/>
      <c r="CY588" s="290"/>
      <c r="CZ588" s="290"/>
      <c r="DA588" s="290"/>
      <c r="DB588" s="290"/>
      <c r="DC588" s="290"/>
      <c r="DD588" s="290"/>
      <c r="DE588" s="290"/>
      <c r="DF588" s="290"/>
      <c r="DG588" s="290"/>
      <c r="DH588" s="290"/>
      <c r="DI588" s="290"/>
      <c r="DJ588" s="290"/>
      <c r="DK588" s="290"/>
      <c r="DL588" s="290"/>
      <c r="DM588" s="290"/>
      <c r="DN588" s="290"/>
      <c r="DO588" s="290"/>
      <c r="DP588" s="290"/>
      <c r="DQ588" s="290"/>
      <c r="DR588" s="290"/>
      <c r="DS588" s="290"/>
      <c r="DT588" s="290"/>
      <c r="DU588" s="290"/>
      <c r="DV588" s="290"/>
      <c r="DW588" s="290"/>
      <c r="DX588" s="290"/>
      <c r="DY588" s="290"/>
      <c r="DZ588" s="290"/>
      <c r="EA588" s="290"/>
      <c r="EB588" s="290"/>
      <c r="EC588" s="290"/>
      <c r="ED588" s="290"/>
      <c r="EE588" s="290"/>
      <c r="EF588" s="290"/>
      <c r="EG588" s="290"/>
      <c r="EH588" s="290"/>
      <c r="EI588" s="290"/>
      <c r="EJ588" s="290"/>
      <c r="EK588" s="290"/>
      <c r="EL588" s="290"/>
      <c r="EM588" s="290"/>
      <c r="EN588" s="290"/>
      <c r="EO588" s="290"/>
      <c r="EP588" s="290"/>
      <c r="EQ588" s="290"/>
      <c r="ER588" s="290"/>
      <c r="ES588" s="290"/>
      <c r="ET588" s="290"/>
      <c r="EU588" s="290"/>
      <c r="EV588" s="290"/>
      <c r="EW588" s="290"/>
      <c r="EX588" s="290"/>
      <c r="EY588" s="290"/>
      <c r="EZ588" s="290"/>
      <c r="FA588" s="290"/>
      <c r="FB588" s="290"/>
      <c r="FC588" s="290"/>
      <c r="FD588" s="290"/>
      <c r="FE588" s="290"/>
      <c r="FF588" s="290"/>
      <c r="FG588" s="290"/>
      <c r="FH588" s="290"/>
      <c r="FI588" s="290"/>
      <c r="FJ588" s="290"/>
      <c r="FK588" s="290"/>
      <c r="FL588" s="290"/>
      <c r="FM588" s="290"/>
      <c r="FN588" s="290"/>
      <c r="FO588" s="290"/>
      <c r="FP588" s="290"/>
      <c r="FQ588" s="290"/>
      <c r="FR588" s="290"/>
      <c r="FS588" s="290"/>
      <c r="FT588" s="290"/>
      <c r="FU588" s="290"/>
      <c r="FV588" s="290"/>
      <c r="FW588" s="290"/>
      <c r="FX588" s="290"/>
      <c r="FY588" s="290"/>
      <c r="FZ588" s="290"/>
      <c r="GA588" s="290"/>
      <c r="GB588" s="290"/>
      <c r="GC588" s="290"/>
      <c r="GD588" s="290"/>
      <c r="GE588" s="290"/>
      <c r="GF588" s="290"/>
      <c r="GG588" s="290"/>
      <c r="GH588" s="290"/>
      <c r="GI588" s="290"/>
      <c r="GJ588" s="290"/>
      <c r="GK588" s="290"/>
      <c r="GL588" s="290"/>
      <c r="GM588" s="290"/>
      <c r="GN588" s="290"/>
      <c r="GO588" s="290"/>
      <c r="GP588" s="290"/>
      <c r="GQ588" s="290"/>
      <c r="GR588" s="290"/>
      <c r="GS588" s="290"/>
      <c r="GT588" s="290"/>
      <c r="GU588" s="290"/>
      <c r="GV588" s="290"/>
      <c r="GW588" s="290"/>
      <c r="GX588" s="290"/>
      <c r="GY588" s="290"/>
      <c r="GZ588" s="290"/>
      <c r="HA588" s="290"/>
      <c r="HB588" s="290"/>
      <c r="HC588" s="290"/>
      <c r="HD588" s="290"/>
      <c r="HE588" s="290"/>
      <c r="HF588" s="290"/>
      <c r="HG588" s="290"/>
      <c r="HH588" s="290"/>
      <c r="HI588" s="290"/>
      <c r="HJ588" s="290"/>
      <c r="HK588" s="290"/>
      <c r="HL588" s="290"/>
      <c r="HM588" s="290"/>
      <c r="HN588" s="290"/>
      <c r="HO588" s="290"/>
      <c r="HP588" s="290"/>
      <c r="HQ588" s="290"/>
      <c r="HR588" s="290"/>
      <c r="HS588" s="290"/>
      <c r="HT588" s="290"/>
      <c r="HU588" s="290"/>
      <c r="HV588" s="290"/>
      <c r="HW588" s="290"/>
      <c r="HX588" s="290"/>
      <c r="HY588" s="290"/>
      <c r="HZ588" s="290"/>
      <c r="IA588" s="290"/>
      <c r="IB588" s="290"/>
      <c r="IC588" s="290"/>
      <c r="ID588" s="290"/>
      <c r="IE588" s="290"/>
      <c r="IF588" s="290"/>
      <c r="IG588" s="290"/>
      <c r="IH588" s="290"/>
      <c r="II588" s="290"/>
      <c r="IJ588" s="290"/>
      <c r="IK588" s="290"/>
      <c r="IL588" s="290"/>
      <c r="IM588" s="290"/>
      <c r="IN588" s="290"/>
      <c r="IO588" s="290"/>
      <c r="IP588" s="290"/>
      <c r="IQ588" s="290"/>
    </row>
    <row r="589" spans="1:251" x14ac:dyDescent="0.3">
      <c r="A589" s="270"/>
      <c r="B589" s="273"/>
      <c r="C589" s="276"/>
      <c r="D589" s="267"/>
      <c r="E589" s="267"/>
      <c r="F589" s="110" t="s">
        <v>235</v>
      </c>
      <c r="G589" s="288"/>
      <c r="H589" s="289"/>
      <c r="I589" s="290"/>
      <c r="J589" s="290"/>
      <c r="K589" s="290"/>
      <c r="L589" s="290"/>
      <c r="M589" s="290"/>
      <c r="N589" s="290"/>
      <c r="O589" s="290"/>
      <c r="P589" s="290"/>
      <c r="Q589" s="290"/>
      <c r="R589" s="290"/>
      <c r="S589" s="290"/>
      <c r="T589" s="290"/>
      <c r="U589" s="290"/>
      <c r="V589" s="290"/>
      <c r="W589" s="290"/>
      <c r="X589" s="290"/>
      <c r="Y589" s="290"/>
      <c r="Z589" s="290"/>
      <c r="AA589" s="290"/>
      <c r="AB589" s="290"/>
      <c r="AC589" s="290"/>
      <c r="AD589" s="290"/>
      <c r="AE589" s="290"/>
      <c r="AF589" s="290"/>
      <c r="AG589" s="290"/>
      <c r="AH589" s="290"/>
      <c r="AI589" s="290"/>
      <c r="AJ589" s="290"/>
      <c r="AK589" s="290"/>
      <c r="AL589" s="290"/>
      <c r="AM589" s="290"/>
      <c r="AN589" s="290"/>
      <c r="AO589" s="290"/>
      <c r="AP589" s="290"/>
      <c r="AQ589" s="290"/>
      <c r="AR589" s="290"/>
      <c r="AS589" s="290"/>
      <c r="AT589" s="290"/>
      <c r="AU589" s="290"/>
      <c r="AV589" s="290"/>
      <c r="AW589" s="290"/>
      <c r="AX589" s="290"/>
      <c r="AY589" s="290"/>
      <c r="AZ589" s="290"/>
      <c r="BA589" s="290"/>
      <c r="BB589" s="290"/>
      <c r="BC589" s="290"/>
      <c r="BD589" s="290"/>
      <c r="BE589" s="290"/>
      <c r="BF589" s="290"/>
      <c r="BG589" s="290"/>
      <c r="BH589" s="290"/>
      <c r="BI589" s="290"/>
      <c r="BJ589" s="290"/>
      <c r="BK589" s="290"/>
      <c r="BL589" s="290"/>
      <c r="BM589" s="290"/>
      <c r="BN589" s="290"/>
      <c r="BO589" s="290"/>
      <c r="BP589" s="290"/>
      <c r="BQ589" s="290"/>
      <c r="BR589" s="290"/>
      <c r="BS589" s="290"/>
      <c r="BT589" s="290"/>
      <c r="BU589" s="290"/>
      <c r="BV589" s="290"/>
      <c r="BW589" s="290"/>
      <c r="BX589" s="290"/>
      <c r="BY589" s="290"/>
      <c r="BZ589" s="290"/>
      <c r="CA589" s="290"/>
      <c r="CB589" s="290"/>
      <c r="CC589" s="290"/>
      <c r="CD589" s="290"/>
      <c r="CE589" s="290"/>
      <c r="CF589" s="290"/>
      <c r="CG589" s="290"/>
      <c r="CH589" s="290"/>
      <c r="CI589" s="290"/>
      <c r="CJ589" s="290"/>
      <c r="CK589" s="290"/>
      <c r="CL589" s="290"/>
      <c r="CM589" s="290"/>
      <c r="CN589" s="290"/>
      <c r="CO589" s="290"/>
      <c r="CP589" s="290"/>
      <c r="CQ589" s="290"/>
      <c r="CR589" s="290"/>
      <c r="CS589" s="290"/>
      <c r="CT589" s="290"/>
      <c r="CU589" s="290"/>
      <c r="CV589" s="290"/>
      <c r="CW589" s="290"/>
      <c r="CX589" s="290"/>
      <c r="CY589" s="290"/>
      <c r="CZ589" s="290"/>
      <c r="DA589" s="290"/>
      <c r="DB589" s="290"/>
      <c r="DC589" s="290"/>
      <c r="DD589" s="290"/>
      <c r="DE589" s="290"/>
      <c r="DF589" s="290"/>
      <c r="DG589" s="290"/>
      <c r="DH589" s="290"/>
      <c r="DI589" s="290"/>
      <c r="DJ589" s="290"/>
      <c r="DK589" s="290"/>
      <c r="DL589" s="290"/>
      <c r="DM589" s="290"/>
      <c r="DN589" s="290"/>
      <c r="DO589" s="290"/>
      <c r="DP589" s="290"/>
      <c r="DQ589" s="290"/>
      <c r="DR589" s="290"/>
      <c r="DS589" s="290"/>
      <c r="DT589" s="290"/>
      <c r="DU589" s="290"/>
      <c r="DV589" s="290"/>
      <c r="DW589" s="290"/>
      <c r="DX589" s="290"/>
      <c r="DY589" s="290"/>
      <c r="DZ589" s="290"/>
      <c r="EA589" s="290"/>
      <c r="EB589" s="290"/>
      <c r="EC589" s="290"/>
      <c r="ED589" s="290"/>
      <c r="EE589" s="290"/>
      <c r="EF589" s="290"/>
      <c r="EG589" s="290"/>
      <c r="EH589" s="290"/>
      <c r="EI589" s="290"/>
      <c r="EJ589" s="290"/>
      <c r="EK589" s="290"/>
      <c r="EL589" s="290"/>
      <c r="EM589" s="290"/>
      <c r="EN589" s="290"/>
      <c r="EO589" s="290"/>
      <c r="EP589" s="290"/>
      <c r="EQ589" s="290"/>
      <c r="ER589" s="290"/>
      <c r="ES589" s="290"/>
      <c r="ET589" s="290"/>
      <c r="EU589" s="290"/>
      <c r="EV589" s="290"/>
      <c r="EW589" s="290"/>
      <c r="EX589" s="290"/>
      <c r="EY589" s="290"/>
      <c r="EZ589" s="290"/>
      <c r="FA589" s="290"/>
      <c r="FB589" s="290"/>
      <c r="FC589" s="290"/>
      <c r="FD589" s="290"/>
      <c r="FE589" s="290"/>
      <c r="FF589" s="290"/>
      <c r="FG589" s="290"/>
      <c r="FH589" s="290"/>
      <c r="FI589" s="290"/>
      <c r="FJ589" s="290"/>
      <c r="FK589" s="290"/>
      <c r="FL589" s="290"/>
      <c r="FM589" s="290"/>
      <c r="FN589" s="290"/>
      <c r="FO589" s="290"/>
      <c r="FP589" s="290"/>
      <c r="FQ589" s="290"/>
      <c r="FR589" s="290"/>
      <c r="FS589" s="290"/>
      <c r="FT589" s="290"/>
      <c r="FU589" s="290"/>
      <c r="FV589" s="290"/>
      <c r="FW589" s="290"/>
      <c r="FX589" s="290"/>
      <c r="FY589" s="290"/>
      <c r="FZ589" s="290"/>
      <c r="GA589" s="290"/>
      <c r="GB589" s="290"/>
      <c r="GC589" s="290"/>
      <c r="GD589" s="290"/>
      <c r="GE589" s="290"/>
      <c r="GF589" s="290"/>
      <c r="GG589" s="290"/>
      <c r="GH589" s="290"/>
      <c r="GI589" s="290"/>
      <c r="GJ589" s="290"/>
      <c r="GK589" s="290"/>
      <c r="GL589" s="290"/>
      <c r="GM589" s="290"/>
      <c r="GN589" s="290"/>
      <c r="GO589" s="290"/>
      <c r="GP589" s="290"/>
      <c r="GQ589" s="290"/>
      <c r="GR589" s="290"/>
      <c r="GS589" s="290"/>
      <c r="GT589" s="290"/>
      <c r="GU589" s="290"/>
      <c r="GV589" s="290"/>
      <c r="GW589" s="290"/>
      <c r="GX589" s="290"/>
      <c r="GY589" s="290"/>
      <c r="GZ589" s="290"/>
      <c r="HA589" s="290"/>
      <c r="HB589" s="290"/>
      <c r="HC589" s="290"/>
      <c r="HD589" s="290"/>
      <c r="HE589" s="290"/>
      <c r="HF589" s="290"/>
      <c r="HG589" s="290"/>
      <c r="HH589" s="290"/>
      <c r="HI589" s="290"/>
      <c r="HJ589" s="290"/>
      <c r="HK589" s="290"/>
      <c r="HL589" s="290"/>
      <c r="HM589" s="290"/>
      <c r="HN589" s="290"/>
      <c r="HO589" s="290"/>
      <c r="HP589" s="290"/>
      <c r="HQ589" s="290"/>
      <c r="HR589" s="290"/>
      <c r="HS589" s="290"/>
      <c r="HT589" s="290"/>
      <c r="HU589" s="290"/>
      <c r="HV589" s="290"/>
      <c r="HW589" s="290"/>
      <c r="HX589" s="290"/>
      <c r="HY589" s="290"/>
      <c r="HZ589" s="290"/>
      <c r="IA589" s="290"/>
      <c r="IB589" s="290"/>
      <c r="IC589" s="290"/>
      <c r="ID589" s="290"/>
      <c r="IE589" s="290"/>
      <c r="IF589" s="290"/>
      <c r="IG589" s="290"/>
      <c r="IH589" s="290"/>
      <c r="II589" s="290"/>
      <c r="IJ589" s="290"/>
      <c r="IK589" s="290"/>
      <c r="IL589" s="290"/>
      <c r="IM589" s="290"/>
      <c r="IN589" s="290"/>
      <c r="IO589" s="290"/>
      <c r="IP589" s="290"/>
      <c r="IQ589" s="290"/>
    </row>
    <row r="590" spans="1:251" x14ac:dyDescent="0.3">
      <c r="A590" s="268" t="s">
        <v>307</v>
      </c>
      <c r="B590" s="271" t="s">
        <v>48</v>
      </c>
      <c r="C590" s="274" t="s">
        <v>49</v>
      </c>
      <c r="D590" s="265" t="s">
        <v>37</v>
      </c>
      <c r="E590" s="265" t="s">
        <v>38</v>
      </c>
      <c r="F590" s="111" t="s">
        <v>236</v>
      </c>
      <c r="G590" s="286"/>
      <c r="H590" s="289"/>
      <c r="I590" s="290"/>
      <c r="J590" s="290"/>
      <c r="K590" s="290"/>
      <c r="L590" s="290"/>
      <c r="M590" s="290"/>
      <c r="N590" s="290"/>
      <c r="O590" s="290"/>
      <c r="P590" s="290"/>
      <c r="Q590" s="290"/>
      <c r="R590" s="290"/>
      <c r="S590" s="290"/>
      <c r="T590" s="290"/>
      <c r="U590" s="290"/>
      <c r="V590" s="290"/>
      <c r="W590" s="290"/>
      <c r="X590" s="290"/>
      <c r="Y590" s="290"/>
      <c r="Z590" s="290"/>
      <c r="AA590" s="290"/>
      <c r="AB590" s="290"/>
      <c r="AC590" s="290"/>
      <c r="AD590" s="290"/>
      <c r="AE590" s="290"/>
      <c r="AF590" s="290"/>
      <c r="AG590" s="290"/>
      <c r="AH590" s="290"/>
      <c r="AI590" s="290"/>
      <c r="AJ590" s="290"/>
      <c r="AK590" s="290"/>
      <c r="AL590" s="290"/>
      <c r="AM590" s="290"/>
      <c r="AN590" s="290"/>
      <c r="AO590" s="290"/>
      <c r="AP590" s="290"/>
      <c r="AQ590" s="290"/>
      <c r="AR590" s="290"/>
      <c r="AS590" s="290"/>
      <c r="AT590" s="290"/>
      <c r="AU590" s="290"/>
      <c r="AV590" s="290"/>
      <c r="AW590" s="290"/>
      <c r="AX590" s="290"/>
      <c r="AY590" s="290"/>
      <c r="AZ590" s="290"/>
      <c r="BA590" s="290"/>
      <c r="BB590" s="290"/>
      <c r="BC590" s="290"/>
      <c r="BD590" s="290"/>
      <c r="BE590" s="290"/>
      <c r="BF590" s="290"/>
      <c r="BG590" s="290"/>
      <c r="BH590" s="290"/>
      <c r="BI590" s="290"/>
      <c r="BJ590" s="290"/>
      <c r="BK590" s="290"/>
      <c r="BL590" s="290"/>
      <c r="BM590" s="290"/>
      <c r="BN590" s="290"/>
      <c r="BO590" s="290"/>
      <c r="BP590" s="290"/>
      <c r="BQ590" s="290"/>
      <c r="BR590" s="290"/>
      <c r="BS590" s="290"/>
      <c r="BT590" s="290"/>
      <c r="BU590" s="290"/>
      <c r="BV590" s="290"/>
      <c r="BW590" s="290"/>
      <c r="BX590" s="290"/>
      <c r="BY590" s="290"/>
      <c r="BZ590" s="290"/>
      <c r="CA590" s="290"/>
      <c r="CB590" s="290"/>
      <c r="CC590" s="290"/>
      <c r="CD590" s="290"/>
      <c r="CE590" s="290"/>
      <c r="CF590" s="290"/>
      <c r="CG590" s="290"/>
      <c r="CH590" s="290"/>
      <c r="CI590" s="290"/>
      <c r="CJ590" s="290"/>
      <c r="CK590" s="290"/>
      <c r="CL590" s="290"/>
      <c r="CM590" s="290"/>
      <c r="CN590" s="290"/>
      <c r="CO590" s="290"/>
      <c r="CP590" s="290"/>
      <c r="CQ590" s="290"/>
      <c r="CR590" s="290"/>
      <c r="CS590" s="290"/>
      <c r="CT590" s="290"/>
      <c r="CU590" s="290"/>
      <c r="CV590" s="290"/>
      <c r="CW590" s="290"/>
      <c r="CX590" s="290"/>
      <c r="CY590" s="290"/>
      <c r="CZ590" s="290"/>
      <c r="DA590" s="290"/>
      <c r="DB590" s="290"/>
      <c r="DC590" s="290"/>
      <c r="DD590" s="290"/>
      <c r="DE590" s="290"/>
      <c r="DF590" s="290"/>
      <c r="DG590" s="290"/>
      <c r="DH590" s="290"/>
      <c r="DI590" s="290"/>
      <c r="DJ590" s="290"/>
      <c r="DK590" s="290"/>
      <c r="DL590" s="290"/>
      <c r="DM590" s="290"/>
      <c r="DN590" s="290"/>
      <c r="DO590" s="290"/>
      <c r="DP590" s="290"/>
      <c r="DQ590" s="290"/>
      <c r="DR590" s="290"/>
      <c r="DS590" s="290"/>
      <c r="DT590" s="290"/>
      <c r="DU590" s="290"/>
      <c r="DV590" s="290"/>
      <c r="DW590" s="290"/>
      <c r="DX590" s="290"/>
      <c r="DY590" s="290"/>
      <c r="DZ590" s="290"/>
      <c r="EA590" s="290"/>
      <c r="EB590" s="290"/>
      <c r="EC590" s="290"/>
      <c r="ED590" s="290"/>
      <c r="EE590" s="290"/>
      <c r="EF590" s="290"/>
      <c r="EG590" s="290"/>
      <c r="EH590" s="290"/>
      <c r="EI590" s="290"/>
      <c r="EJ590" s="290"/>
      <c r="EK590" s="290"/>
      <c r="EL590" s="290"/>
      <c r="EM590" s="290"/>
      <c r="EN590" s="290"/>
      <c r="EO590" s="290"/>
      <c r="EP590" s="290"/>
      <c r="EQ590" s="290"/>
      <c r="ER590" s="290"/>
      <c r="ES590" s="290"/>
      <c r="ET590" s="290"/>
      <c r="EU590" s="290"/>
      <c r="EV590" s="290"/>
      <c r="EW590" s="290"/>
      <c r="EX590" s="290"/>
      <c r="EY590" s="290"/>
      <c r="EZ590" s="290"/>
      <c r="FA590" s="290"/>
      <c r="FB590" s="290"/>
      <c r="FC590" s="290"/>
      <c r="FD590" s="290"/>
      <c r="FE590" s="290"/>
      <c r="FF590" s="290"/>
      <c r="FG590" s="290"/>
      <c r="FH590" s="290"/>
      <c r="FI590" s="290"/>
      <c r="FJ590" s="290"/>
      <c r="FK590" s="290"/>
      <c r="FL590" s="290"/>
      <c r="FM590" s="290"/>
      <c r="FN590" s="290"/>
      <c r="FO590" s="290"/>
      <c r="FP590" s="290"/>
      <c r="FQ590" s="290"/>
      <c r="FR590" s="290"/>
      <c r="FS590" s="290"/>
      <c r="FT590" s="290"/>
      <c r="FU590" s="290"/>
      <c r="FV590" s="290"/>
      <c r="FW590" s="290"/>
      <c r="FX590" s="290"/>
      <c r="FY590" s="290"/>
      <c r="FZ590" s="290"/>
      <c r="GA590" s="290"/>
      <c r="GB590" s="290"/>
      <c r="GC590" s="290"/>
      <c r="GD590" s="290"/>
      <c r="GE590" s="290"/>
      <c r="GF590" s="290"/>
      <c r="GG590" s="290"/>
      <c r="GH590" s="290"/>
      <c r="GI590" s="290"/>
      <c r="GJ590" s="290"/>
      <c r="GK590" s="290"/>
      <c r="GL590" s="290"/>
      <c r="GM590" s="290"/>
      <c r="GN590" s="290"/>
      <c r="GO590" s="290"/>
      <c r="GP590" s="290"/>
      <c r="GQ590" s="290"/>
      <c r="GR590" s="290"/>
      <c r="GS590" s="290"/>
      <c r="GT590" s="290"/>
      <c r="GU590" s="290"/>
      <c r="GV590" s="290"/>
      <c r="GW590" s="290"/>
      <c r="GX590" s="290"/>
      <c r="GY590" s="290"/>
      <c r="GZ590" s="290"/>
      <c r="HA590" s="290"/>
      <c r="HB590" s="290"/>
      <c r="HC590" s="290"/>
      <c r="HD590" s="290"/>
      <c r="HE590" s="290"/>
      <c r="HF590" s="290"/>
      <c r="HG590" s="290"/>
      <c r="HH590" s="290"/>
      <c r="HI590" s="290"/>
      <c r="HJ590" s="290"/>
      <c r="HK590" s="290"/>
      <c r="HL590" s="290"/>
      <c r="HM590" s="290"/>
      <c r="HN590" s="290"/>
      <c r="HO590" s="290"/>
      <c r="HP590" s="290"/>
      <c r="HQ590" s="290"/>
      <c r="HR590" s="290"/>
      <c r="HS590" s="290"/>
      <c r="HT590" s="290"/>
      <c r="HU590" s="290"/>
      <c r="HV590" s="290"/>
      <c r="HW590" s="290"/>
      <c r="HX590" s="290"/>
      <c r="HY590" s="290"/>
      <c r="HZ590" s="290"/>
      <c r="IA590" s="290"/>
      <c r="IB590" s="290"/>
      <c r="IC590" s="290"/>
      <c r="ID590" s="290"/>
      <c r="IE590" s="290"/>
      <c r="IF590" s="290"/>
      <c r="IG590" s="290"/>
      <c r="IH590" s="290"/>
      <c r="II590" s="290"/>
      <c r="IJ590" s="290"/>
      <c r="IK590" s="290"/>
      <c r="IL590" s="290"/>
      <c r="IM590" s="290"/>
      <c r="IN590" s="290"/>
      <c r="IO590" s="290"/>
      <c r="IP590" s="290"/>
      <c r="IQ590" s="290"/>
    </row>
    <row r="591" spans="1:251" x14ac:dyDescent="0.3">
      <c r="A591" s="269"/>
      <c r="B591" s="272"/>
      <c r="C591" s="275"/>
      <c r="D591" s="266"/>
      <c r="E591" s="266"/>
      <c r="F591" s="112" t="s">
        <v>237</v>
      </c>
      <c r="G591" s="287"/>
      <c r="H591" s="289"/>
      <c r="I591" s="290"/>
      <c r="J591" s="290"/>
      <c r="K591" s="290"/>
      <c r="L591" s="290"/>
      <c r="M591" s="290"/>
      <c r="N591" s="290"/>
      <c r="O591" s="290"/>
      <c r="P591" s="290"/>
      <c r="Q591" s="290"/>
      <c r="R591" s="290"/>
      <c r="S591" s="290"/>
      <c r="T591" s="290"/>
      <c r="U591" s="290"/>
      <c r="V591" s="290"/>
      <c r="W591" s="290"/>
      <c r="X591" s="290"/>
      <c r="Y591" s="290"/>
      <c r="Z591" s="290"/>
      <c r="AA591" s="290"/>
      <c r="AB591" s="290"/>
      <c r="AC591" s="290"/>
      <c r="AD591" s="290"/>
      <c r="AE591" s="290"/>
      <c r="AF591" s="290"/>
      <c r="AG591" s="290"/>
      <c r="AH591" s="290"/>
      <c r="AI591" s="290"/>
      <c r="AJ591" s="290"/>
      <c r="AK591" s="290"/>
      <c r="AL591" s="290"/>
      <c r="AM591" s="290"/>
      <c r="AN591" s="290"/>
      <c r="AO591" s="290"/>
      <c r="AP591" s="290"/>
      <c r="AQ591" s="290"/>
      <c r="AR591" s="290"/>
      <c r="AS591" s="290"/>
      <c r="AT591" s="290"/>
      <c r="AU591" s="290"/>
      <c r="AV591" s="290"/>
      <c r="AW591" s="290"/>
      <c r="AX591" s="290"/>
      <c r="AY591" s="290"/>
      <c r="AZ591" s="290"/>
      <c r="BA591" s="290"/>
      <c r="BB591" s="290"/>
      <c r="BC591" s="290"/>
      <c r="BD591" s="290"/>
      <c r="BE591" s="290"/>
      <c r="BF591" s="290"/>
      <c r="BG591" s="290"/>
      <c r="BH591" s="290"/>
      <c r="BI591" s="290"/>
      <c r="BJ591" s="290"/>
      <c r="BK591" s="290"/>
      <c r="BL591" s="290"/>
      <c r="BM591" s="290"/>
      <c r="BN591" s="290"/>
      <c r="BO591" s="290"/>
      <c r="BP591" s="290"/>
      <c r="BQ591" s="290"/>
      <c r="BR591" s="290"/>
      <c r="BS591" s="290"/>
      <c r="BT591" s="290"/>
      <c r="BU591" s="290"/>
      <c r="BV591" s="290"/>
      <c r="BW591" s="290"/>
      <c r="BX591" s="290"/>
      <c r="BY591" s="290"/>
      <c r="BZ591" s="290"/>
      <c r="CA591" s="290"/>
      <c r="CB591" s="290"/>
      <c r="CC591" s="290"/>
      <c r="CD591" s="290"/>
      <c r="CE591" s="290"/>
      <c r="CF591" s="290"/>
      <c r="CG591" s="290"/>
      <c r="CH591" s="290"/>
      <c r="CI591" s="290"/>
      <c r="CJ591" s="290"/>
      <c r="CK591" s="290"/>
      <c r="CL591" s="290"/>
      <c r="CM591" s="290"/>
      <c r="CN591" s="290"/>
      <c r="CO591" s="290"/>
      <c r="CP591" s="290"/>
      <c r="CQ591" s="290"/>
      <c r="CR591" s="290"/>
      <c r="CS591" s="290"/>
      <c r="CT591" s="290"/>
      <c r="CU591" s="290"/>
      <c r="CV591" s="290"/>
      <c r="CW591" s="290"/>
      <c r="CX591" s="290"/>
      <c r="CY591" s="290"/>
      <c r="CZ591" s="290"/>
      <c r="DA591" s="290"/>
      <c r="DB591" s="290"/>
      <c r="DC591" s="290"/>
      <c r="DD591" s="290"/>
      <c r="DE591" s="290"/>
      <c r="DF591" s="290"/>
      <c r="DG591" s="290"/>
      <c r="DH591" s="290"/>
      <c r="DI591" s="290"/>
      <c r="DJ591" s="290"/>
      <c r="DK591" s="290"/>
      <c r="DL591" s="290"/>
      <c r="DM591" s="290"/>
      <c r="DN591" s="290"/>
      <c r="DO591" s="290"/>
      <c r="DP591" s="290"/>
      <c r="DQ591" s="290"/>
      <c r="DR591" s="290"/>
      <c r="DS591" s="290"/>
      <c r="DT591" s="290"/>
      <c r="DU591" s="290"/>
      <c r="DV591" s="290"/>
      <c r="DW591" s="290"/>
      <c r="DX591" s="290"/>
      <c r="DY591" s="290"/>
      <c r="DZ591" s="290"/>
      <c r="EA591" s="290"/>
      <c r="EB591" s="290"/>
      <c r="EC591" s="290"/>
      <c r="ED591" s="290"/>
      <c r="EE591" s="290"/>
      <c r="EF591" s="290"/>
      <c r="EG591" s="290"/>
      <c r="EH591" s="290"/>
      <c r="EI591" s="290"/>
      <c r="EJ591" s="290"/>
      <c r="EK591" s="290"/>
      <c r="EL591" s="290"/>
      <c r="EM591" s="290"/>
      <c r="EN591" s="290"/>
      <c r="EO591" s="290"/>
      <c r="EP591" s="290"/>
      <c r="EQ591" s="290"/>
      <c r="ER591" s="290"/>
      <c r="ES591" s="290"/>
      <c r="ET591" s="290"/>
      <c r="EU591" s="290"/>
      <c r="EV591" s="290"/>
      <c r="EW591" s="290"/>
      <c r="EX591" s="290"/>
      <c r="EY591" s="290"/>
      <c r="EZ591" s="290"/>
      <c r="FA591" s="290"/>
      <c r="FB591" s="290"/>
      <c r="FC591" s="290"/>
      <c r="FD591" s="290"/>
      <c r="FE591" s="290"/>
      <c r="FF591" s="290"/>
      <c r="FG591" s="290"/>
      <c r="FH591" s="290"/>
      <c r="FI591" s="290"/>
      <c r="FJ591" s="290"/>
      <c r="FK591" s="290"/>
      <c r="FL591" s="290"/>
      <c r="FM591" s="290"/>
      <c r="FN591" s="290"/>
      <c r="FO591" s="290"/>
      <c r="FP591" s="290"/>
      <c r="FQ591" s="290"/>
      <c r="FR591" s="290"/>
      <c r="FS591" s="290"/>
      <c r="FT591" s="290"/>
      <c r="FU591" s="290"/>
      <c r="FV591" s="290"/>
      <c r="FW591" s="290"/>
      <c r="FX591" s="290"/>
      <c r="FY591" s="290"/>
      <c r="FZ591" s="290"/>
      <c r="GA591" s="290"/>
      <c r="GB591" s="290"/>
      <c r="GC591" s="290"/>
      <c r="GD591" s="290"/>
      <c r="GE591" s="290"/>
      <c r="GF591" s="290"/>
      <c r="GG591" s="290"/>
      <c r="GH591" s="290"/>
      <c r="GI591" s="290"/>
      <c r="GJ591" s="290"/>
      <c r="GK591" s="290"/>
      <c r="GL591" s="290"/>
      <c r="GM591" s="290"/>
      <c r="GN591" s="290"/>
      <c r="GO591" s="290"/>
      <c r="GP591" s="290"/>
      <c r="GQ591" s="290"/>
      <c r="GR591" s="290"/>
      <c r="GS591" s="290"/>
      <c r="GT591" s="290"/>
      <c r="GU591" s="290"/>
      <c r="GV591" s="290"/>
      <c r="GW591" s="290"/>
      <c r="GX591" s="290"/>
      <c r="GY591" s="290"/>
      <c r="GZ591" s="290"/>
      <c r="HA591" s="290"/>
      <c r="HB591" s="290"/>
      <c r="HC591" s="290"/>
      <c r="HD591" s="290"/>
      <c r="HE591" s="290"/>
      <c r="HF591" s="290"/>
      <c r="HG591" s="290"/>
      <c r="HH591" s="290"/>
      <c r="HI591" s="290"/>
      <c r="HJ591" s="290"/>
      <c r="HK591" s="290"/>
      <c r="HL591" s="290"/>
      <c r="HM591" s="290"/>
      <c r="HN591" s="290"/>
      <c r="HO591" s="290"/>
      <c r="HP591" s="290"/>
      <c r="HQ591" s="290"/>
      <c r="HR591" s="290"/>
      <c r="HS591" s="290"/>
      <c r="HT591" s="290"/>
      <c r="HU591" s="290"/>
      <c r="HV591" s="290"/>
      <c r="HW591" s="290"/>
      <c r="HX591" s="290"/>
      <c r="HY591" s="290"/>
      <c r="HZ591" s="290"/>
      <c r="IA591" s="290"/>
      <c r="IB591" s="290"/>
      <c r="IC591" s="290"/>
      <c r="ID591" s="290"/>
      <c r="IE591" s="290"/>
      <c r="IF591" s="290"/>
      <c r="IG591" s="290"/>
      <c r="IH591" s="290"/>
      <c r="II591" s="290"/>
      <c r="IJ591" s="290"/>
      <c r="IK591" s="290"/>
      <c r="IL591" s="290"/>
      <c r="IM591" s="290"/>
      <c r="IN591" s="290"/>
      <c r="IO591" s="290"/>
      <c r="IP591" s="290"/>
      <c r="IQ591" s="290"/>
    </row>
    <row r="592" spans="1:251" x14ac:dyDescent="0.3">
      <c r="A592" s="270"/>
      <c r="B592" s="273"/>
      <c r="C592" s="276"/>
      <c r="D592" s="267"/>
      <c r="E592" s="267"/>
      <c r="F592" s="113" t="s">
        <v>238</v>
      </c>
      <c r="G592" s="288"/>
      <c r="H592" s="289"/>
      <c r="I592" s="290"/>
      <c r="J592" s="290"/>
      <c r="K592" s="290"/>
      <c r="L592" s="290"/>
      <c r="M592" s="290"/>
      <c r="N592" s="290"/>
      <c r="O592" s="290"/>
      <c r="P592" s="290"/>
      <c r="Q592" s="290"/>
      <c r="R592" s="290"/>
      <c r="S592" s="290"/>
      <c r="T592" s="290"/>
      <c r="U592" s="290"/>
      <c r="V592" s="290"/>
      <c r="W592" s="290"/>
      <c r="X592" s="290"/>
      <c r="Y592" s="290"/>
      <c r="Z592" s="290"/>
      <c r="AA592" s="290"/>
      <c r="AB592" s="290"/>
      <c r="AC592" s="290"/>
      <c r="AD592" s="290"/>
      <c r="AE592" s="290"/>
      <c r="AF592" s="290"/>
      <c r="AG592" s="290"/>
      <c r="AH592" s="290"/>
      <c r="AI592" s="290"/>
      <c r="AJ592" s="290"/>
      <c r="AK592" s="290"/>
      <c r="AL592" s="290"/>
      <c r="AM592" s="290"/>
      <c r="AN592" s="290"/>
      <c r="AO592" s="290"/>
      <c r="AP592" s="290"/>
      <c r="AQ592" s="290"/>
      <c r="AR592" s="290"/>
      <c r="AS592" s="290"/>
      <c r="AT592" s="290"/>
      <c r="AU592" s="290"/>
      <c r="AV592" s="290"/>
      <c r="AW592" s="290"/>
      <c r="AX592" s="290"/>
      <c r="AY592" s="290"/>
      <c r="AZ592" s="290"/>
      <c r="BA592" s="290"/>
      <c r="BB592" s="290"/>
      <c r="BC592" s="290"/>
      <c r="BD592" s="290"/>
      <c r="BE592" s="290"/>
      <c r="BF592" s="290"/>
      <c r="BG592" s="290"/>
      <c r="BH592" s="290"/>
      <c r="BI592" s="290"/>
      <c r="BJ592" s="290"/>
      <c r="BK592" s="290"/>
      <c r="BL592" s="290"/>
      <c r="BM592" s="290"/>
      <c r="BN592" s="290"/>
      <c r="BO592" s="290"/>
      <c r="BP592" s="290"/>
      <c r="BQ592" s="290"/>
      <c r="BR592" s="290"/>
      <c r="BS592" s="290"/>
      <c r="BT592" s="290"/>
      <c r="BU592" s="290"/>
      <c r="BV592" s="290"/>
      <c r="BW592" s="290"/>
      <c r="BX592" s="290"/>
      <c r="BY592" s="290"/>
      <c r="BZ592" s="290"/>
      <c r="CA592" s="290"/>
      <c r="CB592" s="290"/>
      <c r="CC592" s="290"/>
      <c r="CD592" s="290"/>
      <c r="CE592" s="290"/>
      <c r="CF592" s="290"/>
      <c r="CG592" s="290"/>
      <c r="CH592" s="290"/>
      <c r="CI592" s="290"/>
      <c r="CJ592" s="290"/>
      <c r="CK592" s="290"/>
      <c r="CL592" s="290"/>
      <c r="CM592" s="290"/>
      <c r="CN592" s="290"/>
      <c r="CO592" s="290"/>
      <c r="CP592" s="290"/>
      <c r="CQ592" s="290"/>
      <c r="CR592" s="290"/>
      <c r="CS592" s="290"/>
      <c r="CT592" s="290"/>
      <c r="CU592" s="290"/>
      <c r="CV592" s="290"/>
      <c r="CW592" s="290"/>
      <c r="CX592" s="290"/>
      <c r="CY592" s="290"/>
      <c r="CZ592" s="290"/>
      <c r="DA592" s="290"/>
      <c r="DB592" s="290"/>
      <c r="DC592" s="290"/>
      <c r="DD592" s="290"/>
      <c r="DE592" s="290"/>
      <c r="DF592" s="290"/>
      <c r="DG592" s="290"/>
      <c r="DH592" s="290"/>
      <c r="DI592" s="290"/>
      <c r="DJ592" s="290"/>
      <c r="DK592" s="290"/>
      <c r="DL592" s="290"/>
      <c r="DM592" s="290"/>
      <c r="DN592" s="290"/>
      <c r="DO592" s="290"/>
      <c r="DP592" s="290"/>
      <c r="DQ592" s="290"/>
      <c r="DR592" s="290"/>
      <c r="DS592" s="290"/>
      <c r="DT592" s="290"/>
      <c r="DU592" s="290"/>
      <c r="DV592" s="290"/>
      <c r="DW592" s="290"/>
      <c r="DX592" s="290"/>
      <c r="DY592" s="290"/>
      <c r="DZ592" s="290"/>
      <c r="EA592" s="290"/>
      <c r="EB592" s="290"/>
      <c r="EC592" s="290"/>
      <c r="ED592" s="290"/>
      <c r="EE592" s="290"/>
      <c r="EF592" s="290"/>
      <c r="EG592" s="290"/>
      <c r="EH592" s="290"/>
      <c r="EI592" s="290"/>
      <c r="EJ592" s="290"/>
      <c r="EK592" s="290"/>
      <c r="EL592" s="290"/>
      <c r="EM592" s="290"/>
      <c r="EN592" s="290"/>
      <c r="EO592" s="290"/>
      <c r="EP592" s="290"/>
      <c r="EQ592" s="290"/>
      <c r="ER592" s="290"/>
      <c r="ES592" s="290"/>
      <c r="ET592" s="290"/>
      <c r="EU592" s="290"/>
      <c r="EV592" s="290"/>
      <c r="EW592" s="290"/>
      <c r="EX592" s="290"/>
      <c r="EY592" s="290"/>
      <c r="EZ592" s="290"/>
      <c r="FA592" s="290"/>
      <c r="FB592" s="290"/>
      <c r="FC592" s="290"/>
      <c r="FD592" s="290"/>
      <c r="FE592" s="290"/>
      <c r="FF592" s="290"/>
      <c r="FG592" s="290"/>
      <c r="FH592" s="290"/>
      <c r="FI592" s="290"/>
      <c r="FJ592" s="290"/>
      <c r="FK592" s="290"/>
      <c r="FL592" s="290"/>
      <c r="FM592" s="290"/>
      <c r="FN592" s="290"/>
      <c r="FO592" s="290"/>
      <c r="FP592" s="290"/>
      <c r="FQ592" s="290"/>
      <c r="FR592" s="290"/>
      <c r="FS592" s="290"/>
      <c r="FT592" s="290"/>
      <c r="FU592" s="290"/>
      <c r="FV592" s="290"/>
      <c r="FW592" s="290"/>
      <c r="FX592" s="290"/>
      <c r="FY592" s="290"/>
      <c r="FZ592" s="290"/>
      <c r="GA592" s="290"/>
      <c r="GB592" s="290"/>
      <c r="GC592" s="290"/>
      <c r="GD592" s="290"/>
      <c r="GE592" s="290"/>
      <c r="GF592" s="290"/>
      <c r="GG592" s="290"/>
      <c r="GH592" s="290"/>
      <c r="GI592" s="290"/>
      <c r="GJ592" s="290"/>
      <c r="GK592" s="290"/>
      <c r="GL592" s="290"/>
      <c r="GM592" s="290"/>
      <c r="GN592" s="290"/>
      <c r="GO592" s="290"/>
      <c r="GP592" s="290"/>
      <c r="GQ592" s="290"/>
      <c r="GR592" s="290"/>
      <c r="GS592" s="290"/>
      <c r="GT592" s="290"/>
      <c r="GU592" s="290"/>
      <c r="GV592" s="290"/>
      <c r="GW592" s="290"/>
      <c r="GX592" s="290"/>
      <c r="GY592" s="290"/>
      <c r="GZ592" s="290"/>
      <c r="HA592" s="290"/>
      <c r="HB592" s="290"/>
      <c r="HC592" s="290"/>
      <c r="HD592" s="290"/>
      <c r="HE592" s="290"/>
      <c r="HF592" s="290"/>
      <c r="HG592" s="290"/>
      <c r="HH592" s="290"/>
      <c r="HI592" s="290"/>
      <c r="HJ592" s="290"/>
      <c r="HK592" s="290"/>
      <c r="HL592" s="290"/>
      <c r="HM592" s="290"/>
      <c r="HN592" s="290"/>
      <c r="HO592" s="290"/>
      <c r="HP592" s="290"/>
      <c r="HQ592" s="290"/>
      <c r="HR592" s="290"/>
      <c r="HS592" s="290"/>
      <c r="HT592" s="290"/>
      <c r="HU592" s="290"/>
      <c r="HV592" s="290"/>
      <c r="HW592" s="290"/>
      <c r="HX592" s="290"/>
      <c r="HY592" s="290"/>
      <c r="HZ592" s="290"/>
      <c r="IA592" s="290"/>
      <c r="IB592" s="290"/>
      <c r="IC592" s="290"/>
      <c r="ID592" s="290"/>
      <c r="IE592" s="290"/>
      <c r="IF592" s="290"/>
      <c r="IG592" s="290"/>
      <c r="IH592" s="290"/>
      <c r="II592" s="290"/>
      <c r="IJ592" s="290"/>
      <c r="IK592" s="290"/>
      <c r="IL592" s="290"/>
      <c r="IM592" s="290"/>
      <c r="IN592" s="290"/>
      <c r="IO592" s="290"/>
      <c r="IP592" s="290"/>
      <c r="IQ592" s="290"/>
    </row>
    <row r="593" spans="1:6" ht="39" x14ac:dyDescent="0.3">
      <c r="A593" s="9" t="s">
        <v>307</v>
      </c>
      <c r="B593" s="21" t="s">
        <v>1852</v>
      </c>
      <c r="C593" s="129" t="s">
        <v>49</v>
      </c>
      <c r="D593" s="166" t="s">
        <v>37</v>
      </c>
      <c r="E593" s="166" t="s">
        <v>38</v>
      </c>
      <c r="F593" s="100" t="s">
        <v>1854</v>
      </c>
    </row>
  </sheetData>
  <autoFilter ref="A1:IR593" xr:uid="{00000000-0001-0000-0300-000000000000}"/>
  <mergeCells count="8835">
    <mergeCell ref="HN590:HN592"/>
    <mergeCell ref="HO590:HO592"/>
    <mergeCell ref="HP590:HP592"/>
    <mergeCell ref="HQ590:HQ592"/>
    <mergeCell ref="HR590:HR592"/>
    <mergeCell ref="HS590:HS592"/>
    <mergeCell ref="HT590:HT592"/>
    <mergeCell ref="HU590:HU592"/>
    <mergeCell ref="HV590:HV592"/>
    <mergeCell ref="HE590:HE592"/>
    <mergeCell ref="HF590:HF592"/>
    <mergeCell ref="HG590:HG592"/>
    <mergeCell ref="HH590:HH592"/>
    <mergeCell ref="HI590:HI592"/>
    <mergeCell ref="HJ590:HJ592"/>
    <mergeCell ref="HK590:HK592"/>
    <mergeCell ref="HL590:HL592"/>
    <mergeCell ref="HM590:HM592"/>
    <mergeCell ref="IO590:IO592"/>
    <mergeCell ref="IP590:IP592"/>
    <mergeCell ref="IQ590:IQ592"/>
    <mergeCell ref="IF590:IF592"/>
    <mergeCell ref="IG590:IG592"/>
    <mergeCell ref="IH590:IH592"/>
    <mergeCell ref="II590:II592"/>
    <mergeCell ref="IJ590:IJ592"/>
    <mergeCell ref="IK590:IK592"/>
    <mergeCell ref="IL590:IL592"/>
    <mergeCell ref="IM590:IM592"/>
    <mergeCell ref="IN590:IN592"/>
    <mergeCell ref="HW590:HW592"/>
    <mergeCell ref="HX590:HX592"/>
    <mergeCell ref="HY590:HY592"/>
    <mergeCell ref="HZ590:HZ592"/>
    <mergeCell ref="IA590:IA592"/>
    <mergeCell ref="IB590:IB592"/>
    <mergeCell ref="IC590:IC592"/>
    <mergeCell ref="ID590:ID592"/>
    <mergeCell ref="IE590:IE592"/>
    <mergeCell ref="GD590:GD592"/>
    <mergeCell ref="GE590:GE592"/>
    <mergeCell ref="GF590:GF592"/>
    <mergeCell ref="GG590:GG592"/>
    <mergeCell ref="GH590:GH592"/>
    <mergeCell ref="GI590:GI592"/>
    <mergeCell ref="GJ590:GJ592"/>
    <mergeCell ref="GK590:GK592"/>
    <mergeCell ref="GL590:GL592"/>
    <mergeCell ref="FU590:FU592"/>
    <mergeCell ref="FV590:FV592"/>
    <mergeCell ref="FW590:FW592"/>
    <mergeCell ref="FX590:FX592"/>
    <mergeCell ref="FY590:FY592"/>
    <mergeCell ref="FZ590:FZ592"/>
    <mergeCell ref="GA590:GA592"/>
    <mergeCell ref="GB590:GB592"/>
    <mergeCell ref="GC590:GC592"/>
    <mergeCell ref="GV590:GV592"/>
    <mergeCell ref="GW590:GW592"/>
    <mergeCell ref="GX590:GX592"/>
    <mergeCell ref="GY590:GY592"/>
    <mergeCell ref="GZ590:GZ592"/>
    <mergeCell ref="HA590:HA592"/>
    <mergeCell ref="HB590:HB592"/>
    <mergeCell ref="HC590:HC592"/>
    <mergeCell ref="HD590:HD592"/>
    <mergeCell ref="GM590:GM592"/>
    <mergeCell ref="GN590:GN592"/>
    <mergeCell ref="GO590:GO592"/>
    <mergeCell ref="GP590:GP592"/>
    <mergeCell ref="GQ590:GQ592"/>
    <mergeCell ref="GR590:GR592"/>
    <mergeCell ref="GS590:GS592"/>
    <mergeCell ref="GT590:GT592"/>
    <mergeCell ref="GU590:GU592"/>
    <mergeCell ref="ET590:ET592"/>
    <mergeCell ref="EU590:EU592"/>
    <mergeCell ref="EV590:EV592"/>
    <mergeCell ref="EW590:EW592"/>
    <mergeCell ref="EX590:EX592"/>
    <mergeCell ref="EY590:EY592"/>
    <mergeCell ref="EZ590:EZ592"/>
    <mergeCell ref="FA590:FA592"/>
    <mergeCell ref="FB590:FB592"/>
    <mergeCell ref="EK590:EK592"/>
    <mergeCell ref="EL590:EL592"/>
    <mergeCell ref="EM590:EM592"/>
    <mergeCell ref="EN590:EN592"/>
    <mergeCell ref="EO590:EO592"/>
    <mergeCell ref="EP590:EP592"/>
    <mergeCell ref="EQ590:EQ592"/>
    <mergeCell ref="ER590:ER592"/>
    <mergeCell ref="ES590:ES592"/>
    <mergeCell ref="FL590:FL592"/>
    <mergeCell ref="FM590:FM592"/>
    <mergeCell ref="FN590:FN592"/>
    <mergeCell ref="FO590:FO592"/>
    <mergeCell ref="FP590:FP592"/>
    <mergeCell ref="FQ590:FQ592"/>
    <mergeCell ref="FR590:FR592"/>
    <mergeCell ref="FS590:FS592"/>
    <mergeCell ref="FT590:FT592"/>
    <mergeCell ref="FC590:FC592"/>
    <mergeCell ref="FD590:FD592"/>
    <mergeCell ref="FE590:FE592"/>
    <mergeCell ref="FF590:FF592"/>
    <mergeCell ref="FG590:FG592"/>
    <mergeCell ref="FH590:FH592"/>
    <mergeCell ref="FI590:FI592"/>
    <mergeCell ref="FJ590:FJ592"/>
    <mergeCell ref="FK590:FK592"/>
    <mergeCell ref="DJ590:DJ592"/>
    <mergeCell ref="DK590:DK592"/>
    <mergeCell ref="DL590:DL592"/>
    <mergeCell ref="DM590:DM592"/>
    <mergeCell ref="DN590:DN592"/>
    <mergeCell ref="DO590:DO592"/>
    <mergeCell ref="DP590:DP592"/>
    <mergeCell ref="DQ590:DQ592"/>
    <mergeCell ref="DR590:DR592"/>
    <mergeCell ref="DA590:DA592"/>
    <mergeCell ref="DB590:DB592"/>
    <mergeCell ref="DC590:DC592"/>
    <mergeCell ref="DD590:DD592"/>
    <mergeCell ref="DE590:DE592"/>
    <mergeCell ref="DF590:DF592"/>
    <mergeCell ref="DG590:DG592"/>
    <mergeCell ref="DH590:DH592"/>
    <mergeCell ref="DI590:DI592"/>
    <mergeCell ref="EB590:EB592"/>
    <mergeCell ref="EC590:EC592"/>
    <mergeCell ref="ED590:ED592"/>
    <mergeCell ref="EE590:EE592"/>
    <mergeCell ref="EF590:EF592"/>
    <mergeCell ref="EG590:EG592"/>
    <mergeCell ref="EH590:EH592"/>
    <mergeCell ref="EI590:EI592"/>
    <mergeCell ref="EJ590:EJ592"/>
    <mergeCell ref="DS590:DS592"/>
    <mergeCell ref="DT590:DT592"/>
    <mergeCell ref="DU590:DU592"/>
    <mergeCell ref="DV590:DV592"/>
    <mergeCell ref="DW590:DW592"/>
    <mergeCell ref="DX590:DX592"/>
    <mergeCell ref="DY590:DY592"/>
    <mergeCell ref="DZ590:DZ592"/>
    <mergeCell ref="EA590:EA592"/>
    <mergeCell ref="BZ590:BZ592"/>
    <mergeCell ref="CA590:CA592"/>
    <mergeCell ref="CB590:CB592"/>
    <mergeCell ref="CC590:CC592"/>
    <mergeCell ref="CD590:CD592"/>
    <mergeCell ref="CE590:CE592"/>
    <mergeCell ref="CF590:CF592"/>
    <mergeCell ref="CG590:CG592"/>
    <mergeCell ref="CH590:CH592"/>
    <mergeCell ref="BQ590:BQ592"/>
    <mergeCell ref="BR590:BR592"/>
    <mergeCell ref="BS590:BS592"/>
    <mergeCell ref="BT590:BT592"/>
    <mergeCell ref="BU590:BU592"/>
    <mergeCell ref="BV590:BV592"/>
    <mergeCell ref="BW590:BW592"/>
    <mergeCell ref="BX590:BX592"/>
    <mergeCell ref="BY590:BY592"/>
    <mergeCell ref="CR590:CR592"/>
    <mergeCell ref="CS590:CS592"/>
    <mergeCell ref="CT590:CT592"/>
    <mergeCell ref="CU590:CU592"/>
    <mergeCell ref="CV590:CV592"/>
    <mergeCell ref="CW590:CW592"/>
    <mergeCell ref="CX590:CX592"/>
    <mergeCell ref="CY590:CY592"/>
    <mergeCell ref="CZ590:CZ592"/>
    <mergeCell ref="CI590:CI592"/>
    <mergeCell ref="CJ590:CJ592"/>
    <mergeCell ref="CK590:CK592"/>
    <mergeCell ref="CL590:CL592"/>
    <mergeCell ref="CM590:CM592"/>
    <mergeCell ref="CN590:CN592"/>
    <mergeCell ref="CO590:CO592"/>
    <mergeCell ref="CP590:CP592"/>
    <mergeCell ref="CQ590:CQ592"/>
    <mergeCell ref="AP590:AP592"/>
    <mergeCell ref="AQ590:AQ592"/>
    <mergeCell ref="AR590:AR592"/>
    <mergeCell ref="AS590:AS592"/>
    <mergeCell ref="AT590:AT592"/>
    <mergeCell ref="AU590:AU592"/>
    <mergeCell ref="AV590:AV592"/>
    <mergeCell ref="AW590:AW592"/>
    <mergeCell ref="AX590:AX592"/>
    <mergeCell ref="AG590:AG592"/>
    <mergeCell ref="AH590:AH592"/>
    <mergeCell ref="AI590:AI592"/>
    <mergeCell ref="AJ590:AJ592"/>
    <mergeCell ref="AK590:AK592"/>
    <mergeCell ref="AL590:AL592"/>
    <mergeCell ref="AM590:AM592"/>
    <mergeCell ref="AN590:AN592"/>
    <mergeCell ref="AO590:AO592"/>
    <mergeCell ref="BH590:BH592"/>
    <mergeCell ref="BI590:BI592"/>
    <mergeCell ref="BJ590:BJ592"/>
    <mergeCell ref="BK590:BK592"/>
    <mergeCell ref="BL590:BL592"/>
    <mergeCell ref="BM590:BM592"/>
    <mergeCell ref="BN590:BN592"/>
    <mergeCell ref="BO590:BO592"/>
    <mergeCell ref="BP590:BP592"/>
    <mergeCell ref="AY590:AY592"/>
    <mergeCell ref="AZ590:AZ592"/>
    <mergeCell ref="BA590:BA592"/>
    <mergeCell ref="BB590:BB592"/>
    <mergeCell ref="BC590:BC592"/>
    <mergeCell ref="BD590:BD592"/>
    <mergeCell ref="BE590:BE592"/>
    <mergeCell ref="BF590:BF592"/>
    <mergeCell ref="BG590:BG592"/>
    <mergeCell ref="W590:W592"/>
    <mergeCell ref="IG587:IG589"/>
    <mergeCell ref="IH587:IH589"/>
    <mergeCell ref="II587:II589"/>
    <mergeCell ref="IJ587:IJ589"/>
    <mergeCell ref="IK587:IK589"/>
    <mergeCell ref="IL587:IL589"/>
    <mergeCell ref="IM587:IM589"/>
    <mergeCell ref="IN587:IN589"/>
    <mergeCell ref="IO587:IO589"/>
    <mergeCell ref="HX587:HX589"/>
    <mergeCell ref="HY587:HY589"/>
    <mergeCell ref="HZ587:HZ589"/>
    <mergeCell ref="IA587:IA589"/>
    <mergeCell ref="IB587:IB589"/>
    <mergeCell ref="IC587:IC589"/>
    <mergeCell ref="ID587:ID589"/>
    <mergeCell ref="IE587:IE589"/>
    <mergeCell ref="IF587:IF589"/>
    <mergeCell ref="HO587:HO589"/>
    <mergeCell ref="HP587:HP589"/>
    <mergeCell ref="HQ587:HQ589"/>
    <mergeCell ref="HR587:HR589"/>
    <mergeCell ref="HS587:HS589"/>
    <mergeCell ref="HT587:HT589"/>
    <mergeCell ref="HU587:HU589"/>
    <mergeCell ref="HV587:HV589"/>
    <mergeCell ref="HW587:HW589"/>
    <mergeCell ref="HF587:HF589"/>
    <mergeCell ref="HG587:HG589"/>
    <mergeCell ref="HH587:HH589"/>
    <mergeCell ref="HI587:HI589"/>
    <mergeCell ref="X590:X592"/>
    <mergeCell ref="Y590:Y592"/>
    <mergeCell ref="Z590:Z592"/>
    <mergeCell ref="AA590:AA592"/>
    <mergeCell ref="AB590:AB592"/>
    <mergeCell ref="AC590:AC592"/>
    <mergeCell ref="AD590:AD592"/>
    <mergeCell ref="AE590:AE592"/>
    <mergeCell ref="AF590:AF592"/>
    <mergeCell ref="IP587:IP589"/>
    <mergeCell ref="IQ587:IQ589"/>
    <mergeCell ref="A590:A592"/>
    <mergeCell ref="B590:B592"/>
    <mergeCell ref="C590:C592"/>
    <mergeCell ref="D590:D592"/>
    <mergeCell ref="E590:E592"/>
    <mergeCell ref="G590:G592"/>
    <mergeCell ref="H590:H592"/>
    <mergeCell ref="I590:I592"/>
    <mergeCell ref="J590:J592"/>
    <mergeCell ref="K590:K592"/>
    <mergeCell ref="L590:L592"/>
    <mergeCell ref="M590:M592"/>
    <mergeCell ref="N590:N592"/>
    <mergeCell ref="O590:O592"/>
    <mergeCell ref="P590:P592"/>
    <mergeCell ref="Q590:Q592"/>
    <mergeCell ref="R590:R592"/>
    <mergeCell ref="S590:S592"/>
    <mergeCell ref="T590:T592"/>
    <mergeCell ref="U590:U592"/>
    <mergeCell ref="V590:V592"/>
    <mergeCell ref="GE587:GE589"/>
    <mergeCell ref="GF587:GF589"/>
    <mergeCell ref="GG587:GG589"/>
    <mergeCell ref="GH587:GH589"/>
    <mergeCell ref="GI587:GI589"/>
    <mergeCell ref="GJ587:GJ589"/>
    <mergeCell ref="GK587:GK589"/>
    <mergeCell ref="GL587:GL589"/>
    <mergeCell ref="GM587:GM589"/>
    <mergeCell ref="FV587:FV589"/>
    <mergeCell ref="FW587:FW589"/>
    <mergeCell ref="FX587:FX589"/>
    <mergeCell ref="FY587:FY589"/>
    <mergeCell ref="FZ587:FZ589"/>
    <mergeCell ref="GA587:GA589"/>
    <mergeCell ref="GB587:GB589"/>
    <mergeCell ref="GC587:GC589"/>
    <mergeCell ref="GD587:GD589"/>
    <mergeCell ref="HJ587:HJ589"/>
    <mergeCell ref="HK587:HK589"/>
    <mergeCell ref="HL587:HL589"/>
    <mergeCell ref="HM587:HM589"/>
    <mergeCell ref="HN587:HN589"/>
    <mergeCell ref="GW587:GW589"/>
    <mergeCell ref="GX587:GX589"/>
    <mergeCell ref="GY587:GY589"/>
    <mergeCell ref="GZ587:GZ589"/>
    <mergeCell ref="HA587:HA589"/>
    <mergeCell ref="HB587:HB589"/>
    <mergeCell ref="HC587:HC589"/>
    <mergeCell ref="HD587:HD589"/>
    <mergeCell ref="HE587:HE589"/>
    <mergeCell ref="GN587:GN589"/>
    <mergeCell ref="GO587:GO589"/>
    <mergeCell ref="GP587:GP589"/>
    <mergeCell ref="GQ587:GQ589"/>
    <mergeCell ref="GR587:GR589"/>
    <mergeCell ref="GS587:GS589"/>
    <mergeCell ref="GT587:GT589"/>
    <mergeCell ref="GU587:GU589"/>
    <mergeCell ref="GV587:GV589"/>
    <mergeCell ref="EU587:EU589"/>
    <mergeCell ref="EV587:EV589"/>
    <mergeCell ref="EW587:EW589"/>
    <mergeCell ref="EX587:EX589"/>
    <mergeCell ref="EY587:EY589"/>
    <mergeCell ref="EZ587:EZ589"/>
    <mergeCell ref="FA587:FA589"/>
    <mergeCell ref="FB587:FB589"/>
    <mergeCell ref="FC587:FC589"/>
    <mergeCell ref="EL587:EL589"/>
    <mergeCell ref="EM587:EM589"/>
    <mergeCell ref="EN587:EN589"/>
    <mergeCell ref="EO587:EO589"/>
    <mergeCell ref="EP587:EP589"/>
    <mergeCell ref="EQ587:EQ589"/>
    <mergeCell ref="ER587:ER589"/>
    <mergeCell ref="ES587:ES589"/>
    <mergeCell ref="ET587:ET589"/>
    <mergeCell ref="FM587:FM589"/>
    <mergeCell ref="FN587:FN589"/>
    <mergeCell ref="FO587:FO589"/>
    <mergeCell ref="FP587:FP589"/>
    <mergeCell ref="FQ587:FQ589"/>
    <mergeCell ref="FR587:FR589"/>
    <mergeCell ref="FS587:FS589"/>
    <mergeCell ref="FT587:FT589"/>
    <mergeCell ref="FU587:FU589"/>
    <mergeCell ref="FD587:FD589"/>
    <mergeCell ref="FE587:FE589"/>
    <mergeCell ref="FF587:FF589"/>
    <mergeCell ref="FG587:FG589"/>
    <mergeCell ref="FH587:FH589"/>
    <mergeCell ref="FI587:FI589"/>
    <mergeCell ref="FJ587:FJ589"/>
    <mergeCell ref="FK587:FK589"/>
    <mergeCell ref="FL587:FL589"/>
    <mergeCell ref="DK587:DK589"/>
    <mergeCell ref="DL587:DL589"/>
    <mergeCell ref="DM587:DM589"/>
    <mergeCell ref="DN587:DN589"/>
    <mergeCell ref="DO587:DO589"/>
    <mergeCell ref="DP587:DP589"/>
    <mergeCell ref="DQ587:DQ589"/>
    <mergeCell ref="DR587:DR589"/>
    <mergeCell ref="DS587:DS589"/>
    <mergeCell ref="DB587:DB589"/>
    <mergeCell ref="DC587:DC589"/>
    <mergeCell ref="DD587:DD589"/>
    <mergeCell ref="DE587:DE589"/>
    <mergeCell ref="DF587:DF589"/>
    <mergeCell ref="DG587:DG589"/>
    <mergeCell ref="DH587:DH589"/>
    <mergeCell ref="DI587:DI589"/>
    <mergeCell ref="DJ587:DJ589"/>
    <mergeCell ref="EC587:EC589"/>
    <mergeCell ref="ED587:ED589"/>
    <mergeCell ref="EE587:EE589"/>
    <mergeCell ref="EF587:EF589"/>
    <mergeCell ref="EG587:EG589"/>
    <mergeCell ref="EH587:EH589"/>
    <mergeCell ref="EI587:EI589"/>
    <mergeCell ref="EJ587:EJ589"/>
    <mergeCell ref="EK587:EK589"/>
    <mergeCell ref="DT587:DT589"/>
    <mergeCell ref="DU587:DU589"/>
    <mergeCell ref="DV587:DV589"/>
    <mergeCell ref="DW587:DW589"/>
    <mergeCell ref="DX587:DX589"/>
    <mergeCell ref="DY587:DY589"/>
    <mergeCell ref="DZ587:DZ589"/>
    <mergeCell ref="EA587:EA589"/>
    <mergeCell ref="EB587:EB589"/>
    <mergeCell ref="CA587:CA589"/>
    <mergeCell ref="CB587:CB589"/>
    <mergeCell ref="CC587:CC589"/>
    <mergeCell ref="CD587:CD589"/>
    <mergeCell ref="CE587:CE589"/>
    <mergeCell ref="CF587:CF589"/>
    <mergeCell ref="CG587:CG589"/>
    <mergeCell ref="CH587:CH589"/>
    <mergeCell ref="CI587:CI589"/>
    <mergeCell ref="BR587:BR589"/>
    <mergeCell ref="BS587:BS589"/>
    <mergeCell ref="BT587:BT589"/>
    <mergeCell ref="BU587:BU589"/>
    <mergeCell ref="BV587:BV589"/>
    <mergeCell ref="BW587:BW589"/>
    <mergeCell ref="BX587:BX589"/>
    <mergeCell ref="BY587:BY589"/>
    <mergeCell ref="BZ587:BZ589"/>
    <mergeCell ref="CS587:CS589"/>
    <mergeCell ref="CT587:CT589"/>
    <mergeCell ref="CU587:CU589"/>
    <mergeCell ref="CV587:CV589"/>
    <mergeCell ref="CW587:CW589"/>
    <mergeCell ref="CX587:CX589"/>
    <mergeCell ref="CY587:CY589"/>
    <mergeCell ref="CZ587:CZ589"/>
    <mergeCell ref="DA587:DA589"/>
    <mergeCell ref="CJ587:CJ589"/>
    <mergeCell ref="CK587:CK589"/>
    <mergeCell ref="CL587:CL589"/>
    <mergeCell ref="CM587:CM589"/>
    <mergeCell ref="CN587:CN589"/>
    <mergeCell ref="CO587:CO589"/>
    <mergeCell ref="CP587:CP589"/>
    <mergeCell ref="CQ587:CQ589"/>
    <mergeCell ref="CR587:CR589"/>
    <mergeCell ref="AQ587:AQ589"/>
    <mergeCell ref="AR587:AR589"/>
    <mergeCell ref="AS587:AS589"/>
    <mergeCell ref="AT587:AT589"/>
    <mergeCell ref="AU587:AU589"/>
    <mergeCell ref="AV587:AV589"/>
    <mergeCell ref="AW587:AW589"/>
    <mergeCell ref="AX587:AX589"/>
    <mergeCell ref="AY587:AY589"/>
    <mergeCell ref="AH587:AH589"/>
    <mergeCell ref="AI587:AI589"/>
    <mergeCell ref="AJ587:AJ589"/>
    <mergeCell ref="AK587:AK589"/>
    <mergeCell ref="AL587:AL589"/>
    <mergeCell ref="AM587:AM589"/>
    <mergeCell ref="AN587:AN589"/>
    <mergeCell ref="AO587:AO589"/>
    <mergeCell ref="AP587:AP589"/>
    <mergeCell ref="BI587:BI589"/>
    <mergeCell ref="BJ587:BJ589"/>
    <mergeCell ref="BK587:BK589"/>
    <mergeCell ref="BL587:BL589"/>
    <mergeCell ref="BM587:BM589"/>
    <mergeCell ref="BN587:BN589"/>
    <mergeCell ref="BO587:BO589"/>
    <mergeCell ref="BP587:BP589"/>
    <mergeCell ref="BQ587:BQ589"/>
    <mergeCell ref="AZ587:AZ589"/>
    <mergeCell ref="BA587:BA589"/>
    <mergeCell ref="BB587:BB589"/>
    <mergeCell ref="BC587:BC589"/>
    <mergeCell ref="BD587:BD589"/>
    <mergeCell ref="BE587:BE589"/>
    <mergeCell ref="BF587:BF589"/>
    <mergeCell ref="BG587:BG589"/>
    <mergeCell ref="BH587:BH589"/>
    <mergeCell ref="AA587:AA589"/>
    <mergeCell ref="AB587:AB589"/>
    <mergeCell ref="AC587:AC589"/>
    <mergeCell ref="AD587:AD589"/>
    <mergeCell ref="AE587:AE589"/>
    <mergeCell ref="AF587:AF589"/>
    <mergeCell ref="AG587:AG589"/>
    <mergeCell ref="P587:P589"/>
    <mergeCell ref="Q587:Q589"/>
    <mergeCell ref="R587:R589"/>
    <mergeCell ref="S587:S589"/>
    <mergeCell ref="T587:T589"/>
    <mergeCell ref="U587:U589"/>
    <mergeCell ref="V587:V589"/>
    <mergeCell ref="W587:W589"/>
    <mergeCell ref="X587:X589"/>
    <mergeCell ref="G587:G589"/>
    <mergeCell ref="H587:H589"/>
    <mergeCell ref="I587:I589"/>
    <mergeCell ref="J587:J589"/>
    <mergeCell ref="K587:K589"/>
    <mergeCell ref="L587:L589"/>
    <mergeCell ref="M587:M589"/>
    <mergeCell ref="N587:N589"/>
    <mergeCell ref="O587:O589"/>
    <mergeCell ref="A579:A581"/>
    <mergeCell ref="B579:B581"/>
    <mergeCell ref="C579:C581"/>
    <mergeCell ref="D579:D581"/>
    <mergeCell ref="E579:E581"/>
    <mergeCell ref="A582:A584"/>
    <mergeCell ref="B582:B584"/>
    <mergeCell ref="C582:C584"/>
    <mergeCell ref="D582:D584"/>
    <mergeCell ref="E582:E584"/>
    <mergeCell ref="A484:A486"/>
    <mergeCell ref="B484:B486"/>
    <mergeCell ref="C484:C486"/>
    <mergeCell ref="D484:D486"/>
    <mergeCell ref="E484:E486"/>
    <mergeCell ref="Y587:Y589"/>
    <mergeCell ref="Z587:Z589"/>
    <mergeCell ref="B547:B549"/>
    <mergeCell ref="C547:C549"/>
    <mergeCell ref="D547:D549"/>
    <mergeCell ref="E547:E549"/>
    <mergeCell ref="A539:A541"/>
    <mergeCell ref="B539:B541"/>
    <mergeCell ref="C539:C541"/>
    <mergeCell ref="D539:D541"/>
    <mergeCell ref="E539:E541"/>
    <mergeCell ref="A542:A544"/>
    <mergeCell ref="B542:B544"/>
    <mergeCell ref="C542:C544"/>
    <mergeCell ref="D542:D544"/>
    <mergeCell ref="E542:E544"/>
    <mergeCell ref="A505:A507"/>
    <mergeCell ref="A409:A411"/>
    <mergeCell ref="B409:B411"/>
    <mergeCell ref="C409:C411"/>
    <mergeCell ref="D409:D411"/>
    <mergeCell ref="E409:E411"/>
    <mergeCell ref="D192:D194"/>
    <mergeCell ref="E192:E194"/>
    <mergeCell ref="A237:A239"/>
    <mergeCell ref="B237:B239"/>
    <mergeCell ref="C237:C239"/>
    <mergeCell ref="D237:D239"/>
    <mergeCell ref="E237:E239"/>
    <mergeCell ref="A240:A242"/>
    <mergeCell ref="B240:B242"/>
    <mergeCell ref="C240:C242"/>
    <mergeCell ref="D240:D242"/>
    <mergeCell ref="E240:E242"/>
    <mergeCell ref="A345:A347"/>
    <mergeCell ref="B345:B347"/>
    <mergeCell ref="C345:C347"/>
    <mergeCell ref="D345:D347"/>
    <mergeCell ref="E345:E347"/>
    <mergeCell ref="A401:A403"/>
    <mergeCell ref="B401:B403"/>
    <mergeCell ref="C401:C403"/>
    <mergeCell ref="D401:D403"/>
    <mergeCell ref="E401:E403"/>
    <mergeCell ref="A393:A395"/>
    <mergeCell ref="B393:B395"/>
    <mergeCell ref="C393:C395"/>
    <mergeCell ref="D393:D395"/>
    <mergeCell ref="E393:E395"/>
    <mergeCell ref="A481:A483"/>
    <mergeCell ref="B481:B483"/>
    <mergeCell ref="C481:C483"/>
    <mergeCell ref="D481:D483"/>
    <mergeCell ref="E481:E483"/>
    <mergeCell ref="A433:A435"/>
    <mergeCell ref="B433:B435"/>
    <mergeCell ref="C433:C435"/>
    <mergeCell ref="D433:D435"/>
    <mergeCell ref="E433:E435"/>
    <mergeCell ref="A436:A438"/>
    <mergeCell ref="B436:B438"/>
    <mergeCell ref="C436:C438"/>
    <mergeCell ref="D436:D438"/>
    <mergeCell ref="E436:E438"/>
    <mergeCell ref="A412:A414"/>
    <mergeCell ref="B412:B414"/>
    <mergeCell ref="C412:C414"/>
    <mergeCell ref="D412:D414"/>
    <mergeCell ref="E412:E414"/>
    <mergeCell ref="A452:A454"/>
    <mergeCell ref="B452:B454"/>
    <mergeCell ref="C452:C454"/>
    <mergeCell ref="D452:D454"/>
    <mergeCell ref="E452:E454"/>
    <mergeCell ref="A449:A451"/>
    <mergeCell ref="B449:B451"/>
    <mergeCell ref="C449:C451"/>
    <mergeCell ref="D449:D451"/>
    <mergeCell ref="E449:E451"/>
    <mergeCell ref="A441:A443"/>
    <mergeCell ref="B441:B443"/>
    <mergeCell ref="B505:B507"/>
    <mergeCell ref="C505:C507"/>
    <mergeCell ref="A377:A379"/>
    <mergeCell ref="B377:B379"/>
    <mergeCell ref="C377:C379"/>
    <mergeCell ref="D377:D379"/>
    <mergeCell ref="E377:E379"/>
    <mergeCell ref="A380:A382"/>
    <mergeCell ref="B380:B382"/>
    <mergeCell ref="C380:C382"/>
    <mergeCell ref="D380:D382"/>
    <mergeCell ref="E380:E382"/>
    <mergeCell ref="A348:A350"/>
    <mergeCell ref="B348:B350"/>
    <mergeCell ref="C348:C350"/>
    <mergeCell ref="D348:D350"/>
    <mergeCell ref="E348:E350"/>
    <mergeCell ref="A476:A478"/>
    <mergeCell ref="B476:B478"/>
    <mergeCell ref="C476:C478"/>
    <mergeCell ref="D476:D478"/>
    <mergeCell ref="E476:E478"/>
    <mergeCell ref="A468:A470"/>
    <mergeCell ref="B468:B470"/>
    <mergeCell ref="C468:C470"/>
    <mergeCell ref="D468:D470"/>
    <mergeCell ref="E468:E470"/>
    <mergeCell ref="A460:A462"/>
    <mergeCell ref="B460:B462"/>
    <mergeCell ref="C460:C462"/>
    <mergeCell ref="D460:D462"/>
    <mergeCell ref="E460:E462"/>
    <mergeCell ref="C574:C576"/>
    <mergeCell ref="D574:D576"/>
    <mergeCell ref="E574:E576"/>
    <mergeCell ref="A571:A573"/>
    <mergeCell ref="B571:B573"/>
    <mergeCell ref="C571:C573"/>
    <mergeCell ref="D571:D573"/>
    <mergeCell ref="E571:E573"/>
    <mergeCell ref="A566:A568"/>
    <mergeCell ref="B566:B568"/>
    <mergeCell ref="C566:C568"/>
    <mergeCell ref="D566:D568"/>
    <mergeCell ref="E566:E568"/>
    <mergeCell ref="A563:A565"/>
    <mergeCell ref="B563:B565"/>
    <mergeCell ref="C563:C565"/>
    <mergeCell ref="D563:D565"/>
    <mergeCell ref="E563:E565"/>
    <mergeCell ref="A587:A589"/>
    <mergeCell ref="B587:B589"/>
    <mergeCell ref="C587:C589"/>
    <mergeCell ref="D587:D589"/>
    <mergeCell ref="E587:E589"/>
    <mergeCell ref="A523:A525"/>
    <mergeCell ref="B523:B525"/>
    <mergeCell ref="C523:C525"/>
    <mergeCell ref="D523:D525"/>
    <mergeCell ref="E523:E525"/>
    <mergeCell ref="A526:A528"/>
    <mergeCell ref="B526:B528"/>
    <mergeCell ref="C526:C528"/>
    <mergeCell ref="D526:D528"/>
    <mergeCell ref="E526:E528"/>
    <mergeCell ref="F512:F514"/>
    <mergeCell ref="A515:A517"/>
    <mergeCell ref="B515:B517"/>
    <mergeCell ref="C515:C517"/>
    <mergeCell ref="D515:D517"/>
    <mergeCell ref="E515:E517"/>
    <mergeCell ref="A518:A520"/>
    <mergeCell ref="B518:B520"/>
    <mergeCell ref="C518:C520"/>
    <mergeCell ref="D518:D520"/>
    <mergeCell ref="E518:E520"/>
    <mergeCell ref="B512:B514"/>
    <mergeCell ref="C512:C514"/>
    <mergeCell ref="D512:D514"/>
    <mergeCell ref="E512:E514"/>
    <mergeCell ref="A574:A576"/>
    <mergeCell ref="B574:B576"/>
    <mergeCell ref="GY476:GY478"/>
    <mergeCell ref="GZ476:GZ478"/>
    <mergeCell ref="HA476:HA478"/>
    <mergeCell ref="HB476:HB478"/>
    <mergeCell ref="HC476:HC478"/>
    <mergeCell ref="HD476:HD478"/>
    <mergeCell ref="HE476:HE478"/>
    <mergeCell ref="HF476:HF478"/>
    <mergeCell ref="HG476:HG478"/>
    <mergeCell ref="GP476:GP478"/>
    <mergeCell ref="GQ476:GQ478"/>
    <mergeCell ref="GR476:GR478"/>
    <mergeCell ref="D505:D507"/>
    <mergeCell ref="E505:E507"/>
    <mergeCell ref="A508:A510"/>
    <mergeCell ref="B508:B510"/>
    <mergeCell ref="C508:C510"/>
    <mergeCell ref="D508:D510"/>
    <mergeCell ref="E508:E510"/>
    <mergeCell ref="A500:A502"/>
    <mergeCell ref="B500:B502"/>
    <mergeCell ref="C500:C502"/>
    <mergeCell ref="D500:D502"/>
    <mergeCell ref="E500:E502"/>
    <mergeCell ref="A497:A499"/>
    <mergeCell ref="B497:B499"/>
    <mergeCell ref="C497:C499"/>
    <mergeCell ref="D497:D499"/>
    <mergeCell ref="E497:E499"/>
    <mergeCell ref="A492:A494"/>
    <mergeCell ref="B492:B494"/>
    <mergeCell ref="C492:C494"/>
    <mergeCell ref="HQ476:HQ478"/>
    <mergeCell ref="HR476:HR478"/>
    <mergeCell ref="HS476:HS478"/>
    <mergeCell ref="HT476:HT478"/>
    <mergeCell ref="HU476:HU478"/>
    <mergeCell ref="HV476:HV478"/>
    <mergeCell ref="HW476:HW478"/>
    <mergeCell ref="HX476:HX478"/>
    <mergeCell ref="HY476:HY478"/>
    <mergeCell ref="HH476:HH478"/>
    <mergeCell ref="HI476:HI478"/>
    <mergeCell ref="HJ476:HJ478"/>
    <mergeCell ref="HK476:HK478"/>
    <mergeCell ref="HL476:HL478"/>
    <mergeCell ref="HM476:HM478"/>
    <mergeCell ref="HN476:HN478"/>
    <mergeCell ref="HO476:HO478"/>
    <mergeCell ref="HP476:HP478"/>
    <mergeCell ref="II476:II478"/>
    <mergeCell ref="IJ476:IJ478"/>
    <mergeCell ref="IK476:IK478"/>
    <mergeCell ref="IL476:IL478"/>
    <mergeCell ref="IM476:IM478"/>
    <mergeCell ref="IN476:IN478"/>
    <mergeCell ref="IO476:IO478"/>
    <mergeCell ref="IP476:IP478"/>
    <mergeCell ref="IQ476:IQ478"/>
    <mergeCell ref="HZ476:HZ478"/>
    <mergeCell ref="IA476:IA478"/>
    <mergeCell ref="IB476:IB478"/>
    <mergeCell ref="IC476:IC478"/>
    <mergeCell ref="ID476:ID478"/>
    <mergeCell ref="IE476:IE478"/>
    <mergeCell ref="IF476:IF478"/>
    <mergeCell ref="IG476:IG478"/>
    <mergeCell ref="IH476:IH478"/>
    <mergeCell ref="FO476:FO478"/>
    <mergeCell ref="FP476:FP478"/>
    <mergeCell ref="FQ476:FQ478"/>
    <mergeCell ref="FR476:FR478"/>
    <mergeCell ref="FS476:FS478"/>
    <mergeCell ref="FT476:FT478"/>
    <mergeCell ref="FU476:FU478"/>
    <mergeCell ref="FV476:FV478"/>
    <mergeCell ref="FW476:FW478"/>
    <mergeCell ref="A558:A560"/>
    <mergeCell ref="B558:B560"/>
    <mergeCell ref="C558:C560"/>
    <mergeCell ref="D558:D560"/>
    <mergeCell ref="E558:E560"/>
    <mergeCell ref="A555:A557"/>
    <mergeCell ref="B555:B557"/>
    <mergeCell ref="C555:C557"/>
    <mergeCell ref="D555:D557"/>
    <mergeCell ref="E555:E557"/>
    <mergeCell ref="D492:D494"/>
    <mergeCell ref="E492:E494"/>
    <mergeCell ref="A489:A491"/>
    <mergeCell ref="B489:B491"/>
    <mergeCell ref="C489:C491"/>
    <mergeCell ref="D489:D491"/>
    <mergeCell ref="E489:E491"/>
    <mergeCell ref="A550:A552"/>
    <mergeCell ref="B550:B552"/>
    <mergeCell ref="C550:C552"/>
    <mergeCell ref="D550:D552"/>
    <mergeCell ref="E550:E552"/>
    <mergeCell ref="A547:A549"/>
    <mergeCell ref="GS476:GS478"/>
    <mergeCell ref="GT476:GT478"/>
    <mergeCell ref="GU476:GU478"/>
    <mergeCell ref="GV476:GV478"/>
    <mergeCell ref="GW476:GW478"/>
    <mergeCell ref="GX476:GX478"/>
    <mergeCell ref="GG476:GG478"/>
    <mergeCell ref="GH476:GH478"/>
    <mergeCell ref="GI476:GI478"/>
    <mergeCell ref="GJ476:GJ478"/>
    <mergeCell ref="GK476:GK478"/>
    <mergeCell ref="GL476:GL478"/>
    <mergeCell ref="GM476:GM478"/>
    <mergeCell ref="GN476:GN478"/>
    <mergeCell ref="GO476:GO478"/>
    <mergeCell ref="FX476:FX478"/>
    <mergeCell ref="FY476:FY478"/>
    <mergeCell ref="FZ476:FZ478"/>
    <mergeCell ref="GA476:GA478"/>
    <mergeCell ref="GB476:GB478"/>
    <mergeCell ref="GC476:GC478"/>
    <mergeCell ref="GD476:GD478"/>
    <mergeCell ref="GE476:GE478"/>
    <mergeCell ref="GF476:GF478"/>
    <mergeCell ref="EN476:EN478"/>
    <mergeCell ref="EO476:EO478"/>
    <mergeCell ref="EP476:EP478"/>
    <mergeCell ref="EQ476:EQ478"/>
    <mergeCell ref="ER476:ER478"/>
    <mergeCell ref="ES476:ES478"/>
    <mergeCell ref="ET476:ET478"/>
    <mergeCell ref="EU476:EU478"/>
    <mergeCell ref="EV476:EV478"/>
    <mergeCell ref="EE476:EE478"/>
    <mergeCell ref="EF476:EF478"/>
    <mergeCell ref="EG476:EG478"/>
    <mergeCell ref="EH476:EH478"/>
    <mergeCell ref="EI476:EI478"/>
    <mergeCell ref="EJ476:EJ478"/>
    <mergeCell ref="EK476:EK478"/>
    <mergeCell ref="EL476:EL478"/>
    <mergeCell ref="EM476:EM478"/>
    <mergeCell ref="FF476:FF478"/>
    <mergeCell ref="FG476:FG478"/>
    <mergeCell ref="FH476:FH478"/>
    <mergeCell ref="FI476:FI478"/>
    <mergeCell ref="FJ476:FJ478"/>
    <mergeCell ref="FK476:FK478"/>
    <mergeCell ref="FL476:FL478"/>
    <mergeCell ref="FM476:FM478"/>
    <mergeCell ref="FN476:FN478"/>
    <mergeCell ref="EW476:EW478"/>
    <mergeCell ref="EX476:EX478"/>
    <mergeCell ref="EY476:EY478"/>
    <mergeCell ref="EZ476:EZ478"/>
    <mergeCell ref="FA476:FA478"/>
    <mergeCell ref="FB476:FB478"/>
    <mergeCell ref="FC476:FC478"/>
    <mergeCell ref="FD476:FD478"/>
    <mergeCell ref="FE476:FE478"/>
    <mergeCell ref="DD476:DD478"/>
    <mergeCell ref="DE476:DE478"/>
    <mergeCell ref="DF476:DF478"/>
    <mergeCell ref="DG476:DG478"/>
    <mergeCell ref="DH476:DH478"/>
    <mergeCell ref="DI476:DI478"/>
    <mergeCell ref="DJ476:DJ478"/>
    <mergeCell ref="DK476:DK478"/>
    <mergeCell ref="DL476:DL478"/>
    <mergeCell ref="CU476:CU478"/>
    <mergeCell ref="CV476:CV478"/>
    <mergeCell ref="CW476:CW478"/>
    <mergeCell ref="CX476:CX478"/>
    <mergeCell ref="CY476:CY478"/>
    <mergeCell ref="CZ476:CZ478"/>
    <mergeCell ref="DA476:DA478"/>
    <mergeCell ref="DB476:DB478"/>
    <mergeCell ref="DC476:DC478"/>
    <mergeCell ref="DV476:DV478"/>
    <mergeCell ref="DW476:DW478"/>
    <mergeCell ref="DX476:DX478"/>
    <mergeCell ref="DY476:DY478"/>
    <mergeCell ref="DZ476:DZ478"/>
    <mergeCell ref="EA476:EA478"/>
    <mergeCell ref="EB476:EB478"/>
    <mergeCell ref="EC476:EC478"/>
    <mergeCell ref="ED476:ED478"/>
    <mergeCell ref="DM476:DM478"/>
    <mergeCell ref="DN476:DN478"/>
    <mergeCell ref="DO476:DO478"/>
    <mergeCell ref="DP476:DP478"/>
    <mergeCell ref="DQ476:DQ478"/>
    <mergeCell ref="DR476:DR478"/>
    <mergeCell ref="DS476:DS478"/>
    <mergeCell ref="DT476:DT478"/>
    <mergeCell ref="DU476:DU478"/>
    <mergeCell ref="BT476:BT478"/>
    <mergeCell ref="BU476:BU478"/>
    <mergeCell ref="BV476:BV478"/>
    <mergeCell ref="BW476:BW478"/>
    <mergeCell ref="BX476:BX478"/>
    <mergeCell ref="BY476:BY478"/>
    <mergeCell ref="BZ476:BZ478"/>
    <mergeCell ref="CA476:CA478"/>
    <mergeCell ref="CB476:CB478"/>
    <mergeCell ref="BK476:BK478"/>
    <mergeCell ref="BL476:BL478"/>
    <mergeCell ref="BM476:BM478"/>
    <mergeCell ref="BN476:BN478"/>
    <mergeCell ref="BO476:BO478"/>
    <mergeCell ref="BP476:BP478"/>
    <mergeCell ref="BQ476:BQ478"/>
    <mergeCell ref="BR476:BR478"/>
    <mergeCell ref="BS476:BS478"/>
    <mergeCell ref="CL476:CL478"/>
    <mergeCell ref="CM476:CM478"/>
    <mergeCell ref="CN476:CN478"/>
    <mergeCell ref="CO476:CO478"/>
    <mergeCell ref="CP476:CP478"/>
    <mergeCell ref="CQ476:CQ478"/>
    <mergeCell ref="CR476:CR478"/>
    <mergeCell ref="CS476:CS478"/>
    <mergeCell ref="CT476:CT478"/>
    <mergeCell ref="CC476:CC478"/>
    <mergeCell ref="CD476:CD478"/>
    <mergeCell ref="CE476:CE478"/>
    <mergeCell ref="CF476:CF478"/>
    <mergeCell ref="CG476:CG478"/>
    <mergeCell ref="CH476:CH478"/>
    <mergeCell ref="CI476:CI478"/>
    <mergeCell ref="CJ476:CJ478"/>
    <mergeCell ref="CK476:CK478"/>
    <mergeCell ref="AJ476:AJ478"/>
    <mergeCell ref="AK476:AK478"/>
    <mergeCell ref="AL476:AL478"/>
    <mergeCell ref="AM476:AM478"/>
    <mergeCell ref="AN476:AN478"/>
    <mergeCell ref="AO476:AO478"/>
    <mergeCell ref="AP476:AP478"/>
    <mergeCell ref="AQ476:AQ478"/>
    <mergeCell ref="AR476:AR478"/>
    <mergeCell ref="AA476:AA478"/>
    <mergeCell ref="AB476:AB478"/>
    <mergeCell ref="AC476:AC478"/>
    <mergeCell ref="AD476:AD478"/>
    <mergeCell ref="AE476:AE478"/>
    <mergeCell ref="AF476:AF478"/>
    <mergeCell ref="AG476:AG478"/>
    <mergeCell ref="AH476:AH478"/>
    <mergeCell ref="AI476:AI478"/>
    <mergeCell ref="BB476:BB478"/>
    <mergeCell ref="BC476:BC478"/>
    <mergeCell ref="BD476:BD478"/>
    <mergeCell ref="BE476:BE478"/>
    <mergeCell ref="BF476:BF478"/>
    <mergeCell ref="BG476:BG478"/>
    <mergeCell ref="BH476:BH478"/>
    <mergeCell ref="BI476:BI478"/>
    <mergeCell ref="BJ476:BJ478"/>
    <mergeCell ref="AS476:AS478"/>
    <mergeCell ref="AT476:AT478"/>
    <mergeCell ref="AU476:AU478"/>
    <mergeCell ref="AV476:AV478"/>
    <mergeCell ref="AW476:AW478"/>
    <mergeCell ref="AX476:AX478"/>
    <mergeCell ref="AY476:AY478"/>
    <mergeCell ref="AZ476:AZ478"/>
    <mergeCell ref="BA476:BA478"/>
    <mergeCell ref="G476:G478"/>
    <mergeCell ref="H476:H478"/>
    <mergeCell ref="I476:I478"/>
    <mergeCell ref="J476:J478"/>
    <mergeCell ref="K476:K478"/>
    <mergeCell ref="L476:L478"/>
    <mergeCell ref="M476:M478"/>
    <mergeCell ref="N476:N478"/>
    <mergeCell ref="O476:O478"/>
    <mergeCell ref="P476:P478"/>
    <mergeCell ref="Q476:Q478"/>
    <mergeCell ref="IA473:IA475"/>
    <mergeCell ref="HR473:HR475"/>
    <mergeCell ref="HS473:HS475"/>
    <mergeCell ref="HT473:HT475"/>
    <mergeCell ref="HU473:HU475"/>
    <mergeCell ref="HV473:HV475"/>
    <mergeCell ref="HW473:HW475"/>
    <mergeCell ref="HX473:HX475"/>
    <mergeCell ref="HY473:HY475"/>
    <mergeCell ref="HZ473:HZ475"/>
    <mergeCell ref="HI473:HI475"/>
    <mergeCell ref="HJ473:HJ475"/>
    <mergeCell ref="HK473:HK475"/>
    <mergeCell ref="HL473:HL475"/>
    <mergeCell ref="HM473:HM475"/>
    <mergeCell ref="HN473:HN475"/>
    <mergeCell ref="R476:R478"/>
    <mergeCell ref="S476:S478"/>
    <mergeCell ref="T476:T478"/>
    <mergeCell ref="U476:U478"/>
    <mergeCell ref="V476:V478"/>
    <mergeCell ref="W476:W478"/>
    <mergeCell ref="X476:X478"/>
    <mergeCell ref="Y476:Y478"/>
    <mergeCell ref="Z476:Z478"/>
    <mergeCell ref="IJ473:IJ475"/>
    <mergeCell ref="IK473:IK475"/>
    <mergeCell ref="IL473:IL475"/>
    <mergeCell ref="IM473:IM475"/>
    <mergeCell ref="IN473:IN475"/>
    <mergeCell ref="IO473:IO475"/>
    <mergeCell ref="IP473:IP475"/>
    <mergeCell ref="IQ473:IQ475"/>
    <mergeCell ref="IB473:IB475"/>
    <mergeCell ref="IC473:IC475"/>
    <mergeCell ref="ID473:ID475"/>
    <mergeCell ref="IE473:IE475"/>
    <mergeCell ref="IF473:IF475"/>
    <mergeCell ref="IG473:IG475"/>
    <mergeCell ref="IH473:IH475"/>
    <mergeCell ref="II473:II475"/>
    <mergeCell ref="HO473:HO475"/>
    <mergeCell ref="HP473:HP475"/>
    <mergeCell ref="HQ473:HQ475"/>
    <mergeCell ref="GZ473:GZ475"/>
    <mergeCell ref="HA473:HA475"/>
    <mergeCell ref="HB473:HB475"/>
    <mergeCell ref="HC473:HC475"/>
    <mergeCell ref="FY473:FY475"/>
    <mergeCell ref="FZ473:FZ475"/>
    <mergeCell ref="GA473:GA475"/>
    <mergeCell ref="GB473:GB475"/>
    <mergeCell ref="GC473:GC475"/>
    <mergeCell ref="GD473:GD475"/>
    <mergeCell ref="GE473:GE475"/>
    <mergeCell ref="GF473:GF475"/>
    <mergeCell ref="GG473:GG475"/>
    <mergeCell ref="FP473:FP475"/>
    <mergeCell ref="FQ473:FQ475"/>
    <mergeCell ref="FR473:FR475"/>
    <mergeCell ref="FS473:FS475"/>
    <mergeCell ref="FT473:FT475"/>
    <mergeCell ref="FU473:FU475"/>
    <mergeCell ref="FV473:FV475"/>
    <mergeCell ref="FW473:FW475"/>
    <mergeCell ref="FX473:FX475"/>
    <mergeCell ref="HD473:HD475"/>
    <mergeCell ref="HE473:HE475"/>
    <mergeCell ref="HF473:HF475"/>
    <mergeCell ref="HG473:HG475"/>
    <mergeCell ref="HH473:HH475"/>
    <mergeCell ref="GQ473:GQ475"/>
    <mergeCell ref="GR473:GR475"/>
    <mergeCell ref="GS473:GS475"/>
    <mergeCell ref="GT473:GT475"/>
    <mergeCell ref="GU473:GU475"/>
    <mergeCell ref="GV473:GV475"/>
    <mergeCell ref="GW473:GW475"/>
    <mergeCell ref="GX473:GX475"/>
    <mergeCell ref="GY473:GY475"/>
    <mergeCell ref="GH473:GH475"/>
    <mergeCell ref="GI473:GI475"/>
    <mergeCell ref="GJ473:GJ475"/>
    <mergeCell ref="GK473:GK475"/>
    <mergeCell ref="GL473:GL475"/>
    <mergeCell ref="GM473:GM475"/>
    <mergeCell ref="GN473:GN475"/>
    <mergeCell ref="GO473:GO475"/>
    <mergeCell ref="GP473:GP475"/>
    <mergeCell ref="EO473:EO475"/>
    <mergeCell ref="EP473:EP475"/>
    <mergeCell ref="EQ473:EQ475"/>
    <mergeCell ref="ER473:ER475"/>
    <mergeCell ref="ES473:ES475"/>
    <mergeCell ref="ET473:ET475"/>
    <mergeCell ref="EU473:EU475"/>
    <mergeCell ref="EV473:EV475"/>
    <mergeCell ref="EW473:EW475"/>
    <mergeCell ref="EF473:EF475"/>
    <mergeCell ref="EG473:EG475"/>
    <mergeCell ref="EH473:EH475"/>
    <mergeCell ref="EI473:EI475"/>
    <mergeCell ref="EJ473:EJ475"/>
    <mergeCell ref="EK473:EK475"/>
    <mergeCell ref="EL473:EL475"/>
    <mergeCell ref="EM473:EM475"/>
    <mergeCell ref="EN473:EN475"/>
    <mergeCell ref="FG473:FG475"/>
    <mergeCell ref="FH473:FH475"/>
    <mergeCell ref="FI473:FI475"/>
    <mergeCell ref="FJ473:FJ475"/>
    <mergeCell ref="FK473:FK475"/>
    <mergeCell ref="FL473:FL475"/>
    <mergeCell ref="FM473:FM475"/>
    <mergeCell ref="FN473:FN475"/>
    <mergeCell ref="FO473:FO475"/>
    <mergeCell ref="EX473:EX475"/>
    <mergeCell ref="EY473:EY475"/>
    <mergeCell ref="EZ473:EZ475"/>
    <mergeCell ref="FA473:FA475"/>
    <mergeCell ref="FB473:FB475"/>
    <mergeCell ref="FC473:FC475"/>
    <mergeCell ref="FD473:FD475"/>
    <mergeCell ref="FE473:FE475"/>
    <mergeCell ref="FF473:FF475"/>
    <mergeCell ref="DE473:DE475"/>
    <mergeCell ref="DF473:DF475"/>
    <mergeCell ref="DG473:DG475"/>
    <mergeCell ref="DH473:DH475"/>
    <mergeCell ref="DI473:DI475"/>
    <mergeCell ref="DJ473:DJ475"/>
    <mergeCell ref="DK473:DK475"/>
    <mergeCell ref="DL473:DL475"/>
    <mergeCell ref="DM473:DM475"/>
    <mergeCell ref="CV473:CV475"/>
    <mergeCell ref="CW473:CW475"/>
    <mergeCell ref="CX473:CX475"/>
    <mergeCell ref="CY473:CY475"/>
    <mergeCell ref="CZ473:CZ475"/>
    <mergeCell ref="DA473:DA475"/>
    <mergeCell ref="DB473:DB475"/>
    <mergeCell ref="DC473:DC475"/>
    <mergeCell ref="DD473:DD475"/>
    <mergeCell ref="DW473:DW475"/>
    <mergeCell ref="DX473:DX475"/>
    <mergeCell ref="DY473:DY475"/>
    <mergeCell ref="DZ473:DZ475"/>
    <mergeCell ref="EA473:EA475"/>
    <mergeCell ref="EB473:EB475"/>
    <mergeCell ref="EC473:EC475"/>
    <mergeCell ref="ED473:ED475"/>
    <mergeCell ref="EE473:EE475"/>
    <mergeCell ref="DN473:DN475"/>
    <mergeCell ref="DO473:DO475"/>
    <mergeCell ref="DP473:DP475"/>
    <mergeCell ref="DQ473:DQ475"/>
    <mergeCell ref="DR473:DR475"/>
    <mergeCell ref="DS473:DS475"/>
    <mergeCell ref="DT473:DT475"/>
    <mergeCell ref="DU473:DU475"/>
    <mergeCell ref="DV473:DV475"/>
    <mergeCell ref="AU473:AU475"/>
    <mergeCell ref="AV473:AV475"/>
    <mergeCell ref="AW473:AW475"/>
    <mergeCell ref="AX473:AX475"/>
    <mergeCell ref="AY473:AY475"/>
    <mergeCell ref="AZ473:AZ475"/>
    <mergeCell ref="BA473:BA475"/>
    <mergeCell ref="BB473:BB475"/>
    <mergeCell ref="AK473:AK475"/>
    <mergeCell ref="AL473:AL475"/>
    <mergeCell ref="AM473:AM475"/>
    <mergeCell ref="AN473:AN475"/>
    <mergeCell ref="AO473:AO475"/>
    <mergeCell ref="AP473:AP475"/>
    <mergeCell ref="CU473:CU475"/>
    <mergeCell ref="CD473:CD475"/>
    <mergeCell ref="CE473:CE475"/>
    <mergeCell ref="CF473:CF475"/>
    <mergeCell ref="CG473:CG475"/>
    <mergeCell ref="CH473:CH475"/>
    <mergeCell ref="CI473:CI475"/>
    <mergeCell ref="CJ473:CJ475"/>
    <mergeCell ref="CK473:CK475"/>
    <mergeCell ref="CL473:CL475"/>
    <mergeCell ref="BU473:BU475"/>
    <mergeCell ref="BV473:BV475"/>
    <mergeCell ref="BW473:BW475"/>
    <mergeCell ref="BX473:BX475"/>
    <mergeCell ref="BY473:BY475"/>
    <mergeCell ref="BZ473:BZ475"/>
    <mergeCell ref="CA473:CA475"/>
    <mergeCell ref="CB473:CB475"/>
    <mergeCell ref="CM473:CM475"/>
    <mergeCell ref="CN473:CN475"/>
    <mergeCell ref="CO473:CO475"/>
    <mergeCell ref="CP473:CP475"/>
    <mergeCell ref="CQ473:CQ475"/>
    <mergeCell ref="CR473:CR475"/>
    <mergeCell ref="CS473:CS475"/>
    <mergeCell ref="CT473:CT475"/>
    <mergeCell ref="BL473:BL475"/>
    <mergeCell ref="BM473:BM475"/>
    <mergeCell ref="BN473:BN475"/>
    <mergeCell ref="BO473:BO475"/>
    <mergeCell ref="BP473:BP475"/>
    <mergeCell ref="BQ473:BQ475"/>
    <mergeCell ref="BR473:BR475"/>
    <mergeCell ref="BS473:BS475"/>
    <mergeCell ref="BT473:BT475"/>
    <mergeCell ref="CC473:CC475"/>
    <mergeCell ref="AQ473:AQ475"/>
    <mergeCell ref="AR473:AR475"/>
    <mergeCell ref="AS473:AS475"/>
    <mergeCell ref="A473:A475"/>
    <mergeCell ref="B473:B475"/>
    <mergeCell ref="C473:C475"/>
    <mergeCell ref="D473:D475"/>
    <mergeCell ref="E473:E475"/>
    <mergeCell ref="G473:G475"/>
    <mergeCell ref="H473:H475"/>
    <mergeCell ref="I473:I475"/>
    <mergeCell ref="J473:J475"/>
    <mergeCell ref="K473:K475"/>
    <mergeCell ref="L473:L475"/>
    <mergeCell ref="M473:M475"/>
    <mergeCell ref="N473:N475"/>
    <mergeCell ref="O473:O475"/>
    <mergeCell ref="P473:P475"/>
    <mergeCell ref="Q473:Q475"/>
    <mergeCell ref="R473:R475"/>
    <mergeCell ref="AB473:AB475"/>
    <mergeCell ref="AC473:AC475"/>
    <mergeCell ref="AD473:AD475"/>
    <mergeCell ref="AE473:AE475"/>
    <mergeCell ref="AF473:AF475"/>
    <mergeCell ref="AG473:AG475"/>
    <mergeCell ref="AH473:AH475"/>
    <mergeCell ref="AI473:AI475"/>
    <mergeCell ref="AJ473:AJ475"/>
    <mergeCell ref="FX468:FX470"/>
    <mergeCell ref="FY468:FY470"/>
    <mergeCell ref="FZ468:FZ470"/>
    <mergeCell ref="GA468:GA470"/>
    <mergeCell ref="GB468:GB470"/>
    <mergeCell ref="GC468:GC470"/>
    <mergeCell ref="GD468:GD470"/>
    <mergeCell ref="GE468:GE470"/>
    <mergeCell ref="GF468:GF470"/>
    <mergeCell ref="FO468:FO470"/>
    <mergeCell ref="FP468:FP470"/>
    <mergeCell ref="FQ468:FQ470"/>
    <mergeCell ref="FR468:FR470"/>
    <mergeCell ref="S473:S475"/>
    <mergeCell ref="T473:T475"/>
    <mergeCell ref="U473:U475"/>
    <mergeCell ref="V473:V475"/>
    <mergeCell ref="W473:W475"/>
    <mergeCell ref="X473:X475"/>
    <mergeCell ref="Y473:Y475"/>
    <mergeCell ref="Z473:Z475"/>
    <mergeCell ref="AA473:AA475"/>
    <mergeCell ref="BC473:BC475"/>
    <mergeCell ref="BD473:BD475"/>
    <mergeCell ref="BE473:BE475"/>
    <mergeCell ref="BF473:BF475"/>
    <mergeCell ref="BG473:BG475"/>
    <mergeCell ref="BH473:BH475"/>
    <mergeCell ref="BI473:BI475"/>
    <mergeCell ref="BJ473:BJ475"/>
    <mergeCell ref="BK473:BK475"/>
    <mergeCell ref="AT473:AT475"/>
    <mergeCell ref="GP468:GP470"/>
    <mergeCell ref="GQ468:GQ470"/>
    <mergeCell ref="GR468:GR470"/>
    <mergeCell ref="GS468:GS470"/>
    <mergeCell ref="GT468:GT470"/>
    <mergeCell ref="GU468:GU470"/>
    <mergeCell ref="GV468:GV470"/>
    <mergeCell ref="GW468:GW470"/>
    <mergeCell ref="GX468:GX470"/>
    <mergeCell ref="GG468:GG470"/>
    <mergeCell ref="GH468:GH470"/>
    <mergeCell ref="GI468:GI470"/>
    <mergeCell ref="GJ468:GJ470"/>
    <mergeCell ref="GK468:GK470"/>
    <mergeCell ref="GL468:GL470"/>
    <mergeCell ref="GM468:GM470"/>
    <mergeCell ref="GN468:GN470"/>
    <mergeCell ref="GO468:GO470"/>
    <mergeCell ref="HH468:HH470"/>
    <mergeCell ref="HI468:HI470"/>
    <mergeCell ref="HJ468:HJ470"/>
    <mergeCell ref="HK468:HK470"/>
    <mergeCell ref="HL468:HL470"/>
    <mergeCell ref="HM468:HM470"/>
    <mergeCell ref="HN468:HN470"/>
    <mergeCell ref="HO468:HO470"/>
    <mergeCell ref="HP468:HP470"/>
    <mergeCell ref="GY468:GY470"/>
    <mergeCell ref="GZ468:GZ470"/>
    <mergeCell ref="HA468:HA470"/>
    <mergeCell ref="HB468:HB470"/>
    <mergeCell ref="HC468:HC470"/>
    <mergeCell ref="HD468:HD470"/>
    <mergeCell ref="HE468:HE470"/>
    <mergeCell ref="HF468:HF470"/>
    <mergeCell ref="HG468:HG470"/>
    <mergeCell ref="IO468:IO470"/>
    <mergeCell ref="IP468:IP470"/>
    <mergeCell ref="IQ468:IQ470"/>
    <mergeCell ref="HZ468:HZ470"/>
    <mergeCell ref="IA468:IA470"/>
    <mergeCell ref="IB468:IB470"/>
    <mergeCell ref="IC468:IC470"/>
    <mergeCell ref="ID468:ID470"/>
    <mergeCell ref="IE468:IE470"/>
    <mergeCell ref="IF468:IF470"/>
    <mergeCell ref="IG468:IG470"/>
    <mergeCell ref="IH468:IH470"/>
    <mergeCell ref="HQ468:HQ470"/>
    <mergeCell ref="HR468:HR470"/>
    <mergeCell ref="HS468:HS470"/>
    <mergeCell ref="HT468:HT470"/>
    <mergeCell ref="HU468:HU470"/>
    <mergeCell ref="HV468:HV470"/>
    <mergeCell ref="HW468:HW470"/>
    <mergeCell ref="HX468:HX470"/>
    <mergeCell ref="HY468:HY470"/>
    <mergeCell ref="II468:II470"/>
    <mergeCell ref="IJ468:IJ470"/>
    <mergeCell ref="IK468:IK470"/>
    <mergeCell ref="IL468:IL470"/>
    <mergeCell ref="IM468:IM470"/>
    <mergeCell ref="IN468:IN470"/>
    <mergeCell ref="EN468:EN470"/>
    <mergeCell ref="EO468:EO470"/>
    <mergeCell ref="EP468:EP470"/>
    <mergeCell ref="EQ468:EQ470"/>
    <mergeCell ref="ER468:ER470"/>
    <mergeCell ref="ES468:ES470"/>
    <mergeCell ref="ET468:ET470"/>
    <mergeCell ref="EU468:EU470"/>
    <mergeCell ref="EV468:EV470"/>
    <mergeCell ref="EE468:EE470"/>
    <mergeCell ref="EF468:EF470"/>
    <mergeCell ref="EG468:EG470"/>
    <mergeCell ref="EH468:EH470"/>
    <mergeCell ref="EI468:EI470"/>
    <mergeCell ref="EJ468:EJ470"/>
    <mergeCell ref="EK468:EK470"/>
    <mergeCell ref="EL468:EL470"/>
    <mergeCell ref="EM468:EM470"/>
    <mergeCell ref="FS468:FS470"/>
    <mergeCell ref="FT468:FT470"/>
    <mergeCell ref="FU468:FU470"/>
    <mergeCell ref="FV468:FV470"/>
    <mergeCell ref="FW468:FW470"/>
    <mergeCell ref="FF468:FF470"/>
    <mergeCell ref="FG468:FG470"/>
    <mergeCell ref="FH468:FH470"/>
    <mergeCell ref="FI468:FI470"/>
    <mergeCell ref="FJ468:FJ470"/>
    <mergeCell ref="FK468:FK470"/>
    <mergeCell ref="FL468:FL470"/>
    <mergeCell ref="FM468:FM470"/>
    <mergeCell ref="FN468:FN470"/>
    <mergeCell ref="EW468:EW470"/>
    <mergeCell ref="EX468:EX470"/>
    <mergeCell ref="EY468:EY470"/>
    <mergeCell ref="EZ468:EZ470"/>
    <mergeCell ref="FA468:FA470"/>
    <mergeCell ref="FB468:FB470"/>
    <mergeCell ref="FC468:FC470"/>
    <mergeCell ref="FD468:FD470"/>
    <mergeCell ref="FE468:FE470"/>
    <mergeCell ref="DD468:DD470"/>
    <mergeCell ref="DE468:DE470"/>
    <mergeCell ref="DF468:DF470"/>
    <mergeCell ref="DG468:DG470"/>
    <mergeCell ref="DH468:DH470"/>
    <mergeCell ref="DI468:DI470"/>
    <mergeCell ref="DJ468:DJ470"/>
    <mergeCell ref="DK468:DK470"/>
    <mergeCell ref="DL468:DL470"/>
    <mergeCell ref="CU468:CU470"/>
    <mergeCell ref="CV468:CV470"/>
    <mergeCell ref="CW468:CW470"/>
    <mergeCell ref="CX468:CX470"/>
    <mergeCell ref="CY468:CY470"/>
    <mergeCell ref="CZ468:CZ470"/>
    <mergeCell ref="DA468:DA470"/>
    <mergeCell ref="DB468:DB470"/>
    <mergeCell ref="DC468:DC470"/>
    <mergeCell ref="DV468:DV470"/>
    <mergeCell ref="DW468:DW470"/>
    <mergeCell ref="DX468:DX470"/>
    <mergeCell ref="DY468:DY470"/>
    <mergeCell ref="DZ468:DZ470"/>
    <mergeCell ref="EA468:EA470"/>
    <mergeCell ref="EB468:EB470"/>
    <mergeCell ref="EC468:EC470"/>
    <mergeCell ref="ED468:ED470"/>
    <mergeCell ref="DM468:DM470"/>
    <mergeCell ref="DN468:DN470"/>
    <mergeCell ref="DO468:DO470"/>
    <mergeCell ref="DP468:DP470"/>
    <mergeCell ref="DQ468:DQ470"/>
    <mergeCell ref="DR468:DR470"/>
    <mergeCell ref="DS468:DS470"/>
    <mergeCell ref="DT468:DT470"/>
    <mergeCell ref="DU468:DU470"/>
    <mergeCell ref="BT468:BT470"/>
    <mergeCell ref="BU468:BU470"/>
    <mergeCell ref="BV468:BV470"/>
    <mergeCell ref="BW468:BW470"/>
    <mergeCell ref="BX468:BX470"/>
    <mergeCell ref="BY468:BY470"/>
    <mergeCell ref="BZ468:BZ470"/>
    <mergeCell ref="CA468:CA470"/>
    <mergeCell ref="CB468:CB470"/>
    <mergeCell ref="BK468:BK470"/>
    <mergeCell ref="BL468:BL470"/>
    <mergeCell ref="BM468:BM470"/>
    <mergeCell ref="BN468:BN470"/>
    <mergeCell ref="BO468:BO470"/>
    <mergeCell ref="BP468:BP470"/>
    <mergeCell ref="BQ468:BQ470"/>
    <mergeCell ref="BR468:BR470"/>
    <mergeCell ref="BS468:BS470"/>
    <mergeCell ref="CL468:CL470"/>
    <mergeCell ref="CM468:CM470"/>
    <mergeCell ref="CN468:CN470"/>
    <mergeCell ref="CO468:CO470"/>
    <mergeCell ref="CP468:CP470"/>
    <mergeCell ref="CQ468:CQ470"/>
    <mergeCell ref="CR468:CR470"/>
    <mergeCell ref="CS468:CS470"/>
    <mergeCell ref="CT468:CT470"/>
    <mergeCell ref="CC468:CC470"/>
    <mergeCell ref="CD468:CD470"/>
    <mergeCell ref="CE468:CE470"/>
    <mergeCell ref="CF468:CF470"/>
    <mergeCell ref="CG468:CG470"/>
    <mergeCell ref="CH468:CH470"/>
    <mergeCell ref="CI468:CI470"/>
    <mergeCell ref="CJ468:CJ470"/>
    <mergeCell ref="CK468:CK470"/>
    <mergeCell ref="AJ468:AJ470"/>
    <mergeCell ref="AK468:AK470"/>
    <mergeCell ref="AL468:AL470"/>
    <mergeCell ref="AM468:AM470"/>
    <mergeCell ref="AN468:AN470"/>
    <mergeCell ref="AO468:AO470"/>
    <mergeCell ref="AP468:AP470"/>
    <mergeCell ref="AQ468:AQ470"/>
    <mergeCell ref="AR468:AR470"/>
    <mergeCell ref="AA468:AA470"/>
    <mergeCell ref="AB468:AB470"/>
    <mergeCell ref="AC468:AC470"/>
    <mergeCell ref="AD468:AD470"/>
    <mergeCell ref="AE468:AE470"/>
    <mergeCell ref="AF468:AF470"/>
    <mergeCell ref="AG468:AG470"/>
    <mergeCell ref="AH468:AH470"/>
    <mergeCell ref="AI468:AI470"/>
    <mergeCell ref="BB468:BB470"/>
    <mergeCell ref="BC468:BC470"/>
    <mergeCell ref="BD468:BD470"/>
    <mergeCell ref="BE468:BE470"/>
    <mergeCell ref="BF468:BF470"/>
    <mergeCell ref="BG468:BG470"/>
    <mergeCell ref="BH468:BH470"/>
    <mergeCell ref="BI468:BI470"/>
    <mergeCell ref="BJ468:BJ470"/>
    <mergeCell ref="AS468:AS470"/>
    <mergeCell ref="AT468:AT470"/>
    <mergeCell ref="AU468:AU470"/>
    <mergeCell ref="AV468:AV470"/>
    <mergeCell ref="AW468:AW470"/>
    <mergeCell ref="AX468:AX470"/>
    <mergeCell ref="AY468:AY470"/>
    <mergeCell ref="AZ468:AZ470"/>
    <mergeCell ref="BA468:BA470"/>
    <mergeCell ref="G468:G470"/>
    <mergeCell ref="H468:H470"/>
    <mergeCell ref="I468:I470"/>
    <mergeCell ref="J468:J470"/>
    <mergeCell ref="K468:K470"/>
    <mergeCell ref="L468:L470"/>
    <mergeCell ref="M468:M470"/>
    <mergeCell ref="N468:N470"/>
    <mergeCell ref="O468:O470"/>
    <mergeCell ref="P468:P470"/>
    <mergeCell ref="Q468:Q470"/>
    <mergeCell ref="IA465:IA467"/>
    <mergeCell ref="HR465:HR467"/>
    <mergeCell ref="HS465:HS467"/>
    <mergeCell ref="HT465:HT467"/>
    <mergeCell ref="HU465:HU467"/>
    <mergeCell ref="HV465:HV467"/>
    <mergeCell ref="HW465:HW467"/>
    <mergeCell ref="HX465:HX467"/>
    <mergeCell ref="HY465:HY467"/>
    <mergeCell ref="HZ465:HZ467"/>
    <mergeCell ref="HI465:HI467"/>
    <mergeCell ref="HJ465:HJ467"/>
    <mergeCell ref="HK465:HK467"/>
    <mergeCell ref="HL465:HL467"/>
    <mergeCell ref="HM465:HM467"/>
    <mergeCell ref="HN465:HN467"/>
    <mergeCell ref="R468:R470"/>
    <mergeCell ref="S468:S470"/>
    <mergeCell ref="T468:T470"/>
    <mergeCell ref="U468:U470"/>
    <mergeCell ref="V468:V470"/>
    <mergeCell ref="W468:W470"/>
    <mergeCell ref="X468:X470"/>
    <mergeCell ref="Y468:Y470"/>
    <mergeCell ref="Z468:Z470"/>
    <mergeCell ref="IJ465:IJ467"/>
    <mergeCell ref="IK465:IK467"/>
    <mergeCell ref="IL465:IL467"/>
    <mergeCell ref="IM465:IM467"/>
    <mergeCell ref="IN465:IN467"/>
    <mergeCell ref="IO465:IO467"/>
    <mergeCell ref="IP465:IP467"/>
    <mergeCell ref="IQ465:IQ467"/>
    <mergeCell ref="IB465:IB467"/>
    <mergeCell ref="IC465:IC467"/>
    <mergeCell ref="ID465:ID467"/>
    <mergeCell ref="IE465:IE467"/>
    <mergeCell ref="IF465:IF467"/>
    <mergeCell ref="IG465:IG467"/>
    <mergeCell ref="IH465:IH467"/>
    <mergeCell ref="II465:II467"/>
    <mergeCell ref="HO465:HO467"/>
    <mergeCell ref="HP465:HP467"/>
    <mergeCell ref="HQ465:HQ467"/>
    <mergeCell ref="GZ465:GZ467"/>
    <mergeCell ref="HA465:HA467"/>
    <mergeCell ref="HB465:HB467"/>
    <mergeCell ref="HC465:HC467"/>
    <mergeCell ref="FY465:FY467"/>
    <mergeCell ref="FZ465:FZ467"/>
    <mergeCell ref="GA465:GA467"/>
    <mergeCell ref="GB465:GB467"/>
    <mergeCell ref="GC465:GC467"/>
    <mergeCell ref="GD465:GD467"/>
    <mergeCell ref="GE465:GE467"/>
    <mergeCell ref="GF465:GF467"/>
    <mergeCell ref="GG465:GG467"/>
    <mergeCell ref="FP465:FP467"/>
    <mergeCell ref="FQ465:FQ467"/>
    <mergeCell ref="FR465:FR467"/>
    <mergeCell ref="FS465:FS467"/>
    <mergeCell ref="FT465:FT467"/>
    <mergeCell ref="FU465:FU467"/>
    <mergeCell ref="FV465:FV467"/>
    <mergeCell ref="FW465:FW467"/>
    <mergeCell ref="FX465:FX467"/>
    <mergeCell ref="HD465:HD467"/>
    <mergeCell ref="HE465:HE467"/>
    <mergeCell ref="HF465:HF467"/>
    <mergeCell ref="HG465:HG467"/>
    <mergeCell ref="HH465:HH467"/>
    <mergeCell ref="GQ465:GQ467"/>
    <mergeCell ref="GR465:GR467"/>
    <mergeCell ref="GS465:GS467"/>
    <mergeCell ref="GT465:GT467"/>
    <mergeCell ref="GU465:GU467"/>
    <mergeCell ref="GV465:GV467"/>
    <mergeCell ref="GW465:GW467"/>
    <mergeCell ref="GX465:GX467"/>
    <mergeCell ref="GY465:GY467"/>
    <mergeCell ref="GH465:GH467"/>
    <mergeCell ref="GI465:GI467"/>
    <mergeCell ref="GJ465:GJ467"/>
    <mergeCell ref="GK465:GK467"/>
    <mergeCell ref="GL465:GL467"/>
    <mergeCell ref="GM465:GM467"/>
    <mergeCell ref="GN465:GN467"/>
    <mergeCell ref="GO465:GO467"/>
    <mergeCell ref="GP465:GP467"/>
    <mergeCell ref="EO465:EO467"/>
    <mergeCell ref="EP465:EP467"/>
    <mergeCell ref="EQ465:EQ467"/>
    <mergeCell ref="ER465:ER467"/>
    <mergeCell ref="ES465:ES467"/>
    <mergeCell ref="ET465:ET467"/>
    <mergeCell ref="EU465:EU467"/>
    <mergeCell ref="EV465:EV467"/>
    <mergeCell ref="EW465:EW467"/>
    <mergeCell ref="EF465:EF467"/>
    <mergeCell ref="EG465:EG467"/>
    <mergeCell ref="EH465:EH467"/>
    <mergeCell ref="EI465:EI467"/>
    <mergeCell ref="EJ465:EJ467"/>
    <mergeCell ref="EK465:EK467"/>
    <mergeCell ref="EL465:EL467"/>
    <mergeCell ref="EM465:EM467"/>
    <mergeCell ref="EN465:EN467"/>
    <mergeCell ref="FG465:FG467"/>
    <mergeCell ref="FH465:FH467"/>
    <mergeCell ref="FI465:FI467"/>
    <mergeCell ref="FJ465:FJ467"/>
    <mergeCell ref="FK465:FK467"/>
    <mergeCell ref="FL465:FL467"/>
    <mergeCell ref="FM465:FM467"/>
    <mergeCell ref="FN465:FN467"/>
    <mergeCell ref="FO465:FO467"/>
    <mergeCell ref="EX465:EX467"/>
    <mergeCell ref="EY465:EY467"/>
    <mergeCell ref="EZ465:EZ467"/>
    <mergeCell ref="FA465:FA467"/>
    <mergeCell ref="FB465:FB467"/>
    <mergeCell ref="FC465:FC467"/>
    <mergeCell ref="FD465:FD467"/>
    <mergeCell ref="FE465:FE467"/>
    <mergeCell ref="FF465:FF467"/>
    <mergeCell ref="DE465:DE467"/>
    <mergeCell ref="DF465:DF467"/>
    <mergeCell ref="DG465:DG467"/>
    <mergeCell ref="DH465:DH467"/>
    <mergeCell ref="DI465:DI467"/>
    <mergeCell ref="DJ465:DJ467"/>
    <mergeCell ref="DK465:DK467"/>
    <mergeCell ref="DL465:DL467"/>
    <mergeCell ref="DM465:DM467"/>
    <mergeCell ref="CV465:CV467"/>
    <mergeCell ref="CW465:CW467"/>
    <mergeCell ref="CX465:CX467"/>
    <mergeCell ref="CY465:CY467"/>
    <mergeCell ref="CZ465:CZ467"/>
    <mergeCell ref="DA465:DA467"/>
    <mergeCell ref="DB465:DB467"/>
    <mergeCell ref="DC465:DC467"/>
    <mergeCell ref="DD465:DD467"/>
    <mergeCell ref="DW465:DW467"/>
    <mergeCell ref="DX465:DX467"/>
    <mergeCell ref="DY465:DY467"/>
    <mergeCell ref="DZ465:DZ467"/>
    <mergeCell ref="EA465:EA467"/>
    <mergeCell ref="EB465:EB467"/>
    <mergeCell ref="EC465:EC467"/>
    <mergeCell ref="ED465:ED467"/>
    <mergeCell ref="EE465:EE467"/>
    <mergeCell ref="DN465:DN467"/>
    <mergeCell ref="DO465:DO467"/>
    <mergeCell ref="DP465:DP467"/>
    <mergeCell ref="DQ465:DQ467"/>
    <mergeCell ref="DR465:DR467"/>
    <mergeCell ref="DS465:DS467"/>
    <mergeCell ref="DT465:DT467"/>
    <mergeCell ref="DU465:DU467"/>
    <mergeCell ref="DV465:DV467"/>
    <mergeCell ref="AU465:AU467"/>
    <mergeCell ref="AV465:AV467"/>
    <mergeCell ref="AW465:AW467"/>
    <mergeCell ref="AX465:AX467"/>
    <mergeCell ref="AY465:AY467"/>
    <mergeCell ref="AZ465:AZ467"/>
    <mergeCell ref="BA465:BA467"/>
    <mergeCell ref="BB465:BB467"/>
    <mergeCell ref="AK465:AK467"/>
    <mergeCell ref="AL465:AL467"/>
    <mergeCell ref="AM465:AM467"/>
    <mergeCell ref="AN465:AN467"/>
    <mergeCell ref="AO465:AO467"/>
    <mergeCell ref="AP465:AP467"/>
    <mergeCell ref="CU465:CU467"/>
    <mergeCell ref="CD465:CD467"/>
    <mergeCell ref="CE465:CE467"/>
    <mergeCell ref="CF465:CF467"/>
    <mergeCell ref="CG465:CG467"/>
    <mergeCell ref="CH465:CH467"/>
    <mergeCell ref="CI465:CI467"/>
    <mergeCell ref="CJ465:CJ467"/>
    <mergeCell ref="CK465:CK467"/>
    <mergeCell ref="CL465:CL467"/>
    <mergeCell ref="BU465:BU467"/>
    <mergeCell ref="BV465:BV467"/>
    <mergeCell ref="BW465:BW467"/>
    <mergeCell ref="BX465:BX467"/>
    <mergeCell ref="BY465:BY467"/>
    <mergeCell ref="BZ465:BZ467"/>
    <mergeCell ref="CA465:CA467"/>
    <mergeCell ref="CB465:CB467"/>
    <mergeCell ref="CM465:CM467"/>
    <mergeCell ref="CN465:CN467"/>
    <mergeCell ref="CO465:CO467"/>
    <mergeCell ref="CP465:CP467"/>
    <mergeCell ref="CQ465:CQ467"/>
    <mergeCell ref="CR465:CR467"/>
    <mergeCell ref="CS465:CS467"/>
    <mergeCell ref="CT465:CT467"/>
    <mergeCell ref="BL465:BL467"/>
    <mergeCell ref="BM465:BM467"/>
    <mergeCell ref="BN465:BN467"/>
    <mergeCell ref="BO465:BO467"/>
    <mergeCell ref="BP465:BP467"/>
    <mergeCell ref="BQ465:BQ467"/>
    <mergeCell ref="BR465:BR467"/>
    <mergeCell ref="BS465:BS467"/>
    <mergeCell ref="BT465:BT467"/>
    <mergeCell ref="CC465:CC467"/>
    <mergeCell ref="AQ465:AQ467"/>
    <mergeCell ref="AR465:AR467"/>
    <mergeCell ref="AS465:AS467"/>
    <mergeCell ref="A465:A467"/>
    <mergeCell ref="B465:B467"/>
    <mergeCell ref="C465:C467"/>
    <mergeCell ref="D465:D467"/>
    <mergeCell ref="E465:E467"/>
    <mergeCell ref="G465:G467"/>
    <mergeCell ref="H465:H467"/>
    <mergeCell ref="I465:I467"/>
    <mergeCell ref="J465:J467"/>
    <mergeCell ref="K465:K467"/>
    <mergeCell ref="L465:L467"/>
    <mergeCell ref="M465:M467"/>
    <mergeCell ref="N465:N467"/>
    <mergeCell ref="O465:O467"/>
    <mergeCell ref="P465:P467"/>
    <mergeCell ref="Q465:Q467"/>
    <mergeCell ref="R465:R467"/>
    <mergeCell ref="AB465:AB467"/>
    <mergeCell ref="AC465:AC467"/>
    <mergeCell ref="AD465:AD467"/>
    <mergeCell ref="AE465:AE467"/>
    <mergeCell ref="AF465:AF467"/>
    <mergeCell ref="AG465:AG467"/>
    <mergeCell ref="AH465:AH467"/>
    <mergeCell ref="AI465:AI467"/>
    <mergeCell ref="AJ465:AJ467"/>
    <mergeCell ref="FX460:FX462"/>
    <mergeCell ref="FY460:FY462"/>
    <mergeCell ref="FZ460:FZ462"/>
    <mergeCell ref="GA460:GA462"/>
    <mergeCell ref="GB460:GB462"/>
    <mergeCell ref="GC460:GC462"/>
    <mergeCell ref="GD460:GD462"/>
    <mergeCell ref="GE460:GE462"/>
    <mergeCell ref="GF460:GF462"/>
    <mergeCell ref="FO460:FO462"/>
    <mergeCell ref="FP460:FP462"/>
    <mergeCell ref="FQ460:FQ462"/>
    <mergeCell ref="FR460:FR462"/>
    <mergeCell ref="S465:S467"/>
    <mergeCell ref="T465:T467"/>
    <mergeCell ref="U465:U467"/>
    <mergeCell ref="V465:V467"/>
    <mergeCell ref="W465:W467"/>
    <mergeCell ref="X465:X467"/>
    <mergeCell ref="Y465:Y467"/>
    <mergeCell ref="Z465:Z467"/>
    <mergeCell ref="AA465:AA467"/>
    <mergeCell ref="BC465:BC467"/>
    <mergeCell ref="BD465:BD467"/>
    <mergeCell ref="BE465:BE467"/>
    <mergeCell ref="BF465:BF467"/>
    <mergeCell ref="BG465:BG467"/>
    <mergeCell ref="BH465:BH467"/>
    <mergeCell ref="BI465:BI467"/>
    <mergeCell ref="BJ465:BJ467"/>
    <mergeCell ref="BK465:BK467"/>
    <mergeCell ref="AT465:AT467"/>
    <mergeCell ref="GP460:GP462"/>
    <mergeCell ref="GQ460:GQ462"/>
    <mergeCell ref="GR460:GR462"/>
    <mergeCell ref="GS460:GS462"/>
    <mergeCell ref="GT460:GT462"/>
    <mergeCell ref="GU460:GU462"/>
    <mergeCell ref="GV460:GV462"/>
    <mergeCell ref="GW460:GW462"/>
    <mergeCell ref="GX460:GX462"/>
    <mergeCell ref="GG460:GG462"/>
    <mergeCell ref="GH460:GH462"/>
    <mergeCell ref="GI460:GI462"/>
    <mergeCell ref="GJ460:GJ462"/>
    <mergeCell ref="GK460:GK462"/>
    <mergeCell ref="GL460:GL462"/>
    <mergeCell ref="GM460:GM462"/>
    <mergeCell ref="GN460:GN462"/>
    <mergeCell ref="GO460:GO462"/>
    <mergeCell ref="HH460:HH462"/>
    <mergeCell ref="HI460:HI462"/>
    <mergeCell ref="HJ460:HJ462"/>
    <mergeCell ref="HK460:HK462"/>
    <mergeCell ref="HL460:HL462"/>
    <mergeCell ref="HM460:HM462"/>
    <mergeCell ref="HN460:HN462"/>
    <mergeCell ref="HO460:HO462"/>
    <mergeCell ref="HP460:HP462"/>
    <mergeCell ref="GY460:GY462"/>
    <mergeCell ref="GZ460:GZ462"/>
    <mergeCell ref="HA460:HA462"/>
    <mergeCell ref="HB460:HB462"/>
    <mergeCell ref="HC460:HC462"/>
    <mergeCell ref="HD460:HD462"/>
    <mergeCell ref="HE460:HE462"/>
    <mergeCell ref="HF460:HF462"/>
    <mergeCell ref="HG460:HG462"/>
    <mergeCell ref="IO460:IO462"/>
    <mergeCell ref="IP460:IP462"/>
    <mergeCell ref="IQ460:IQ462"/>
    <mergeCell ref="HZ460:HZ462"/>
    <mergeCell ref="IA460:IA462"/>
    <mergeCell ref="IB460:IB462"/>
    <mergeCell ref="IC460:IC462"/>
    <mergeCell ref="ID460:ID462"/>
    <mergeCell ref="IE460:IE462"/>
    <mergeCell ref="IF460:IF462"/>
    <mergeCell ref="IG460:IG462"/>
    <mergeCell ref="IH460:IH462"/>
    <mergeCell ref="HQ460:HQ462"/>
    <mergeCell ref="HR460:HR462"/>
    <mergeCell ref="HS460:HS462"/>
    <mergeCell ref="HT460:HT462"/>
    <mergeCell ref="HU460:HU462"/>
    <mergeCell ref="HV460:HV462"/>
    <mergeCell ref="HW460:HW462"/>
    <mergeCell ref="HX460:HX462"/>
    <mergeCell ref="HY460:HY462"/>
    <mergeCell ref="II460:II462"/>
    <mergeCell ref="IJ460:IJ462"/>
    <mergeCell ref="IK460:IK462"/>
    <mergeCell ref="IL460:IL462"/>
    <mergeCell ref="IM460:IM462"/>
    <mergeCell ref="IN460:IN462"/>
    <mergeCell ref="EN460:EN462"/>
    <mergeCell ref="EO460:EO462"/>
    <mergeCell ref="EP460:EP462"/>
    <mergeCell ref="EQ460:EQ462"/>
    <mergeCell ref="ER460:ER462"/>
    <mergeCell ref="ES460:ES462"/>
    <mergeCell ref="ET460:ET462"/>
    <mergeCell ref="EU460:EU462"/>
    <mergeCell ref="EV460:EV462"/>
    <mergeCell ref="EE460:EE462"/>
    <mergeCell ref="EF460:EF462"/>
    <mergeCell ref="EG460:EG462"/>
    <mergeCell ref="EH460:EH462"/>
    <mergeCell ref="EI460:EI462"/>
    <mergeCell ref="EJ460:EJ462"/>
    <mergeCell ref="EK460:EK462"/>
    <mergeCell ref="EL460:EL462"/>
    <mergeCell ref="EM460:EM462"/>
    <mergeCell ref="FS460:FS462"/>
    <mergeCell ref="FT460:FT462"/>
    <mergeCell ref="FU460:FU462"/>
    <mergeCell ref="FV460:FV462"/>
    <mergeCell ref="FW460:FW462"/>
    <mergeCell ref="FF460:FF462"/>
    <mergeCell ref="FG460:FG462"/>
    <mergeCell ref="FH460:FH462"/>
    <mergeCell ref="FI460:FI462"/>
    <mergeCell ref="FJ460:FJ462"/>
    <mergeCell ref="FK460:FK462"/>
    <mergeCell ref="FL460:FL462"/>
    <mergeCell ref="FM460:FM462"/>
    <mergeCell ref="FN460:FN462"/>
    <mergeCell ref="EW460:EW462"/>
    <mergeCell ref="EX460:EX462"/>
    <mergeCell ref="EY460:EY462"/>
    <mergeCell ref="EZ460:EZ462"/>
    <mergeCell ref="FA460:FA462"/>
    <mergeCell ref="FB460:FB462"/>
    <mergeCell ref="FC460:FC462"/>
    <mergeCell ref="FD460:FD462"/>
    <mergeCell ref="FE460:FE462"/>
    <mergeCell ref="DD460:DD462"/>
    <mergeCell ref="DE460:DE462"/>
    <mergeCell ref="DF460:DF462"/>
    <mergeCell ref="DG460:DG462"/>
    <mergeCell ref="DH460:DH462"/>
    <mergeCell ref="DI460:DI462"/>
    <mergeCell ref="DJ460:DJ462"/>
    <mergeCell ref="DK460:DK462"/>
    <mergeCell ref="DL460:DL462"/>
    <mergeCell ref="CU460:CU462"/>
    <mergeCell ref="CV460:CV462"/>
    <mergeCell ref="CW460:CW462"/>
    <mergeCell ref="CX460:CX462"/>
    <mergeCell ref="CY460:CY462"/>
    <mergeCell ref="CZ460:CZ462"/>
    <mergeCell ref="DA460:DA462"/>
    <mergeCell ref="DB460:DB462"/>
    <mergeCell ref="DC460:DC462"/>
    <mergeCell ref="DV460:DV462"/>
    <mergeCell ref="DW460:DW462"/>
    <mergeCell ref="DX460:DX462"/>
    <mergeCell ref="DY460:DY462"/>
    <mergeCell ref="DZ460:DZ462"/>
    <mergeCell ref="EA460:EA462"/>
    <mergeCell ref="EB460:EB462"/>
    <mergeCell ref="EC460:EC462"/>
    <mergeCell ref="ED460:ED462"/>
    <mergeCell ref="DM460:DM462"/>
    <mergeCell ref="DN460:DN462"/>
    <mergeCell ref="DO460:DO462"/>
    <mergeCell ref="DP460:DP462"/>
    <mergeCell ref="DQ460:DQ462"/>
    <mergeCell ref="DR460:DR462"/>
    <mergeCell ref="DS460:DS462"/>
    <mergeCell ref="DT460:DT462"/>
    <mergeCell ref="DU460:DU462"/>
    <mergeCell ref="BT460:BT462"/>
    <mergeCell ref="BU460:BU462"/>
    <mergeCell ref="BV460:BV462"/>
    <mergeCell ref="BW460:BW462"/>
    <mergeCell ref="BX460:BX462"/>
    <mergeCell ref="BY460:BY462"/>
    <mergeCell ref="BZ460:BZ462"/>
    <mergeCell ref="CA460:CA462"/>
    <mergeCell ref="CB460:CB462"/>
    <mergeCell ref="BK460:BK462"/>
    <mergeCell ref="BL460:BL462"/>
    <mergeCell ref="BM460:BM462"/>
    <mergeCell ref="BN460:BN462"/>
    <mergeCell ref="BO460:BO462"/>
    <mergeCell ref="BP460:BP462"/>
    <mergeCell ref="BQ460:BQ462"/>
    <mergeCell ref="BR460:BR462"/>
    <mergeCell ref="BS460:BS462"/>
    <mergeCell ref="CL460:CL462"/>
    <mergeCell ref="CM460:CM462"/>
    <mergeCell ref="CN460:CN462"/>
    <mergeCell ref="CO460:CO462"/>
    <mergeCell ref="CP460:CP462"/>
    <mergeCell ref="CQ460:CQ462"/>
    <mergeCell ref="CR460:CR462"/>
    <mergeCell ref="CS460:CS462"/>
    <mergeCell ref="CT460:CT462"/>
    <mergeCell ref="CC460:CC462"/>
    <mergeCell ref="CD460:CD462"/>
    <mergeCell ref="CE460:CE462"/>
    <mergeCell ref="CF460:CF462"/>
    <mergeCell ref="CG460:CG462"/>
    <mergeCell ref="CH460:CH462"/>
    <mergeCell ref="CI460:CI462"/>
    <mergeCell ref="CJ460:CJ462"/>
    <mergeCell ref="CK460:CK462"/>
    <mergeCell ref="AJ460:AJ462"/>
    <mergeCell ref="AK460:AK462"/>
    <mergeCell ref="AL460:AL462"/>
    <mergeCell ref="AM460:AM462"/>
    <mergeCell ref="AN460:AN462"/>
    <mergeCell ref="AO460:AO462"/>
    <mergeCell ref="AP460:AP462"/>
    <mergeCell ref="AQ460:AQ462"/>
    <mergeCell ref="AR460:AR462"/>
    <mergeCell ref="AA460:AA462"/>
    <mergeCell ref="AB460:AB462"/>
    <mergeCell ref="AC460:AC462"/>
    <mergeCell ref="AD460:AD462"/>
    <mergeCell ref="AE460:AE462"/>
    <mergeCell ref="AF460:AF462"/>
    <mergeCell ref="AG460:AG462"/>
    <mergeCell ref="AH460:AH462"/>
    <mergeCell ref="AI460:AI462"/>
    <mergeCell ref="BB460:BB462"/>
    <mergeCell ref="BC460:BC462"/>
    <mergeCell ref="BD460:BD462"/>
    <mergeCell ref="BE460:BE462"/>
    <mergeCell ref="BF460:BF462"/>
    <mergeCell ref="BG460:BG462"/>
    <mergeCell ref="BH460:BH462"/>
    <mergeCell ref="BI460:BI462"/>
    <mergeCell ref="BJ460:BJ462"/>
    <mergeCell ref="AS460:AS462"/>
    <mergeCell ref="AT460:AT462"/>
    <mergeCell ref="AU460:AU462"/>
    <mergeCell ref="AV460:AV462"/>
    <mergeCell ref="AW460:AW462"/>
    <mergeCell ref="AX460:AX462"/>
    <mergeCell ref="AY460:AY462"/>
    <mergeCell ref="AZ460:AZ462"/>
    <mergeCell ref="BA460:BA462"/>
    <mergeCell ref="G460:G462"/>
    <mergeCell ref="H460:H462"/>
    <mergeCell ref="I460:I462"/>
    <mergeCell ref="J460:J462"/>
    <mergeCell ref="K460:K462"/>
    <mergeCell ref="L460:L462"/>
    <mergeCell ref="M460:M462"/>
    <mergeCell ref="N460:N462"/>
    <mergeCell ref="O460:O462"/>
    <mergeCell ref="P460:P462"/>
    <mergeCell ref="Q460:Q462"/>
    <mergeCell ref="IA457:IA459"/>
    <mergeCell ref="HR457:HR459"/>
    <mergeCell ref="HS457:HS459"/>
    <mergeCell ref="HT457:HT459"/>
    <mergeCell ref="HU457:HU459"/>
    <mergeCell ref="HV457:HV459"/>
    <mergeCell ref="HW457:HW459"/>
    <mergeCell ref="HX457:HX459"/>
    <mergeCell ref="HY457:HY459"/>
    <mergeCell ref="HZ457:HZ459"/>
    <mergeCell ref="HI457:HI459"/>
    <mergeCell ref="HJ457:HJ459"/>
    <mergeCell ref="HK457:HK459"/>
    <mergeCell ref="HL457:HL459"/>
    <mergeCell ref="HM457:HM459"/>
    <mergeCell ref="HN457:HN459"/>
    <mergeCell ref="R460:R462"/>
    <mergeCell ref="S460:S462"/>
    <mergeCell ref="T460:T462"/>
    <mergeCell ref="U460:U462"/>
    <mergeCell ref="V460:V462"/>
    <mergeCell ref="W460:W462"/>
    <mergeCell ref="X460:X462"/>
    <mergeCell ref="Y460:Y462"/>
    <mergeCell ref="Z460:Z462"/>
    <mergeCell ref="IJ457:IJ459"/>
    <mergeCell ref="IK457:IK459"/>
    <mergeCell ref="IL457:IL459"/>
    <mergeCell ref="IM457:IM459"/>
    <mergeCell ref="IN457:IN459"/>
    <mergeCell ref="IO457:IO459"/>
    <mergeCell ref="IP457:IP459"/>
    <mergeCell ref="IQ457:IQ459"/>
    <mergeCell ref="IB457:IB459"/>
    <mergeCell ref="IC457:IC459"/>
    <mergeCell ref="ID457:ID459"/>
    <mergeCell ref="IE457:IE459"/>
    <mergeCell ref="IF457:IF459"/>
    <mergeCell ref="IG457:IG459"/>
    <mergeCell ref="IH457:IH459"/>
    <mergeCell ref="II457:II459"/>
    <mergeCell ref="HO457:HO459"/>
    <mergeCell ref="HP457:HP459"/>
    <mergeCell ref="HQ457:HQ459"/>
    <mergeCell ref="GZ457:GZ459"/>
    <mergeCell ref="HA457:HA459"/>
    <mergeCell ref="HB457:HB459"/>
    <mergeCell ref="HC457:HC459"/>
    <mergeCell ref="FY457:FY459"/>
    <mergeCell ref="FZ457:FZ459"/>
    <mergeCell ref="GA457:GA459"/>
    <mergeCell ref="GB457:GB459"/>
    <mergeCell ref="GC457:GC459"/>
    <mergeCell ref="GD457:GD459"/>
    <mergeCell ref="GE457:GE459"/>
    <mergeCell ref="GF457:GF459"/>
    <mergeCell ref="GG457:GG459"/>
    <mergeCell ref="FP457:FP459"/>
    <mergeCell ref="FQ457:FQ459"/>
    <mergeCell ref="FR457:FR459"/>
    <mergeCell ref="FS457:FS459"/>
    <mergeCell ref="FT457:FT459"/>
    <mergeCell ref="FU457:FU459"/>
    <mergeCell ref="FV457:FV459"/>
    <mergeCell ref="FW457:FW459"/>
    <mergeCell ref="FX457:FX459"/>
    <mergeCell ref="HD457:HD459"/>
    <mergeCell ref="HE457:HE459"/>
    <mergeCell ref="HF457:HF459"/>
    <mergeCell ref="HG457:HG459"/>
    <mergeCell ref="HH457:HH459"/>
    <mergeCell ref="GQ457:GQ459"/>
    <mergeCell ref="GR457:GR459"/>
    <mergeCell ref="GS457:GS459"/>
    <mergeCell ref="GT457:GT459"/>
    <mergeCell ref="GU457:GU459"/>
    <mergeCell ref="GV457:GV459"/>
    <mergeCell ref="GW457:GW459"/>
    <mergeCell ref="GX457:GX459"/>
    <mergeCell ref="GY457:GY459"/>
    <mergeCell ref="GH457:GH459"/>
    <mergeCell ref="GI457:GI459"/>
    <mergeCell ref="GJ457:GJ459"/>
    <mergeCell ref="GK457:GK459"/>
    <mergeCell ref="GL457:GL459"/>
    <mergeCell ref="GM457:GM459"/>
    <mergeCell ref="GN457:GN459"/>
    <mergeCell ref="GO457:GO459"/>
    <mergeCell ref="GP457:GP459"/>
    <mergeCell ref="EO457:EO459"/>
    <mergeCell ref="EP457:EP459"/>
    <mergeCell ref="EQ457:EQ459"/>
    <mergeCell ref="ER457:ER459"/>
    <mergeCell ref="ES457:ES459"/>
    <mergeCell ref="ET457:ET459"/>
    <mergeCell ref="EU457:EU459"/>
    <mergeCell ref="EV457:EV459"/>
    <mergeCell ref="EW457:EW459"/>
    <mergeCell ref="EF457:EF459"/>
    <mergeCell ref="EG457:EG459"/>
    <mergeCell ref="EH457:EH459"/>
    <mergeCell ref="EI457:EI459"/>
    <mergeCell ref="EJ457:EJ459"/>
    <mergeCell ref="EK457:EK459"/>
    <mergeCell ref="EL457:EL459"/>
    <mergeCell ref="EM457:EM459"/>
    <mergeCell ref="EN457:EN459"/>
    <mergeCell ref="FG457:FG459"/>
    <mergeCell ref="FH457:FH459"/>
    <mergeCell ref="FI457:FI459"/>
    <mergeCell ref="FJ457:FJ459"/>
    <mergeCell ref="FK457:FK459"/>
    <mergeCell ref="FL457:FL459"/>
    <mergeCell ref="FM457:FM459"/>
    <mergeCell ref="FN457:FN459"/>
    <mergeCell ref="FO457:FO459"/>
    <mergeCell ref="EX457:EX459"/>
    <mergeCell ref="EY457:EY459"/>
    <mergeCell ref="EZ457:EZ459"/>
    <mergeCell ref="FA457:FA459"/>
    <mergeCell ref="FB457:FB459"/>
    <mergeCell ref="FC457:FC459"/>
    <mergeCell ref="FD457:FD459"/>
    <mergeCell ref="FE457:FE459"/>
    <mergeCell ref="FF457:FF459"/>
    <mergeCell ref="DE457:DE459"/>
    <mergeCell ref="DF457:DF459"/>
    <mergeCell ref="DG457:DG459"/>
    <mergeCell ref="DH457:DH459"/>
    <mergeCell ref="DI457:DI459"/>
    <mergeCell ref="DJ457:DJ459"/>
    <mergeCell ref="DK457:DK459"/>
    <mergeCell ref="DL457:DL459"/>
    <mergeCell ref="DM457:DM459"/>
    <mergeCell ref="CV457:CV459"/>
    <mergeCell ref="CW457:CW459"/>
    <mergeCell ref="CX457:CX459"/>
    <mergeCell ref="CY457:CY459"/>
    <mergeCell ref="CZ457:CZ459"/>
    <mergeCell ref="DA457:DA459"/>
    <mergeCell ref="DB457:DB459"/>
    <mergeCell ref="DC457:DC459"/>
    <mergeCell ref="DD457:DD459"/>
    <mergeCell ref="DW457:DW459"/>
    <mergeCell ref="DX457:DX459"/>
    <mergeCell ref="DY457:DY459"/>
    <mergeCell ref="DZ457:DZ459"/>
    <mergeCell ref="EA457:EA459"/>
    <mergeCell ref="EB457:EB459"/>
    <mergeCell ref="EC457:EC459"/>
    <mergeCell ref="ED457:ED459"/>
    <mergeCell ref="EE457:EE459"/>
    <mergeCell ref="DN457:DN459"/>
    <mergeCell ref="DO457:DO459"/>
    <mergeCell ref="DP457:DP459"/>
    <mergeCell ref="DQ457:DQ459"/>
    <mergeCell ref="DR457:DR459"/>
    <mergeCell ref="DS457:DS459"/>
    <mergeCell ref="DT457:DT459"/>
    <mergeCell ref="DU457:DU459"/>
    <mergeCell ref="DV457:DV459"/>
    <mergeCell ref="BU457:BU459"/>
    <mergeCell ref="BV457:BV459"/>
    <mergeCell ref="BW457:BW459"/>
    <mergeCell ref="BX457:BX459"/>
    <mergeCell ref="BY457:BY459"/>
    <mergeCell ref="BZ457:BZ459"/>
    <mergeCell ref="CA457:CA459"/>
    <mergeCell ref="CB457:CB459"/>
    <mergeCell ref="CC457:CC459"/>
    <mergeCell ref="BL457:BL459"/>
    <mergeCell ref="BM457:BM459"/>
    <mergeCell ref="BN457:BN459"/>
    <mergeCell ref="BO457:BO459"/>
    <mergeCell ref="BP457:BP459"/>
    <mergeCell ref="BQ457:BQ459"/>
    <mergeCell ref="BR457:BR459"/>
    <mergeCell ref="BS457:BS459"/>
    <mergeCell ref="BT457:BT459"/>
    <mergeCell ref="CM457:CM459"/>
    <mergeCell ref="CN457:CN459"/>
    <mergeCell ref="CO457:CO459"/>
    <mergeCell ref="CP457:CP459"/>
    <mergeCell ref="CQ457:CQ459"/>
    <mergeCell ref="CR457:CR459"/>
    <mergeCell ref="CS457:CS459"/>
    <mergeCell ref="CT457:CT459"/>
    <mergeCell ref="CU457:CU459"/>
    <mergeCell ref="CD457:CD459"/>
    <mergeCell ref="CE457:CE459"/>
    <mergeCell ref="CF457:CF459"/>
    <mergeCell ref="CG457:CG459"/>
    <mergeCell ref="CH457:CH459"/>
    <mergeCell ref="CI457:CI459"/>
    <mergeCell ref="CJ457:CJ459"/>
    <mergeCell ref="CK457:CK459"/>
    <mergeCell ref="CL457:CL459"/>
    <mergeCell ref="AK457:AK459"/>
    <mergeCell ref="AL457:AL459"/>
    <mergeCell ref="AM457:AM459"/>
    <mergeCell ref="AN457:AN459"/>
    <mergeCell ref="AO457:AO459"/>
    <mergeCell ref="AP457:AP459"/>
    <mergeCell ref="AQ457:AQ459"/>
    <mergeCell ref="AR457:AR459"/>
    <mergeCell ref="AS457:AS459"/>
    <mergeCell ref="AB457:AB459"/>
    <mergeCell ref="AC457:AC459"/>
    <mergeCell ref="AD457:AD459"/>
    <mergeCell ref="AE457:AE459"/>
    <mergeCell ref="AF457:AF459"/>
    <mergeCell ref="AG457:AG459"/>
    <mergeCell ref="AH457:AH459"/>
    <mergeCell ref="AI457:AI459"/>
    <mergeCell ref="AJ457:AJ459"/>
    <mergeCell ref="BC457:BC459"/>
    <mergeCell ref="BD457:BD459"/>
    <mergeCell ref="BE457:BE459"/>
    <mergeCell ref="BF457:BF459"/>
    <mergeCell ref="BG457:BG459"/>
    <mergeCell ref="BH457:BH459"/>
    <mergeCell ref="BI457:BI459"/>
    <mergeCell ref="BJ457:BJ459"/>
    <mergeCell ref="BK457:BK459"/>
    <mergeCell ref="AT457:AT459"/>
    <mergeCell ref="AU457:AU459"/>
    <mergeCell ref="AV457:AV459"/>
    <mergeCell ref="AW457:AW459"/>
    <mergeCell ref="AX457:AX459"/>
    <mergeCell ref="AY457:AY459"/>
    <mergeCell ref="AZ457:AZ459"/>
    <mergeCell ref="BA457:BA459"/>
    <mergeCell ref="BB457:BB459"/>
    <mergeCell ref="Z457:Z459"/>
    <mergeCell ref="AA457:AA459"/>
    <mergeCell ref="A457:A459"/>
    <mergeCell ref="B457:B459"/>
    <mergeCell ref="C457:C459"/>
    <mergeCell ref="D457:D459"/>
    <mergeCell ref="E457:E459"/>
    <mergeCell ref="G457:G459"/>
    <mergeCell ref="H457:H459"/>
    <mergeCell ref="I457:I459"/>
    <mergeCell ref="J457:J459"/>
    <mergeCell ref="K457:K459"/>
    <mergeCell ref="L457:L459"/>
    <mergeCell ref="M457:M459"/>
    <mergeCell ref="N457:N459"/>
    <mergeCell ref="O457:O459"/>
    <mergeCell ref="P457:P459"/>
    <mergeCell ref="Q457:Q459"/>
    <mergeCell ref="R457:R459"/>
    <mergeCell ref="S457:S459"/>
    <mergeCell ref="T457:T459"/>
    <mergeCell ref="U457:U459"/>
    <mergeCell ref="V457:V459"/>
    <mergeCell ref="W457:W459"/>
    <mergeCell ref="X457:X459"/>
    <mergeCell ref="Y457:Y459"/>
    <mergeCell ref="HQ444:HQ446"/>
    <mergeCell ref="HR444:HR446"/>
    <mergeCell ref="HS444:HS446"/>
    <mergeCell ref="HT444:HT446"/>
    <mergeCell ref="HU444:HU446"/>
    <mergeCell ref="HV444:HV446"/>
    <mergeCell ref="HW444:HW446"/>
    <mergeCell ref="HX444:HX446"/>
    <mergeCell ref="HY444:HY446"/>
    <mergeCell ref="HH444:HH446"/>
    <mergeCell ref="HI444:HI446"/>
    <mergeCell ref="HJ444:HJ446"/>
    <mergeCell ref="HK444:HK446"/>
    <mergeCell ref="HL444:HL446"/>
    <mergeCell ref="HM444:HM446"/>
    <mergeCell ref="HN444:HN446"/>
    <mergeCell ref="HO444:HO446"/>
    <mergeCell ref="HP444:HP446"/>
    <mergeCell ref="II444:II446"/>
    <mergeCell ref="IJ444:IJ446"/>
    <mergeCell ref="IK444:IK446"/>
    <mergeCell ref="IL444:IL446"/>
    <mergeCell ref="IM444:IM446"/>
    <mergeCell ref="IN444:IN446"/>
    <mergeCell ref="IO444:IO446"/>
    <mergeCell ref="IP444:IP446"/>
    <mergeCell ref="IQ444:IQ446"/>
    <mergeCell ref="HZ444:HZ446"/>
    <mergeCell ref="IA444:IA446"/>
    <mergeCell ref="IB444:IB446"/>
    <mergeCell ref="IC444:IC446"/>
    <mergeCell ref="ID444:ID446"/>
    <mergeCell ref="IE444:IE446"/>
    <mergeCell ref="IF444:IF446"/>
    <mergeCell ref="IG444:IG446"/>
    <mergeCell ref="IH444:IH446"/>
    <mergeCell ref="HD444:HD446"/>
    <mergeCell ref="HE444:HE446"/>
    <mergeCell ref="HF444:HF446"/>
    <mergeCell ref="HG444:HG446"/>
    <mergeCell ref="GP444:GP446"/>
    <mergeCell ref="GQ444:GQ446"/>
    <mergeCell ref="GR444:GR446"/>
    <mergeCell ref="GS444:GS446"/>
    <mergeCell ref="GT444:GT446"/>
    <mergeCell ref="GU444:GU446"/>
    <mergeCell ref="GV444:GV446"/>
    <mergeCell ref="GW444:GW446"/>
    <mergeCell ref="GX444:GX446"/>
    <mergeCell ref="GG444:GG446"/>
    <mergeCell ref="GH444:GH446"/>
    <mergeCell ref="GI444:GI446"/>
    <mergeCell ref="GJ444:GJ446"/>
    <mergeCell ref="GK444:GK446"/>
    <mergeCell ref="GL444:GL446"/>
    <mergeCell ref="GM444:GM446"/>
    <mergeCell ref="GN444:GN446"/>
    <mergeCell ref="GO444:GO446"/>
    <mergeCell ref="FC444:FC446"/>
    <mergeCell ref="FD444:FD446"/>
    <mergeCell ref="FE444:FE446"/>
    <mergeCell ref="EN444:EN446"/>
    <mergeCell ref="EO444:EO446"/>
    <mergeCell ref="EP444:EP446"/>
    <mergeCell ref="EQ444:EQ446"/>
    <mergeCell ref="ER444:ER446"/>
    <mergeCell ref="ES444:ES446"/>
    <mergeCell ref="ET444:ET446"/>
    <mergeCell ref="EU444:EU446"/>
    <mergeCell ref="EV444:EV446"/>
    <mergeCell ref="GY444:GY446"/>
    <mergeCell ref="GZ444:GZ446"/>
    <mergeCell ref="HA444:HA446"/>
    <mergeCell ref="HB444:HB446"/>
    <mergeCell ref="HC444:HC446"/>
    <mergeCell ref="FX444:FX446"/>
    <mergeCell ref="FY444:FY446"/>
    <mergeCell ref="FZ444:FZ446"/>
    <mergeCell ref="GA444:GA446"/>
    <mergeCell ref="GB444:GB446"/>
    <mergeCell ref="GC444:GC446"/>
    <mergeCell ref="GD444:GD446"/>
    <mergeCell ref="GE444:GE446"/>
    <mergeCell ref="GF444:GF446"/>
    <mergeCell ref="DE444:DE446"/>
    <mergeCell ref="DF444:DF446"/>
    <mergeCell ref="DG444:DG446"/>
    <mergeCell ref="DH444:DH446"/>
    <mergeCell ref="DI444:DI446"/>
    <mergeCell ref="DJ444:DJ446"/>
    <mergeCell ref="DK444:DK446"/>
    <mergeCell ref="DL444:DL446"/>
    <mergeCell ref="FO444:FO446"/>
    <mergeCell ref="FP444:FP446"/>
    <mergeCell ref="FQ444:FQ446"/>
    <mergeCell ref="FR444:FR446"/>
    <mergeCell ref="FS444:FS446"/>
    <mergeCell ref="FT444:FT446"/>
    <mergeCell ref="FU444:FU446"/>
    <mergeCell ref="FV444:FV446"/>
    <mergeCell ref="FW444:FW446"/>
    <mergeCell ref="FF444:FF446"/>
    <mergeCell ref="FG444:FG446"/>
    <mergeCell ref="FH444:FH446"/>
    <mergeCell ref="FI444:FI446"/>
    <mergeCell ref="FJ444:FJ446"/>
    <mergeCell ref="FK444:FK446"/>
    <mergeCell ref="FL444:FL446"/>
    <mergeCell ref="FM444:FM446"/>
    <mergeCell ref="FN444:FN446"/>
    <mergeCell ref="EW444:EW446"/>
    <mergeCell ref="EX444:EX446"/>
    <mergeCell ref="EY444:EY446"/>
    <mergeCell ref="EZ444:EZ446"/>
    <mergeCell ref="FA444:FA446"/>
    <mergeCell ref="FB444:FB446"/>
    <mergeCell ref="BY444:BY446"/>
    <mergeCell ref="BZ444:BZ446"/>
    <mergeCell ref="CA444:CA446"/>
    <mergeCell ref="CB444:CB446"/>
    <mergeCell ref="EE444:EE446"/>
    <mergeCell ref="EF444:EF446"/>
    <mergeCell ref="EG444:EG446"/>
    <mergeCell ref="EH444:EH446"/>
    <mergeCell ref="EI444:EI446"/>
    <mergeCell ref="EJ444:EJ446"/>
    <mergeCell ref="EK444:EK446"/>
    <mergeCell ref="EL444:EL446"/>
    <mergeCell ref="EM444:EM446"/>
    <mergeCell ref="DV444:DV446"/>
    <mergeCell ref="DW444:DW446"/>
    <mergeCell ref="DX444:DX446"/>
    <mergeCell ref="DY444:DY446"/>
    <mergeCell ref="DZ444:DZ446"/>
    <mergeCell ref="EA444:EA446"/>
    <mergeCell ref="EB444:EB446"/>
    <mergeCell ref="EC444:EC446"/>
    <mergeCell ref="ED444:ED446"/>
    <mergeCell ref="DM444:DM446"/>
    <mergeCell ref="DN444:DN446"/>
    <mergeCell ref="DO444:DO446"/>
    <mergeCell ref="DP444:DP446"/>
    <mergeCell ref="DQ444:DQ446"/>
    <mergeCell ref="DR444:DR446"/>
    <mergeCell ref="DS444:DS446"/>
    <mergeCell ref="DT444:DT446"/>
    <mergeCell ref="DU444:DU446"/>
    <mergeCell ref="DD444:DD446"/>
    <mergeCell ref="AJ444:AJ446"/>
    <mergeCell ref="AK444:AK446"/>
    <mergeCell ref="AL444:AL446"/>
    <mergeCell ref="AM444:AM446"/>
    <mergeCell ref="AN444:AN446"/>
    <mergeCell ref="AO444:AO446"/>
    <mergeCell ref="AP444:AP446"/>
    <mergeCell ref="AQ444:AQ446"/>
    <mergeCell ref="AR444:AR446"/>
    <mergeCell ref="CU444:CU446"/>
    <mergeCell ref="CV444:CV446"/>
    <mergeCell ref="CW444:CW446"/>
    <mergeCell ref="CX444:CX446"/>
    <mergeCell ref="CY444:CY446"/>
    <mergeCell ref="CZ444:CZ446"/>
    <mergeCell ref="DA444:DA446"/>
    <mergeCell ref="DB444:DB446"/>
    <mergeCell ref="CL444:CL446"/>
    <mergeCell ref="CM444:CM446"/>
    <mergeCell ref="CN444:CN446"/>
    <mergeCell ref="CO444:CO446"/>
    <mergeCell ref="CP444:CP446"/>
    <mergeCell ref="CQ444:CQ446"/>
    <mergeCell ref="CR444:CR446"/>
    <mergeCell ref="CS444:CS446"/>
    <mergeCell ref="CT444:CT446"/>
    <mergeCell ref="CC444:CC446"/>
    <mergeCell ref="CD444:CD446"/>
    <mergeCell ref="CE444:CE446"/>
    <mergeCell ref="CF444:CF446"/>
    <mergeCell ref="CG444:CG446"/>
    <mergeCell ref="CH444:CH446"/>
    <mergeCell ref="BB444:BB446"/>
    <mergeCell ref="BC444:BC446"/>
    <mergeCell ref="BD444:BD446"/>
    <mergeCell ref="BE444:BE446"/>
    <mergeCell ref="BF444:BF446"/>
    <mergeCell ref="BG444:BG446"/>
    <mergeCell ref="BH444:BH446"/>
    <mergeCell ref="BI444:BI446"/>
    <mergeCell ref="BJ444:BJ446"/>
    <mergeCell ref="AS444:AS446"/>
    <mergeCell ref="AT444:AT446"/>
    <mergeCell ref="AU444:AU446"/>
    <mergeCell ref="AV444:AV446"/>
    <mergeCell ref="AW444:AW446"/>
    <mergeCell ref="AX444:AX446"/>
    <mergeCell ref="AY444:AY446"/>
    <mergeCell ref="AZ444:AZ446"/>
    <mergeCell ref="BA444:BA446"/>
    <mergeCell ref="II441:II443"/>
    <mergeCell ref="HR441:HR443"/>
    <mergeCell ref="HS441:HS443"/>
    <mergeCell ref="HT441:HT443"/>
    <mergeCell ref="HU441:HU443"/>
    <mergeCell ref="HV441:HV443"/>
    <mergeCell ref="HW441:HW443"/>
    <mergeCell ref="HX441:HX443"/>
    <mergeCell ref="HY441:HY443"/>
    <mergeCell ref="HZ441:HZ443"/>
    <mergeCell ref="HI441:HI443"/>
    <mergeCell ref="HJ441:HJ443"/>
    <mergeCell ref="HK441:HK443"/>
    <mergeCell ref="HL441:HL443"/>
    <mergeCell ref="BK444:BK446"/>
    <mergeCell ref="BL444:BL446"/>
    <mergeCell ref="BM444:BM446"/>
    <mergeCell ref="BN444:BN446"/>
    <mergeCell ref="BO444:BO446"/>
    <mergeCell ref="BP444:BP446"/>
    <mergeCell ref="BQ444:BQ446"/>
    <mergeCell ref="BR444:BR446"/>
    <mergeCell ref="BS444:BS446"/>
    <mergeCell ref="DC444:DC446"/>
    <mergeCell ref="CI444:CI446"/>
    <mergeCell ref="CJ444:CJ446"/>
    <mergeCell ref="CK444:CK446"/>
    <mergeCell ref="BT444:BT446"/>
    <mergeCell ref="BU444:BU446"/>
    <mergeCell ref="BV444:BV446"/>
    <mergeCell ref="BW444:BW446"/>
    <mergeCell ref="BX444:BX446"/>
    <mergeCell ref="IJ441:IJ443"/>
    <mergeCell ref="IK441:IK443"/>
    <mergeCell ref="IL441:IL443"/>
    <mergeCell ref="IM441:IM443"/>
    <mergeCell ref="IN441:IN443"/>
    <mergeCell ref="IO441:IO443"/>
    <mergeCell ref="IP441:IP443"/>
    <mergeCell ref="IQ441:IQ443"/>
    <mergeCell ref="A444:A446"/>
    <mergeCell ref="B444:B446"/>
    <mergeCell ref="C444:C446"/>
    <mergeCell ref="D444:D446"/>
    <mergeCell ref="E444:E446"/>
    <mergeCell ref="G444:G446"/>
    <mergeCell ref="H444:H446"/>
    <mergeCell ref="I444:I446"/>
    <mergeCell ref="J444:J446"/>
    <mergeCell ref="K444:K446"/>
    <mergeCell ref="L444:L446"/>
    <mergeCell ref="M444:M446"/>
    <mergeCell ref="N444:N446"/>
    <mergeCell ref="O444:O446"/>
    <mergeCell ref="P444:P446"/>
    <mergeCell ref="Q444:Q446"/>
    <mergeCell ref="IA441:IA443"/>
    <mergeCell ref="IB441:IB443"/>
    <mergeCell ref="IC441:IC443"/>
    <mergeCell ref="ID441:ID443"/>
    <mergeCell ref="IE441:IE443"/>
    <mergeCell ref="IF441:IF443"/>
    <mergeCell ref="IG441:IG443"/>
    <mergeCell ref="IH441:IH443"/>
    <mergeCell ref="AA444:AA446"/>
    <mergeCell ref="AB444:AB446"/>
    <mergeCell ref="AC444:AC446"/>
    <mergeCell ref="AD444:AD446"/>
    <mergeCell ref="AE444:AE446"/>
    <mergeCell ref="AF444:AF446"/>
    <mergeCell ref="AG444:AG446"/>
    <mergeCell ref="AH444:AH446"/>
    <mergeCell ref="AI444:AI446"/>
    <mergeCell ref="R444:R446"/>
    <mergeCell ref="S444:S446"/>
    <mergeCell ref="T444:T446"/>
    <mergeCell ref="U444:U446"/>
    <mergeCell ref="V444:V446"/>
    <mergeCell ref="W444:W446"/>
    <mergeCell ref="X444:X446"/>
    <mergeCell ref="Y444:Y446"/>
    <mergeCell ref="Z444:Z446"/>
    <mergeCell ref="GH441:GH443"/>
    <mergeCell ref="GI441:GI443"/>
    <mergeCell ref="GJ441:GJ443"/>
    <mergeCell ref="GK441:GK443"/>
    <mergeCell ref="GL441:GL443"/>
    <mergeCell ref="GM441:GM443"/>
    <mergeCell ref="GN441:GN443"/>
    <mergeCell ref="GO441:GO443"/>
    <mergeCell ref="GP441:GP443"/>
    <mergeCell ref="FY441:FY443"/>
    <mergeCell ref="FZ441:FZ443"/>
    <mergeCell ref="GA441:GA443"/>
    <mergeCell ref="GB441:GB443"/>
    <mergeCell ref="GC441:GC443"/>
    <mergeCell ref="GD441:GD443"/>
    <mergeCell ref="GE441:GE443"/>
    <mergeCell ref="GF441:GF443"/>
    <mergeCell ref="GG441:GG443"/>
    <mergeCell ref="HM441:HM443"/>
    <mergeCell ref="HN441:HN443"/>
    <mergeCell ref="HO441:HO443"/>
    <mergeCell ref="HP441:HP443"/>
    <mergeCell ref="HQ441:HQ443"/>
    <mergeCell ref="GZ441:GZ443"/>
    <mergeCell ref="HA441:HA443"/>
    <mergeCell ref="HB441:HB443"/>
    <mergeCell ref="HC441:HC443"/>
    <mergeCell ref="HD441:HD443"/>
    <mergeCell ref="HE441:HE443"/>
    <mergeCell ref="HF441:HF443"/>
    <mergeCell ref="HG441:HG443"/>
    <mergeCell ref="HH441:HH443"/>
    <mergeCell ref="GQ441:GQ443"/>
    <mergeCell ref="GR441:GR443"/>
    <mergeCell ref="GS441:GS443"/>
    <mergeCell ref="GT441:GT443"/>
    <mergeCell ref="GU441:GU443"/>
    <mergeCell ref="GV441:GV443"/>
    <mergeCell ref="GW441:GW443"/>
    <mergeCell ref="GX441:GX443"/>
    <mergeCell ref="GY441:GY443"/>
    <mergeCell ref="EX441:EX443"/>
    <mergeCell ref="EY441:EY443"/>
    <mergeCell ref="EZ441:EZ443"/>
    <mergeCell ref="FA441:FA443"/>
    <mergeCell ref="FB441:FB443"/>
    <mergeCell ref="FC441:FC443"/>
    <mergeCell ref="FD441:FD443"/>
    <mergeCell ref="FE441:FE443"/>
    <mergeCell ref="FF441:FF443"/>
    <mergeCell ref="EO441:EO443"/>
    <mergeCell ref="EP441:EP443"/>
    <mergeCell ref="EQ441:EQ443"/>
    <mergeCell ref="ER441:ER443"/>
    <mergeCell ref="ES441:ES443"/>
    <mergeCell ref="ET441:ET443"/>
    <mergeCell ref="EU441:EU443"/>
    <mergeCell ref="EV441:EV443"/>
    <mergeCell ref="EW441:EW443"/>
    <mergeCell ref="FP441:FP443"/>
    <mergeCell ref="FQ441:FQ443"/>
    <mergeCell ref="FR441:FR443"/>
    <mergeCell ref="FS441:FS443"/>
    <mergeCell ref="FT441:FT443"/>
    <mergeCell ref="FU441:FU443"/>
    <mergeCell ref="FV441:FV443"/>
    <mergeCell ref="FW441:FW443"/>
    <mergeCell ref="FX441:FX443"/>
    <mergeCell ref="FG441:FG443"/>
    <mergeCell ref="FH441:FH443"/>
    <mergeCell ref="FI441:FI443"/>
    <mergeCell ref="FJ441:FJ443"/>
    <mergeCell ref="FK441:FK443"/>
    <mergeCell ref="FL441:FL443"/>
    <mergeCell ref="FM441:FM443"/>
    <mergeCell ref="FN441:FN443"/>
    <mergeCell ref="FO441:FO443"/>
    <mergeCell ref="DN441:DN443"/>
    <mergeCell ref="DO441:DO443"/>
    <mergeCell ref="DP441:DP443"/>
    <mergeCell ref="DQ441:DQ443"/>
    <mergeCell ref="DR441:DR443"/>
    <mergeCell ref="DS441:DS443"/>
    <mergeCell ref="DT441:DT443"/>
    <mergeCell ref="DU441:DU443"/>
    <mergeCell ref="DV441:DV443"/>
    <mergeCell ref="DE441:DE443"/>
    <mergeCell ref="DF441:DF443"/>
    <mergeCell ref="DG441:DG443"/>
    <mergeCell ref="DH441:DH443"/>
    <mergeCell ref="DI441:DI443"/>
    <mergeCell ref="DJ441:DJ443"/>
    <mergeCell ref="DK441:DK443"/>
    <mergeCell ref="DL441:DL443"/>
    <mergeCell ref="DM441:DM443"/>
    <mergeCell ref="EF441:EF443"/>
    <mergeCell ref="EG441:EG443"/>
    <mergeCell ref="EH441:EH443"/>
    <mergeCell ref="EI441:EI443"/>
    <mergeCell ref="EJ441:EJ443"/>
    <mergeCell ref="EK441:EK443"/>
    <mergeCell ref="EL441:EL443"/>
    <mergeCell ref="EM441:EM443"/>
    <mergeCell ref="EN441:EN443"/>
    <mergeCell ref="DW441:DW443"/>
    <mergeCell ref="DX441:DX443"/>
    <mergeCell ref="DY441:DY443"/>
    <mergeCell ref="DZ441:DZ443"/>
    <mergeCell ref="EA441:EA443"/>
    <mergeCell ref="EB441:EB443"/>
    <mergeCell ref="EC441:EC443"/>
    <mergeCell ref="ED441:ED443"/>
    <mergeCell ref="EE441:EE443"/>
    <mergeCell ref="CD441:CD443"/>
    <mergeCell ref="CE441:CE443"/>
    <mergeCell ref="CF441:CF443"/>
    <mergeCell ref="CG441:CG443"/>
    <mergeCell ref="CH441:CH443"/>
    <mergeCell ref="CI441:CI443"/>
    <mergeCell ref="CJ441:CJ443"/>
    <mergeCell ref="CK441:CK443"/>
    <mergeCell ref="CL441:CL443"/>
    <mergeCell ref="BU441:BU443"/>
    <mergeCell ref="BV441:BV443"/>
    <mergeCell ref="BW441:BW443"/>
    <mergeCell ref="BX441:BX443"/>
    <mergeCell ref="BY441:BY443"/>
    <mergeCell ref="BZ441:BZ443"/>
    <mergeCell ref="CA441:CA443"/>
    <mergeCell ref="CB441:CB443"/>
    <mergeCell ref="CC441:CC443"/>
    <mergeCell ref="CV441:CV443"/>
    <mergeCell ref="CW441:CW443"/>
    <mergeCell ref="CX441:CX443"/>
    <mergeCell ref="CY441:CY443"/>
    <mergeCell ref="CZ441:CZ443"/>
    <mergeCell ref="DA441:DA443"/>
    <mergeCell ref="DB441:DB443"/>
    <mergeCell ref="DC441:DC443"/>
    <mergeCell ref="DD441:DD443"/>
    <mergeCell ref="CM441:CM443"/>
    <mergeCell ref="CN441:CN443"/>
    <mergeCell ref="CO441:CO443"/>
    <mergeCell ref="CP441:CP443"/>
    <mergeCell ref="CQ441:CQ443"/>
    <mergeCell ref="CR441:CR443"/>
    <mergeCell ref="CS441:CS443"/>
    <mergeCell ref="CT441:CT443"/>
    <mergeCell ref="CU441:CU443"/>
    <mergeCell ref="AT441:AT443"/>
    <mergeCell ref="AU441:AU443"/>
    <mergeCell ref="AV441:AV443"/>
    <mergeCell ref="AW441:AW443"/>
    <mergeCell ref="AX441:AX443"/>
    <mergeCell ref="AY441:AY443"/>
    <mergeCell ref="AZ441:AZ443"/>
    <mergeCell ref="BA441:BA443"/>
    <mergeCell ref="BB441:BB443"/>
    <mergeCell ref="AK441:AK443"/>
    <mergeCell ref="AL441:AL443"/>
    <mergeCell ref="AM441:AM443"/>
    <mergeCell ref="AN441:AN443"/>
    <mergeCell ref="AO441:AO443"/>
    <mergeCell ref="AP441:AP443"/>
    <mergeCell ref="AQ441:AQ443"/>
    <mergeCell ref="AR441:AR443"/>
    <mergeCell ref="AS441:AS443"/>
    <mergeCell ref="BL441:BL443"/>
    <mergeCell ref="BM441:BM443"/>
    <mergeCell ref="BN441:BN443"/>
    <mergeCell ref="BO441:BO443"/>
    <mergeCell ref="BP441:BP443"/>
    <mergeCell ref="BQ441:BQ443"/>
    <mergeCell ref="BR441:BR443"/>
    <mergeCell ref="BS441:BS443"/>
    <mergeCell ref="BT441:BT443"/>
    <mergeCell ref="BC441:BC443"/>
    <mergeCell ref="BD441:BD443"/>
    <mergeCell ref="BE441:BE443"/>
    <mergeCell ref="BF441:BF443"/>
    <mergeCell ref="BG441:BG443"/>
    <mergeCell ref="BH441:BH443"/>
    <mergeCell ref="BI441:BI443"/>
    <mergeCell ref="BJ441:BJ443"/>
    <mergeCell ref="BK441:BK443"/>
    <mergeCell ref="C441:C443"/>
    <mergeCell ref="D441:D443"/>
    <mergeCell ref="E441:E443"/>
    <mergeCell ref="G441:G443"/>
    <mergeCell ref="H441:H443"/>
    <mergeCell ref="I441:I443"/>
    <mergeCell ref="J441:J443"/>
    <mergeCell ref="K441:K443"/>
    <mergeCell ref="L441:L443"/>
    <mergeCell ref="M441:M443"/>
    <mergeCell ref="N441:N443"/>
    <mergeCell ref="O441:O443"/>
    <mergeCell ref="P441:P443"/>
    <mergeCell ref="Q441:Q443"/>
    <mergeCell ref="R441:R443"/>
    <mergeCell ref="AB441:AB443"/>
    <mergeCell ref="AC441:AC443"/>
    <mergeCell ref="AD441:AD443"/>
    <mergeCell ref="AE441:AE443"/>
    <mergeCell ref="AF441:AF443"/>
    <mergeCell ref="AG441:AG443"/>
    <mergeCell ref="AH441:AH443"/>
    <mergeCell ref="AI441:AI443"/>
    <mergeCell ref="AJ441:AJ443"/>
    <mergeCell ref="S441:S443"/>
    <mergeCell ref="T441:T443"/>
    <mergeCell ref="U441:U443"/>
    <mergeCell ref="V441:V443"/>
    <mergeCell ref="W441:W443"/>
    <mergeCell ref="X441:X443"/>
    <mergeCell ref="Y441:Y443"/>
    <mergeCell ref="Z441:Z443"/>
    <mergeCell ref="AA441:AA443"/>
    <mergeCell ref="HQ428:HQ430"/>
    <mergeCell ref="HD428:HD430"/>
    <mergeCell ref="HE428:HE430"/>
    <mergeCell ref="HF428:HF430"/>
    <mergeCell ref="HG428:HG430"/>
    <mergeCell ref="GP428:GP430"/>
    <mergeCell ref="GQ428:GQ430"/>
    <mergeCell ref="GR428:GR430"/>
    <mergeCell ref="GS428:GS430"/>
    <mergeCell ref="GT428:GT430"/>
    <mergeCell ref="GU428:GU430"/>
    <mergeCell ref="GV428:GV430"/>
    <mergeCell ref="GW428:GW430"/>
    <mergeCell ref="GX428:GX430"/>
    <mergeCell ref="GG428:GG430"/>
    <mergeCell ref="GH428:GH430"/>
    <mergeCell ref="HR428:HR430"/>
    <mergeCell ref="HS428:HS430"/>
    <mergeCell ref="HT428:HT430"/>
    <mergeCell ref="HU428:HU430"/>
    <mergeCell ref="HV428:HV430"/>
    <mergeCell ref="HW428:HW430"/>
    <mergeCell ref="HX428:HX430"/>
    <mergeCell ref="HY428:HY430"/>
    <mergeCell ref="HH428:HH430"/>
    <mergeCell ref="HI428:HI430"/>
    <mergeCell ref="HJ428:HJ430"/>
    <mergeCell ref="HK428:HK430"/>
    <mergeCell ref="HL428:HL430"/>
    <mergeCell ref="HM428:HM430"/>
    <mergeCell ref="HN428:HN430"/>
    <mergeCell ref="HO428:HO430"/>
    <mergeCell ref="HP428:HP430"/>
    <mergeCell ref="II428:II430"/>
    <mergeCell ref="IJ428:IJ430"/>
    <mergeCell ref="IK428:IK430"/>
    <mergeCell ref="IL428:IL430"/>
    <mergeCell ref="IM428:IM430"/>
    <mergeCell ref="IN428:IN430"/>
    <mergeCell ref="IO428:IO430"/>
    <mergeCell ref="IP428:IP430"/>
    <mergeCell ref="IQ428:IQ430"/>
    <mergeCell ref="HZ428:HZ430"/>
    <mergeCell ref="IA428:IA430"/>
    <mergeCell ref="IB428:IB430"/>
    <mergeCell ref="IC428:IC430"/>
    <mergeCell ref="ID428:ID430"/>
    <mergeCell ref="IE428:IE430"/>
    <mergeCell ref="IF428:IF430"/>
    <mergeCell ref="IG428:IG430"/>
    <mergeCell ref="IH428:IH430"/>
    <mergeCell ref="GI428:GI430"/>
    <mergeCell ref="GJ428:GJ430"/>
    <mergeCell ref="GK428:GK430"/>
    <mergeCell ref="GL428:GL430"/>
    <mergeCell ref="GM428:GM430"/>
    <mergeCell ref="GN428:GN430"/>
    <mergeCell ref="GO428:GO430"/>
    <mergeCell ref="FC428:FC430"/>
    <mergeCell ref="FD428:FD430"/>
    <mergeCell ref="FE428:FE430"/>
    <mergeCell ref="EN428:EN430"/>
    <mergeCell ref="EO428:EO430"/>
    <mergeCell ref="EP428:EP430"/>
    <mergeCell ref="EQ428:EQ430"/>
    <mergeCell ref="ER428:ER430"/>
    <mergeCell ref="ES428:ES430"/>
    <mergeCell ref="ET428:ET430"/>
    <mergeCell ref="EU428:EU430"/>
    <mergeCell ref="EV428:EV430"/>
    <mergeCell ref="FG428:FG430"/>
    <mergeCell ref="FH428:FH430"/>
    <mergeCell ref="FI428:FI430"/>
    <mergeCell ref="FJ428:FJ430"/>
    <mergeCell ref="FK428:FK430"/>
    <mergeCell ref="FL428:FL430"/>
    <mergeCell ref="FM428:FM430"/>
    <mergeCell ref="FN428:FN430"/>
    <mergeCell ref="EW428:EW430"/>
    <mergeCell ref="EX428:EX430"/>
    <mergeCell ref="EY428:EY430"/>
    <mergeCell ref="EZ428:EZ430"/>
    <mergeCell ref="FA428:FA430"/>
    <mergeCell ref="GY428:GY430"/>
    <mergeCell ref="GZ428:GZ430"/>
    <mergeCell ref="HA428:HA430"/>
    <mergeCell ref="HB428:HB430"/>
    <mergeCell ref="HC428:HC430"/>
    <mergeCell ref="FX428:FX430"/>
    <mergeCell ref="FY428:FY430"/>
    <mergeCell ref="FZ428:FZ430"/>
    <mergeCell ref="GA428:GA430"/>
    <mergeCell ref="GB428:GB430"/>
    <mergeCell ref="GC428:GC430"/>
    <mergeCell ref="GD428:GD430"/>
    <mergeCell ref="GE428:GE430"/>
    <mergeCell ref="GF428:GF430"/>
    <mergeCell ref="DE428:DE430"/>
    <mergeCell ref="DF428:DF430"/>
    <mergeCell ref="DG428:DG430"/>
    <mergeCell ref="DH428:DH430"/>
    <mergeCell ref="DI428:DI430"/>
    <mergeCell ref="DJ428:DJ430"/>
    <mergeCell ref="DK428:DK430"/>
    <mergeCell ref="DL428:DL430"/>
    <mergeCell ref="FO428:FO430"/>
    <mergeCell ref="FP428:FP430"/>
    <mergeCell ref="FQ428:FQ430"/>
    <mergeCell ref="FR428:FR430"/>
    <mergeCell ref="FS428:FS430"/>
    <mergeCell ref="FT428:FT430"/>
    <mergeCell ref="FU428:FU430"/>
    <mergeCell ref="FV428:FV430"/>
    <mergeCell ref="FW428:FW430"/>
    <mergeCell ref="FF428:FF430"/>
    <mergeCell ref="FB428:FB430"/>
    <mergeCell ref="BY428:BY430"/>
    <mergeCell ref="BZ428:BZ430"/>
    <mergeCell ref="CA428:CA430"/>
    <mergeCell ref="CB428:CB430"/>
    <mergeCell ref="EE428:EE430"/>
    <mergeCell ref="EF428:EF430"/>
    <mergeCell ref="EG428:EG430"/>
    <mergeCell ref="EH428:EH430"/>
    <mergeCell ref="EI428:EI430"/>
    <mergeCell ref="EJ428:EJ430"/>
    <mergeCell ref="EK428:EK430"/>
    <mergeCell ref="EL428:EL430"/>
    <mergeCell ref="EM428:EM430"/>
    <mergeCell ref="DV428:DV430"/>
    <mergeCell ref="DW428:DW430"/>
    <mergeCell ref="DX428:DX430"/>
    <mergeCell ref="DY428:DY430"/>
    <mergeCell ref="DZ428:DZ430"/>
    <mergeCell ref="EA428:EA430"/>
    <mergeCell ref="EB428:EB430"/>
    <mergeCell ref="EC428:EC430"/>
    <mergeCell ref="ED428:ED430"/>
    <mergeCell ref="DM428:DM430"/>
    <mergeCell ref="DN428:DN430"/>
    <mergeCell ref="DO428:DO430"/>
    <mergeCell ref="DP428:DP430"/>
    <mergeCell ref="DQ428:DQ430"/>
    <mergeCell ref="DR428:DR430"/>
    <mergeCell ref="DS428:DS430"/>
    <mergeCell ref="DT428:DT430"/>
    <mergeCell ref="DU428:DU430"/>
    <mergeCell ref="DD428:DD430"/>
    <mergeCell ref="AJ428:AJ430"/>
    <mergeCell ref="AK428:AK430"/>
    <mergeCell ref="AL428:AL430"/>
    <mergeCell ref="AM428:AM430"/>
    <mergeCell ref="AN428:AN430"/>
    <mergeCell ref="AO428:AO430"/>
    <mergeCell ref="AP428:AP430"/>
    <mergeCell ref="AQ428:AQ430"/>
    <mergeCell ref="AR428:AR430"/>
    <mergeCell ref="CU428:CU430"/>
    <mergeCell ref="CV428:CV430"/>
    <mergeCell ref="CW428:CW430"/>
    <mergeCell ref="CX428:CX430"/>
    <mergeCell ref="CY428:CY430"/>
    <mergeCell ref="CZ428:CZ430"/>
    <mergeCell ref="DA428:DA430"/>
    <mergeCell ref="DB428:DB430"/>
    <mergeCell ref="CL428:CL430"/>
    <mergeCell ref="CM428:CM430"/>
    <mergeCell ref="CN428:CN430"/>
    <mergeCell ref="CO428:CO430"/>
    <mergeCell ref="CP428:CP430"/>
    <mergeCell ref="CQ428:CQ430"/>
    <mergeCell ref="CR428:CR430"/>
    <mergeCell ref="CS428:CS430"/>
    <mergeCell ref="CT428:CT430"/>
    <mergeCell ref="CC428:CC430"/>
    <mergeCell ref="CD428:CD430"/>
    <mergeCell ref="CE428:CE430"/>
    <mergeCell ref="CF428:CF430"/>
    <mergeCell ref="CG428:CG430"/>
    <mergeCell ref="CH428:CH430"/>
    <mergeCell ref="BB428:BB430"/>
    <mergeCell ref="BC428:BC430"/>
    <mergeCell ref="BD428:BD430"/>
    <mergeCell ref="BE428:BE430"/>
    <mergeCell ref="BF428:BF430"/>
    <mergeCell ref="BG428:BG430"/>
    <mergeCell ref="BH428:BH430"/>
    <mergeCell ref="BI428:BI430"/>
    <mergeCell ref="BJ428:BJ430"/>
    <mergeCell ref="AS428:AS430"/>
    <mergeCell ref="AT428:AT430"/>
    <mergeCell ref="AU428:AU430"/>
    <mergeCell ref="AV428:AV430"/>
    <mergeCell ref="AW428:AW430"/>
    <mergeCell ref="AX428:AX430"/>
    <mergeCell ref="AY428:AY430"/>
    <mergeCell ref="AZ428:AZ430"/>
    <mergeCell ref="BA428:BA430"/>
    <mergeCell ref="II425:II427"/>
    <mergeCell ref="HR425:HR427"/>
    <mergeCell ref="HS425:HS427"/>
    <mergeCell ref="HT425:HT427"/>
    <mergeCell ref="HU425:HU427"/>
    <mergeCell ref="HV425:HV427"/>
    <mergeCell ref="HW425:HW427"/>
    <mergeCell ref="HX425:HX427"/>
    <mergeCell ref="HY425:HY427"/>
    <mergeCell ref="HZ425:HZ427"/>
    <mergeCell ref="HI425:HI427"/>
    <mergeCell ref="HJ425:HJ427"/>
    <mergeCell ref="HK425:HK427"/>
    <mergeCell ref="HL425:HL427"/>
    <mergeCell ref="BK428:BK430"/>
    <mergeCell ref="BL428:BL430"/>
    <mergeCell ref="BM428:BM430"/>
    <mergeCell ref="BN428:BN430"/>
    <mergeCell ref="BO428:BO430"/>
    <mergeCell ref="BP428:BP430"/>
    <mergeCell ref="BQ428:BQ430"/>
    <mergeCell ref="BR428:BR430"/>
    <mergeCell ref="BS428:BS430"/>
    <mergeCell ref="DC428:DC430"/>
    <mergeCell ref="CI428:CI430"/>
    <mergeCell ref="CJ428:CJ430"/>
    <mergeCell ref="CK428:CK430"/>
    <mergeCell ref="BT428:BT430"/>
    <mergeCell ref="BU428:BU430"/>
    <mergeCell ref="BV428:BV430"/>
    <mergeCell ref="BW428:BW430"/>
    <mergeCell ref="BX428:BX430"/>
    <mergeCell ref="IJ425:IJ427"/>
    <mergeCell ref="IK425:IK427"/>
    <mergeCell ref="IL425:IL427"/>
    <mergeCell ref="IM425:IM427"/>
    <mergeCell ref="IN425:IN427"/>
    <mergeCell ref="IO425:IO427"/>
    <mergeCell ref="IP425:IP427"/>
    <mergeCell ref="IQ425:IQ427"/>
    <mergeCell ref="A428:A430"/>
    <mergeCell ref="B428:B430"/>
    <mergeCell ref="C428:C430"/>
    <mergeCell ref="D428:D430"/>
    <mergeCell ref="E428:E430"/>
    <mergeCell ref="G428:G430"/>
    <mergeCell ref="H428:H430"/>
    <mergeCell ref="I428:I430"/>
    <mergeCell ref="J428:J430"/>
    <mergeCell ref="K428:K430"/>
    <mergeCell ref="L428:L430"/>
    <mergeCell ref="M428:M430"/>
    <mergeCell ref="N428:N430"/>
    <mergeCell ref="O428:O430"/>
    <mergeCell ref="P428:P430"/>
    <mergeCell ref="Q428:Q430"/>
    <mergeCell ref="IA425:IA427"/>
    <mergeCell ref="IB425:IB427"/>
    <mergeCell ref="IC425:IC427"/>
    <mergeCell ref="ID425:ID427"/>
    <mergeCell ref="IE425:IE427"/>
    <mergeCell ref="IF425:IF427"/>
    <mergeCell ref="IG425:IG427"/>
    <mergeCell ref="IH425:IH427"/>
    <mergeCell ref="AA428:AA430"/>
    <mergeCell ref="AB428:AB430"/>
    <mergeCell ref="AC428:AC430"/>
    <mergeCell ref="AD428:AD430"/>
    <mergeCell ref="AE428:AE430"/>
    <mergeCell ref="AF428:AF430"/>
    <mergeCell ref="AG428:AG430"/>
    <mergeCell ref="AH428:AH430"/>
    <mergeCell ref="AI428:AI430"/>
    <mergeCell ref="R428:R430"/>
    <mergeCell ref="S428:S430"/>
    <mergeCell ref="T428:T430"/>
    <mergeCell ref="U428:U430"/>
    <mergeCell ref="V428:V430"/>
    <mergeCell ref="W428:W430"/>
    <mergeCell ref="X428:X430"/>
    <mergeCell ref="Y428:Y430"/>
    <mergeCell ref="Z428:Z430"/>
    <mergeCell ref="GH425:GH427"/>
    <mergeCell ref="GI425:GI427"/>
    <mergeCell ref="GJ425:GJ427"/>
    <mergeCell ref="GK425:GK427"/>
    <mergeCell ref="GL425:GL427"/>
    <mergeCell ref="GM425:GM427"/>
    <mergeCell ref="GN425:GN427"/>
    <mergeCell ref="GO425:GO427"/>
    <mergeCell ref="GP425:GP427"/>
    <mergeCell ref="FY425:FY427"/>
    <mergeCell ref="FZ425:FZ427"/>
    <mergeCell ref="GA425:GA427"/>
    <mergeCell ref="GB425:GB427"/>
    <mergeCell ref="GC425:GC427"/>
    <mergeCell ref="GD425:GD427"/>
    <mergeCell ref="GE425:GE427"/>
    <mergeCell ref="GF425:GF427"/>
    <mergeCell ref="GG425:GG427"/>
    <mergeCell ref="HM425:HM427"/>
    <mergeCell ref="HN425:HN427"/>
    <mergeCell ref="HO425:HO427"/>
    <mergeCell ref="HP425:HP427"/>
    <mergeCell ref="HQ425:HQ427"/>
    <mergeCell ref="GZ425:GZ427"/>
    <mergeCell ref="HA425:HA427"/>
    <mergeCell ref="HB425:HB427"/>
    <mergeCell ref="HC425:HC427"/>
    <mergeCell ref="HD425:HD427"/>
    <mergeCell ref="HE425:HE427"/>
    <mergeCell ref="HF425:HF427"/>
    <mergeCell ref="HG425:HG427"/>
    <mergeCell ref="HH425:HH427"/>
    <mergeCell ref="GQ425:GQ427"/>
    <mergeCell ref="GR425:GR427"/>
    <mergeCell ref="GS425:GS427"/>
    <mergeCell ref="GT425:GT427"/>
    <mergeCell ref="GU425:GU427"/>
    <mergeCell ref="GV425:GV427"/>
    <mergeCell ref="GW425:GW427"/>
    <mergeCell ref="GX425:GX427"/>
    <mergeCell ref="GY425:GY427"/>
    <mergeCell ref="EX425:EX427"/>
    <mergeCell ref="EY425:EY427"/>
    <mergeCell ref="EZ425:EZ427"/>
    <mergeCell ref="FA425:FA427"/>
    <mergeCell ref="FB425:FB427"/>
    <mergeCell ref="FC425:FC427"/>
    <mergeCell ref="FD425:FD427"/>
    <mergeCell ref="FE425:FE427"/>
    <mergeCell ref="FF425:FF427"/>
    <mergeCell ref="EO425:EO427"/>
    <mergeCell ref="EP425:EP427"/>
    <mergeCell ref="EQ425:EQ427"/>
    <mergeCell ref="ER425:ER427"/>
    <mergeCell ref="ES425:ES427"/>
    <mergeCell ref="ET425:ET427"/>
    <mergeCell ref="EU425:EU427"/>
    <mergeCell ref="EV425:EV427"/>
    <mergeCell ref="EW425:EW427"/>
    <mergeCell ref="FP425:FP427"/>
    <mergeCell ref="FQ425:FQ427"/>
    <mergeCell ref="FR425:FR427"/>
    <mergeCell ref="FS425:FS427"/>
    <mergeCell ref="FT425:FT427"/>
    <mergeCell ref="FU425:FU427"/>
    <mergeCell ref="FV425:FV427"/>
    <mergeCell ref="FW425:FW427"/>
    <mergeCell ref="FX425:FX427"/>
    <mergeCell ref="FG425:FG427"/>
    <mergeCell ref="FH425:FH427"/>
    <mergeCell ref="FI425:FI427"/>
    <mergeCell ref="FJ425:FJ427"/>
    <mergeCell ref="FK425:FK427"/>
    <mergeCell ref="FL425:FL427"/>
    <mergeCell ref="FM425:FM427"/>
    <mergeCell ref="FN425:FN427"/>
    <mergeCell ref="FO425:FO427"/>
    <mergeCell ref="DN425:DN427"/>
    <mergeCell ref="DO425:DO427"/>
    <mergeCell ref="DP425:DP427"/>
    <mergeCell ref="DQ425:DQ427"/>
    <mergeCell ref="DR425:DR427"/>
    <mergeCell ref="DS425:DS427"/>
    <mergeCell ref="DT425:DT427"/>
    <mergeCell ref="DU425:DU427"/>
    <mergeCell ref="DV425:DV427"/>
    <mergeCell ref="DE425:DE427"/>
    <mergeCell ref="DF425:DF427"/>
    <mergeCell ref="DG425:DG427"/>
    <mergeCell ref="DH425:DH427"/>
    <mergeCell ref="DI425:DI427"/>
    <mergeCell ref="DJ425:DJ427"/>
    <mergeCell ref="DK425:DK427"/>
    <mergeCell ref="DL425:DL427"/>
    <mergeCell ref="DM425:DM427"/>
    <mergeCell ref="EF425:EF427"/>
    <mergeCell ref="EG425:EG427"/>
    <mergeCell ref="EH425:EH427"/>
    <mergeCell ref="EI425:EI427"/>
    <mergeCell ref="EJ425:EJ427"/>
    <mergeCell ref="EK425:EK427"/>
    <mergeCell ref="EL425:EL427"/>
    <mergeCell ref="EM425:EM427"/>
    <mergeCell ref="EN425:EN427"/>
    <mergeCell ref="DW425:DW427"/>
    <mergeCell ref="DX425:DX427"/>
    <mergeCell ref="DY425:DY427"/>
    <mergeCell ref="DZ425:DZ427"/>
    <mergeCell ref="EA425:EA427"/>
    <mergeCell ref="EB425:EB427"/>
    <mergeCell ref="EC425:EC427"/>
    <mergeCell ref="ED425:ED427"/>
    <mergeCell ref="EE425:EE427"/>
    <mergeCell ref="CD425:CD427"/>
    <mergeCell ref="CE425:CE427"/>
    <mergeCell ref="CF425:CF427"/>
    <mergeCell ref="CG425:CG427"/>
    <mergeCell ref="CH425:CH427"/>
    <mergeCell ref="CI425:CI427"/>
    <mergeCell ref="CJ425:CJ427"/>
    <mergeCell ref="CK425:CK427"/>
    <mergeCell ref="CL425:CL427"/>
    <mergeCell ref="BU425:BU427"/>
    <mergeCell ref="BV425:BV427"/>
    <mergeCell ref="BW425:BW427"/>
    <mergeCell ref="BX425:BX427"/>
    <mergeCell ref="BY425:BY427"/>
    <mergeCell ref="BZ425:BZ427"/>
    <mergeCell ref="CA425:CA427"/>
    <mergeCell ref="CB425:CB427"/>
    <mergeCell ref="CC425:CC427"/>
    <mergeCell ref="CV425:CV427"/>
    <mergeCell ref="CW425:CW427"/>
    <mergeCell ref="CX425:CX427"/>
    <mergeCell ref="CY425:CY427"/>
    <mergeCell ref="CZ425:CZ427"/>
    <mergeCell ref="DA425:DA427"/>
    <mergeCell ref="DB425:DB427"/>
    <mergeCell ref="DC425:DC427"/>
    <mergeCell ref="DD425:DD427"/>
    <mergeCell ref="CM425:CM427"/>
    <mergeCell ref="CN425:CN427"/>
    <mergeCell ref="CO425:CO427"/>
    <mergeCell ref="CP425:CP427"/>
    <mergeCell ref="CQ425:CQ427"/>
    <mergeCell ref="CR425:CR427"/>
    <mergeCell ref="CS425:CS427"/>
    <mergeCell ref="CT425:CT427"/>
    <mergeCell ref="CU425:CU427"/>
    <mergeCell ref="AT425:AT427"/>
    <mergeCell ref="AU425:AU427"/>
    <mergeCell ref="AV425:AV427"/>
    <mergeCell ref="AW425:AW427"/>
    <mergeCell ref="AX425:AX427"/>
    <mergeCell ref="AY425:AY427"/>
    <mergeCell ref="AZ425:AZ427"/>
    <mergeCell ref="BA425:BA427"/>
    <mergeCell ref="BB425:BB427"/>
    <mergeCell ref="AK425:AK427"/>
    <mergeCell ref="AL425:AL427"/>
    <mergeCell ref="AM425:AM427"/>
    <mergeCell ref="AN425:AN427"/>
    <mergeCell ref="AO425:AO427"/>
    <mergeCell ref="AP425:AP427"/>
    <mergeCell ref="AQ425:AQ427"/>
    <mergeCell ref="AR425:AR427"/>
    <mergeCell ref="AS425:AS427"/>
    <mergeCell ref="BL425:BL427"/>
    <mergeCell ref="BM425:BM427"/>
    <mergeCell ref="BN425:BN427"/>
    <mergeCell ref="BO425:BO427"/>
    <mergeCell ref="BP425:BP427"/>
    <mergeCell ref="BQ425:BQ427"/>
    <mergeCell ref="BR425:BR427"/>
    <mergeCell ref="BS425:BS427"/>
    <mergeCell ref="BT425:BT427"/>
    <mergeCell ref="BC425:BC427"/>
    <mergeCell ref="BD425:BD427"/>
    <mergeCell ref="BE425:BE427"/>
    <mergeCell ref="BF425:BF427"/>
    <mergeCell ref="BG425:BG427"/>
    <mergeCell ref="BH425:BH427"/>
    <mergeCell ref="BI425:BI427"/>
    <mergeCell ref="BJ425:BJ427"/>
    <mergeCell ref="BK425:BK427"/>
    <mergeCell ref="A425:A427"/>
    <mergeCell ref="B425:B427"/>
    <mergeCell ref="C425:C427"/>
    <mergeCell ref="D425:D427"/>
    <mergeCell ref="E425:E427"/>
    <mergeCell ref="G425:G427"/>
    <mergeCell ref="H425:H427"/>
    <mergeCell ref="I425:I427"/>
    <mergeCell ref="J425:J427"/>
    <mergeCell ref="K425:K427"/>
    <mergeCell ref="L425:L427"/>
    <mergeCell ref="M425:M427"/>
    <mergeCell ref="N425:N427"/>
    <mergeCell ref="O425:O427"/>
    <mergeCell ref="P425:P427"/>
    <mergeCell ref="Q425:Q427"/>
    <mergeCell ref="R425:R427"/>
    <mergeCell ref="AB425:AB427"/>
    <mergeCell ref="AC425:AC427"/>
    <mergeCell ref="AD425:AD427"/>
    <mergeCell ref="AE425:AE427"/>
    <mergeCell ref="AF425:AF427"/>
    <mergeCell ref="AG425:AG427"/>
    <mergeCell ref="AH425:AH427"/>
    <mergeCell ref="AI425:AI427"/>
    <mergeCell ref="AJ425:AJ427"/>
    <mergeCell ref="S425:S427"/>
    <mergeCell ref="T425:T427"/>
    <mergeCell ref="U425:U427"/>
    <mergeCell ref="V425:V427"/>
    <mergeCell ref="W425:W427"/>
    <mergeCell ref="X425:X427"/>
    <mergeCell ref="Y425:Y427"/>
    <mergeCell ref="Z425:Z427"/>
    <mergeCell ref="AA425:AA427"/>
    <mergeCell ref="HQ292:HQ294"/>
    <mergeCell ref="HR292:HR294"/>
    <mergeCell ref="HS292:HS294"/>
    <mergeCell ref="HT292:HT294"/>
    <mergeCell ref="HU292:HU294"/>
    <mergeCell ref="HV292:HV294"/>
    <mergeCell ref="HW292:HW294"/>
    <mergeCell ref="HX292:HX294"/>
    <mergeCell ref="HY292:HY294"/>
    <mergeCell ref="HH292:HH294"/>
    <mergeCell ref="HI292:HI294"/>
    <mergeCell ref="HJ292:HJ294"/>
    <mergeCell ref="HK292:HK294"/>
    <mergeCell ref="HL292:HL294"/>
    <mergeCell ref="HM292:HM294"/>
    <mergeCell ref="HN292:HN294"/>
    <mergeCell ref="HO292:HO294"/>
    <mergeCell ref="HP292:HP294"/>
    <mergeCell ref="II292:II294"/>
    <mergeCell ref="IJ292:IJ294"/>
    <mergeCell ref="IK292:IK294"/>
    <mergeCell ref="IL292:IL294"/>
    <mergeCell ref="IM292:IM294"/>
    <mergeCell ref="IN292:IN294"/>
    <mergeCell ref="IO292:IO294"/>
    <mergeCell ref="IP292:IP294"/>
    <mergeCell ref="IQ292:IQ294"/>
    <mergeCell ref="HZ292:HZ294"/>
    <mergeCell ref="IA292:IA294"/>
    <mergeCell ref="IB292:IB294"/>
    <mergeCell ref="IC292:IC294"/>
    <mergeCell ref="ID292:ID294"/>
    <mergeCell ref="IE292:IE294"/>
    <mergeCell ref="IF292:IF294"/>
    <mergeCell ref="IG292:IG294"/>
    <mergeCell ref="IH292:IH294"/>
    <mergeCell ref="HD292:HD294"/>
    <mergeCell ref="HE292:HE294"/>
    <mergeCell ref="HF292:HF294"/>
    <mergeCell ref="HG292:HG294"/>
    <mergeCell ref="GP292:GP294"/>
    <mergeCell ref="GQ292:GQ294"/>
    <mergeCell ref="GR292:GR294"/>
    <mergeCell ref="GS292:GS294"/>
    <mergeCell ref="GT292:GT294"/>
    <mergeCell ref="GU292:GU294"/>
    <mergeCell ref="GV292:GV294"/>
    <mergeCell ref="GW292:GW294"/>
    <mergeCell ref="GX292:GX294"/>
    <mergeCell ref="GG292:GG294"/>
    <mergeCell ref="GH292:GH294"/>
    <mergeCell ref="GI292:GI294"/>
    <mergeCell ref="GJ292:GJ294"/>
    <mergeCell ref="GK292:GK294"/>
    <mergeCell ref="GL292:GL294"/>
    <mergeCell ref="GM292:GM294"/>
    <mergeCell ref="GN292:GN294"/>
    <mergeCell ref="GO292:GO294"/>
    <mergeCell ref="FC292:FC294"/>
    <mergeCell ref="FD292:FD294"/>
    <mergeCell ref="FE292:FE294"/>
    <mergeCell ref="EN292:EN294"/>
    <mergeCell ref="EO292:EO294"/>
    <mergeCell ref="EP292:EP294"/>
    <mergeCell ref="EQ292:EQ294"/>
    <mergeCell ref="ER292:ER294"/>
    <mergeCell ref="ES292:ES294"/>
    <mergeCell ref="ET292:ET294"/>
    <mergeCell ref="EU292:EU294"/>
    <mergeCell ref="EV292:EV294"/>
    <mergeCell ref="GY292:GY294"/>
    <mergeCell ref="GZ292:GZ294"/>
    <mergeCell ref="HA292:HA294"/>
    <mergeCell ref="HB292:HB294"/>
    <mergeCell ref="HC292:HC294"/>
    <mergeCell ref="FX292:FX294"/>
    <mergeCell ref="FY292:FY294"/>
    <mergeCell ref="FZ292:FZ294"/>
    <mergeCell ref="GA292:GA294"/>
    <mergeCell ref="GB292:GB294"/>
    <mergeCell ref="GC292:GC294"/>
    <mergeCell ref="GD292:GD294"/>
    <mergeCell ref="GE292:GE294"/>
    <mergeCell ref="GF292:GF294"/>
    <mergeCell ref="DE292:DE294"/>
    <mergeCell ref="DF292:DF294"/>
    <mergeCell ref="DG292:DG294"/>
    <mergeCell ref="DH292:DH294"/>
    <mergeCell ref="DI292:DI294"/>
    <mergeCell ref="DJ292:DJ294"/>
    <mergeCell ref="DK292:DK294"/>
    <mergeCell ref="DL292:DL294"/>
    <mergeCell ref="FO292:FO294"/>
    <mergeCell ref="FP292:FP294"/>
    <mergeCell ref="FQ292:FQ294"/>
    <mergeCell ref="FR292:FR294"/>
    <mergeCell ref="FS292:FS294"/>
    <mergeCell ref="FT292:FT294"/>
    <mergeCell ref="FU292:FU294"/>
    <mergeCell ref="FV292:FV294"/>
    <mergeCell ref="FW292:FW294"/>
    <mergeCell ref="FF292:FF294"/>
    <mergeCell ref="FG292:FG294"/>
    <mergeCell ref="FH292:FH294"/>
    <mergeCell ref="FI292:FI294"/>
    <mergeCell ref="FJ292:FJ294"/>
    <mergeCell ref="FK292:FK294"/>
    <mergeCell ref="FL292:FL294"/>
    <mergeCell ref="FM292:FM294"/>
    <mergeCell ref="FN292:FN294"/>
    <mergeCell ref="EW292:EW294"/>
    <mergeCell ref="EX292:EX294"/>
    <mergeCell ref="EY292:EY294"/>
    <mergeCell ref="EZ292:EZ294"/>
    <mergeCell ref="FA292:FA294"/>
    <mergeCell ref="FB292:FB294"/>
    <mergeCell ref="BY292:BY294"/>
    <mergeCell ref="BZ292:BZ294"/>
    <mergeCell ref="CA292:CA294"/>
    <mergeCell ref="CB292:CB294"/>
    <mergeCell ref="EE292:EE294"/>
    <mergeCell ref="EF292:EF294"/>
    <mergeCell ref="EG292:EG294"/>
    <mergeCell ref="EH292:EH294"/>
    <mergeCell ref="EI292:EI294"/>
    <mergeCell ref="EJ292:EJ294"/>
    <mergeCell ref="EK292:EK294"/>
    <mergeCell ref="EL292:EL294"/>
    <mergeCell ref="EM292:EM294"/>
    <mergeCell ref="DV292:DV294"/>
    <mergeCell ref="DW292:DW294"/>
    <mergeCell ref="DX292:DX294"/>
    <mergeCell ref="DY292:DY294"/>
    <mergeCell ref="DZ292:DZ294"/>
    <mergeCell ref="EA292:EA294"/>
    <mergeCell ref="EB292:EB294"/>
    <mergeCell ref="EC292:EC294"/>
    <mergeCell ref="ED292:ED294"/>
    <mergeCell ref="DM292:DM294"/>
    <mergeCell ref="DN292:DN294"/>
    <mergeCell ref="DO292:DO294"/>
    <mergeCell ref="DP292:DP294"/>
    <mergeCell ref="DQ292:DQ294"/>
    <mergeCell ref="DR292:DR294"/>
    <mergeCell ref="DS292:DS294"/>
    <mergeCell ref="DT292:DT294"/>
    <mergeCell ref="DU292:DU294"/>
    <mergeCell ref="DD292:DD294"/>
    <mergeCell ref="AJ292:AJ294"/>
    <mergeCell ref="AK292:AK294"/>
    <mergeCell ref="AL292:AL294"/>
    <mergeCell ref="AM292:AM294"/>
    <mergeCell ref="AN292:AN294"/>
    <mergeCell ref="AO292:AO294"/>
    <mergeCell ref="AP292:AP294"/>
    <mergeCell ref="AQ292:AQ294"/>
    <mergeCell ref="AR292:AR294"/>
    <mergeCell ref="CU292:CU294"/>
    <mergeCell ref="CV292:CV294"/>
    <mergeCell ref="CW292:CW294"/>
    <mergeCell ref="CX292:CX294"/>
    <mergeCell ref="CY292:CY294"/>
    <mergeCell ref="CZ292:CZ294"/>
    <mergeCell ref="DA292:DA294"/>
    <mergeCell ref="DB292:DB294"/>
    <mergeCell ref="CL292:CL294"/>
    <mergeCell ref="CM292:CM294"/>
    <mergeCell ref="CN292:CN294"/>
    <mergeCell ref="CO292:CO294"/>
    <mergeCell ref="CP292:CP294"/>
    <mergeCell ref="CQ292:CQ294"/>
    <mergeCell ref="CR292:CR294"/>
    <mergeCell ref="CS292:CS294"/>
    <mergeCell ref="CT292:CT294"/>
    <mergeCell ref="CC292:CC294"/>
    <mergeCell ref="CD292:CD294"/>
    <mergeCell ref="CE292:CE294"/>
    <mergeCell ref="CF292:CF294"/>
    <mergeCell ref="CG292:CG294"/>
    <mergeCell ref="CH292:CH294"/>
    <mergeCell ref="BB292:BB294"/>
    <mergeCell ref="BC292:BC294"/>
    <mergeCell ref="BD292:BD294"/>
    <mergeCell ref="BE292:BE294"/>
    <mergeCell ref="BF292:BF294"/>
    <mergeCell ref="BG292:BG294"/>
    <mergeCell ref="BH292:BH294"/>
    <mergeCell ref="BI292:BI294"/>
    <mergeCell ref="BJ292:BJ294"/>
    <mergeCell ref="AS292:AS294"/>
    <mergeCell ref="AT292:AT294"/>
    <mergeCell ref="AU292:AU294"/>
    <mergeCell ref="AV292:AV294"/>
    <mergeCell ref="AW292:AW294"/>
    <mergeCell ref="AX292:AX294"/>
    <mergeCell ref="AY292:AY294"/>
    <mergeCell ref="AZ292:AZ294"/>
    <mergeCell ref="BA292:BA294"/>
    <mergeCell ref="II289:II291"/>
    <mergeCell ref="HR289:HR291"/>
    <mergeCell ref="HS289:HS291"/>
    <mergeCell ref="HT289:HT291"/>
    <mergeCell ref="HU289:HU291"/>
    <mergeCell ref="HV289:HV291"/>
    <mergeCell ref="HW289:HW291"/>
    <mergeCell ref="HX289:HX291"/>
    <mergeCell ref="HY289:HY291"/>
    <mergeCell ref="HZ289:HZ291"/>
    <mergeCell ref="HI289:HI291"/>
    <mergeCell ref="HJ289:HJ291"/>
    <mergeCell ref="HK289:HK291"/>
    <mergeCell ref="HL289:HL291"/>
    <mergeCell ref="BK292:BK294"/>
    <mergeCell ref="BL292:BL294"/>
    <mergeCell ref="BM292:BM294"/>
    <mergeCell ref="BN292:BN294"/>
    <mergeCell ref="BO292:BO294"/>
    <mergeCell ref="BP292:BP294"/>
    <mergeCell ref="BQ292:BQ294"/>
    <mergeCell ref="BR292:BR294"/>
    <mergeCell ref="BS292:BS294"/>
    <mergeCell ref="DC292:DC294"/>
    <mergeCell ref="CI292:CI294"/>
    <mergeCell ref="CJ292:CJ294"/>
    <mergeCell ref="CK292:CK294"/>
    <mergeCell ref="BT292:BT294"/>
    <mergeCell ref="BU292:BU294"/>
    <mergeCell ref="BV292:BV294"/>
    <mergeCell ref="BW292:BW294"/>
    <mergeCell ref="BX292:BX294"/>
    <mergeCell ref="IJ289:IJ291"/>
    <mergeCell ref="IK289:IK291"/>
    <mergeCell ref="IL289:IL291"/>
    <mergeCell ref="IM289:IM291"/>
    <mergeCell ref="IN289:IN291"/>
    <mergeCell ref="IO289:IO291"/>
    <mergeCell ref="IP289:IP291"/>
    <mergeCell ref="IQ289:IQ291"/>
    <mergeCell ref="A292:A294"/>
    <mergeCell ref="B292:B294"/>
    <mergeCell ref="C292:C294"/>
    <mergeCell ref="D292:D294"/>
    <mergeCell ref="E292:E294"/>
    <mergeCell ref="G292:G294"/>
    <mergeCell ref="H292:H294"/>
    <mergeCell ref="I292:I294"/>
    <mergeCell ref="J292:J294"/>
    <mergeCell ref="K292:K294"/>
    <mergeCell ref="L292:L294"/>
    <mergeCell ref="M292:M294"/>
    <mergeCell ref="N292:N294"/>
    <mergeCell ref="O292:O294"/>
    <mergeCell ref="P292:P294"/>
    <mergeCell ref="Q292:Q294"/>
    <mergeCell ref="IA289:IA291"/>
    <mergeCell ref="IB289:IB291"/>
    <mergeCell ref="IC289:IC291"/>
    <mergeCell ref="ID289:ID291"/>
    <mergeCell ref="IE289:IE291"/>
    <mergeCell ref="IF289:IF291"/>
    <mergeCell ref="IG289:IG291"/>
    <mergeCell ref="IH289:IH291"/>
    <mergeCell ref="AA292:AA294"/>
    <mergeCell ref="AB292:AB294"/>
    <mergeCell ref="AC292:AC294"/>
    <mergeCell ref="AD292:AD294"/>
    <mergeCell ref="AE292:AE294"/>
    <mergeCell ref="AF292:AF294"/>
    <mergeCell ref="AG292:AG294"/>
    <mergeCell ref="AH292:AH294"/>
    <mergeCell ref="AI292:AI294"/>
    <mergeCell ref="R292:R294"/>
    <mergeCell ref="S292:S294"/>
    <mergeCell ref="T292:T294"/>
    <mergeCell ref="U292:U294"/>
    <mergeCell ref="V292:V294"/>
    <mergeCell ref="W292:W294"/>
    <mergeCell ref="X292:X294"/>
    <mergeCell ref="Y292:Y294"/>
    <mergeCell ref="Z292:Z294"/>
    <mergeCell ref="GH289:GH291"/>
    <mergeCell ref="GI289:GI291"/>
    <mergeCell ref="GJ289:GJ291"/>
    <mergeCell ref="GK289:GK291"/>
    <mergeCell ref="GL289:GL291"/>
    <mergeCell ref="GM289:GM291"/>
    <mergeCell ref="GN289:GN291"/>
    <mergeCell ref="GO289:GO291"/>
    <mergeCell ref="GP289:GP291"/>
    <mergeCell ref="FY289:FY291"/>
    <mergeCell ref="FZ289:FZ291"/>
    <mergeCell ref="GA289:GA291"/>
    <mergeCell ref="GB289:GB291"/>
    <mergeCell ref="GC289:GC291"/>
    <mergeCell ref="GD289:GD291"/>
    <mergeCell ref="GE289:GE291"/>
    <mergeCell ref="GF289:GF291"/>
    <mergeCell ref="GG289:GG291"/>
    <mergeCell ref="HM289:HM291"/>
    <mergeCell ref="HN289:HN291"/>
    <mergeCell ref="HO289:HO291"/>
    <mergeCell ref="HP289:HP291"/>
    <mergeCell ref="HQ289:HQ291"/>
    <mergeCell ref="GZ289:GZ291"/>
    <mergeCell ref="HA289:HA291"/>
    <mergeCell ref="HB289:HB291"/>
    <mergeCell ref="HC289:HC291"/>
    <mergeCell ref="HD289:HD291"/>
    <mergeCell ref="HE289:HE291"/>
    <mergeCell ref="HF289:HF291"/>
    <mergeCell ref="HG289:HG291"/>
    <mergeCell ref="HH289:HH291"/>
    <mergeCell ref="GQ289:GQ291"/>
    <mergeCell ref="GR289:GR291"/>
    <mergeCell ref="GS289:GS291"/>
    <mergeCell ref="GT289:GT291"/>
    <mergeCell ref="GU289:GU291"/>
    <mergeCell ref="GV289:GV291"/>
    <mergeCell ref="GW289:GW291"/>
    <mergeCell ref="GX289:GX291"/>
    <mergeCell ref="GY289:GY291"/>
    <mergeCell ref="EX289:EX291"/>
    <mergeCell ref="EY289:EY291"/>
    <mergeCell ref="EZ289:EZ291"/>
    <mergeCell ref="FA289:FA291"/>
    <mergeCell ref="FB289:FB291"/>
    <mergeCell ref="FC289:FC291"/>
    <mergeCell ref="FD289:FD291"/>
    <mergeCell ref="FE289:FE291"/>
    <mergeCell ref="FF289:FF291"/>
    <mergeCell ref="EO289:EO291"/>
    <mergeCell ref="EP289:EP291"/>
    <mergeCell ref="EQ289:EQ291"/>
    <mergeCell ref="ER289:ER291"/>
    <mergeCell ref="ES289:ES291"/>
    <mergeCell ref="ET289:ET291"/>
    <mergeCell ref="EU289:EU291"/>
    <mergeCell ref="EV289:EV291"/>
    <mergeCell ref="EW289:EW291"/>
    <mergeCell ref="FP289:FP291"/>
    <mergeCell ref="FQ289:FQ291"/>
    <mergeCell ref="FR289:FR291"/>
    <mergeCell ref="FS289:FS291"/>
    <mergeCell ref="FT289:FT291"/>
    <mergeCell ref="FU289:FU291"/>
    <mergeCell ref="FV289:FV291"/>
    <mergeCell ref="FW289:FW291"/>
    <mergeCell ref="FX289:FX291"/>
    <mergeCell ref="FG289:FG291"/>
    <mergeCell ref="FH289:FH291"/>
    <mergeCell ref="FI289:FI291"/>
    <mergeCell ref="FJ289:FJ291"/>
    <mergeCell ref="FK289:FK291"/>
    <mergeCell ref="FL289:FL291"/>
    <mergeCell ref="FM289:FM291"/>
    <mergeCell ref="FN289:FN291"/>
    <mergeCell ref="FO289:FO291"/>
    <mergeCell ref="DN289:DN291"/>
    <mergeCell ref="DO289:DO291"/>
    <mergeCell ref="DP289:DP291"/>
    <mergeCell ref="DQ289:DQ291"/>
    <mergeCell ref="DR289:DR291"/>
    <mergeCell ref="DS289:DS291"/>
    <mergeCell ref="DT289:DT291"/>
    <mergeCell ref="DU289:DU291"/>
    <mergeCell ref="DV289:DV291"/>
    <mergeCell ref="DE289:DE291"/>
    <mergeCell ref="DF289:DF291"/>
    <mergeCell ref="DG289:DG291"/>
    <mergeCell ref="DH289:DH291"/>
    <mergeCell ref="DI289:DI291"/>
    <mergeCell ref="DJ289:DJ291"/>
    <mergeCell ref="DK289:DK291"/>
    <mergeCell ref="DL289:DL291"/>
    <mergeCell ref="DM289:DM291"/>
    <mergeCell ref="EF289:EF291"/>
    <mergeCell ref="EG289:EG291"/>
    <mergeCell ref="EH289:EH291"/>
    <mergeCell ref="EI289:EI291"/>
    <mergeCell ref="EJ289:EJ291"/>
    <mergeCell ref="EK289:EK291"/>
    <mergeCell ref="EL289:EL291"/>
    <mergeCell ref="EM289:EM291"/>
    <mergeCell ref="EN289:EN291"/>
    <mergeCell ref="DW289:DW291"/>
    <mergeCell ref="DX289:DX291"/>
    <mergeCell ref="DY289:DY291"/>
    <mergeCell ref="DZ289:DZ291"/>
    <mergeCell ref="EA289:EA291"/>
    <mergeCell ref="EB289:EB291"/>
    <mergeCell ref="EC289:EC291"/>
    <mergeCell ref="ED289:ED291"/>
    <mergeCell ref="EE289:EE291"/>
    <mergeCell ref="CD289:CD291"/>
    <mergeCell ref="CE289:CE291"/>
    <mergeCell ref="CF289:CF291"/>
    <mergeCell ref="CG289:CG291"/>
    <mergeCell ref="CH289:CH291"/>
    <mergeCell ref="CI289:CI291"/>
    <mergeCell ref="CJ289:CJ291"/>
    <mergeCell ref="CK289:CK291"/>
    <mergeCell ref="CL289:CL291"/>
    <mergeCell ref="BU289:BU291"/>
    <mergeCell ref="BV289:BV291"/>
    <mergeCell ref="BW289:BW291"/>
    <mergeCell ref="BX289:BX291"/>
    <mergeCell ref="BY289:BY291"/>
    <mergeCell ref="BZ289:BZ291"/>
    <mergeCell ref="CA289:CA291"/>
    <mergeCell ref="CB289:CB291"/>
    <mergeCell ref="CC289:CC291"/>
    <mergeCell ref="CV289:CV291"/>
    <mergeCell ref="CW289:CW291"/>
    <mergeCell ref="CX289:CX291"/>
    <mergeCell ref="CY289:CY291"/>
    <mergeCell ref="CZ289:CZ291"/>
    <mergeCell ref="DA289:DA291"/>
    <mergeCell ref="DB289:DB291"/>
    <mergeCell ref="DC289:DC291"/>
    <mergeCell ref="DD289:DD291"/>
    <mergeCell ref="CM289:CM291"/>
    <mergeCell ref="CN289:CN291"/>
    <mergeCell ref="CO289:CO291"/>
    <mergeCell ref="CP289:CP291"/>
    <mergeCell ref="CQ289:CQ291"/>
    <mergeCell ref="CR289:CR291"/>
    <mergeCell ref="CS289:CS291"/>
    <mergeCell ref="CT289:CT291"/>
    <mergeCell ref="CU289:CU291"/>
    <mergeCell ref="BQ289:BQ291"/>
    <mergeCell ref="BR289:BR291"/>
    <mergeCell ref="BS289:BS291"/>
    <mergeCell ref="BT289:BT291"/>
    <mergeCell ref="BC289:BC291"/>
    <mergeCell ref="BD289:BD291"/>
    <mergeCell ref="BE289:BE291"/>
    <mergeCell ref="BF289:BF291"/>
    <mergeCell ref="BG289:BG291"/>
    <mergeCell ref="BH289:BH291"/>
    <mergeCell ref="BI289:BI291"/>
    <mergeCell ref="BJ289:BJ291"/>
    <mergeCell ref="BK289:BK291"/>
    <mergeCell ref="AT289:AT291"/>
    <mergeCell ref="AU289:AU291"/>
    <mergeCell ref="AV289:AV291"/>
    <mergeCell ref="AW289:AW291"/>
    <mergeCell ref="AX289:AX291"/>
    <mergeCell ref="AY289:AY291"/>
    <mergeCell ref="AZ289:AZ291"/>
    <mergeCell ref="BA289:BA291"/>
    <mergeCell ref="BB289:BB291"/>
    <mergeCell ref="G289:G291"/>
    <mergeCell ref="H289:H291"/>
    <mergeCell ref="I289:I291"/>
    <mergeCell ref="J289:J291"/>
    <mergeCell ref="K289:K291"/>
    <mergeCell ref="L289:L291"/>
    <mergeCell ref="M289:M291"/>
    <mergeCell ref="N289:N291"/>
    <mergeCell ref="O289:O291"/>
    <mergeCell ref="P289:P291"/>
    <mergeCell ref="Q289:Q291"/>
    <mergeCell ref="R289:R291"/>
    <mergeCell ref="BL289:BL291"/>
    <mergeCell ref="BM289:BM291"/>
    <mergeCell ref="BN289:BN291"/>
    <mergeCell ref="BO289:BO291"/>
    <mergeCell ref="BP289:BP291"/>
    <mergeCell ref="AK289:AK291"/>
    <mergeCell ref="AL289:AL291"/>
    <mergeCell ref="AM289:AM291"/>
    <mergeCell ref="AN289:AN291"/>
    <mergeCell ref="AO289:AO291"/>
    <mergeCell ref="AP289:AP291"/>
    <mergeCell ref="AQ289:AQ291"/>
    <mergeCell ref="AR289:AR291"/>
    <mergeCell ref="AS289:AS291"/>
    <mergeCell ref="AB289:AB291"/>
    <mergeCell ref="AC289:AC291"/>
    <mergeCell ref="AD289:AD291"/>
    <mergeCell ref="AE289:AE291"/>
    <mergeCell ref="AF289:AF291"/>
    <mergeCell ref="AG289:AG291"/>
    <mergeCell ref="IJ420:IJ422"/>
    <mergeCell ref="IK420:IK422"/>
    <mergeCell ref="IL420:IL422"/>
    <mergeCell ref="AH289:AH291"/>
    <mergeCell ref="AI289:AI291"/>
    <mergeCell ref="AJ289:AJ291"/>
    <mergeCell ref="S289:S291"/>
    <mergeCell ref="T289:T291"/>
    <mergeCell ref="U289:U291"/>
    <mergeCell ref="V289:V291"/>
    <mergeCell ref="W289:W291"/>
    <mergeCell ref="X289:X291"/>
    <mergeCell ref="Y289:Y291"/>
    <mergeCell ref="Z289:Z291"/>
    <mergeCell ref="AA289:AA291"/>
    <mergeCell ref="HQ420:HQ422"/>
    <mergeCell ref="HR420:HR422"/>
    <mergeCell ref="HS420:HS422"/>
    <mergeCell ref="HT420:HT422"/>
    <mergeCell ref="HU420:HU422"/>
    <mergeCell ref="GP420:GP422"/>
    <mergeCell ref="GQ420:GQ422"/>
    <mergeCell ref="GR420:GR422"/>
    <mergeCell ref="GS420:GS422"/>
    <mergeCell ref="GT420:GT422"/>
    <mergeCell ref="GU420:GU422"/>
    <mergeCell ref="GV420:GV422"/>
    <mergeCell ref="GW420:GW422"/>
    <mergeCell ref="GX420:GX422"/>
    <mergeCell ref="GG420:GG422"/>
    <mergeCell ref="GH420:GH422"/>
    <mergeCell ref="GI420:GI422"/>
    <mergeCell ref="IM420:IM422"/>
    <mergeCell ref="IN420:IN422"/>
    <mergeCell ref="IO420:IO422"/>
    <mergeCell ref="IP420:IP422"/>
    <mergeCell ref="IQ420:IQ422"/>
    <mergeCell ref="HZ420:HZ422"/>
    <mergeCell ref="IA420:IA422"/>
    <mergeCell ref="IB420:IB422"/>
    <mergeCell ref="IC420:IC422"/>
    <mergeCell ref="ID420:ID422"/>
    <mergeCell ref="IE420:IE422"/>
    <mergeCell ref="IF420:IF422"/>
    <mergeCell ref="IG420:IG422"/>
    <mergeCell ref="IH420:IH422"/>
    <mergeCell ref="HD420:HD422"/>
    <mergeCell ref="HE420:HE422"/>
    <mergeCell ref="HF420:HF422"/>
    <mergeCell ref="HG420:HG422"/>
    <mergeCell ref="HV420:HV422"/>
    <mergeCell ref="HW420:HW422"/>
    <mergeCell ref="HX420:HX422"/>
    <mergeCell ref="HY420:HY422"/>
    <mergeCell ref="HH420:HH422"/>
    <mergeCell ref="HI420:HI422"/>
    <mergeCell ref="HJ420:HJ422"/>
    <mergeCell ref="HK420:HK422"/>
    <mergeCell ref="HL420:HL422"/>
    <mergeCell ref="HM420:HM422"/>
    <mergeCell ref="HN420:HN422"/>
    <mergeCell ref="HO420:HO422"/>
    <mergeCell ref="HP420:HP422"/>
    <mergeCell ref="II420:II422"/>
    <mergeCell ref="GM420:GM422"/>
    <mergeCell ref="GN420:GN422"/>
    <mergeCell ref="GO420:GO422"/>
    <mergeCell ref="FC420:FC422"/>
    <mergeCell ref="FD420:FD422"/>
    <mergeCell ref="FE420:FE422"/>
    <mergeCell ref="EN420:EN422"/>
    <mergeCell ref="EO420:EO422"/>
    <mergeCell ref="EP420:EP422"/>
    <mergeCell ref="EQ420:EQ422"/>
    <mergeCell ref="ER420:ER422"/>
    <mergeCell ref="ES420:ES422"/>
    <mergeCell ref="ET420:ET422"/>
    <mergeCell ref="EU420:EU422"/>
    <mergeCell ref="EV420:EV422"/>
    <mergeCell ref="GY420:GY422"/>
    <mergeCell ref="GZ420:GZ422"/>
    <mergeCell ref="FI420:FI422"/>
    <mergeCell ref="FJ420:FJ422"/>
    <mergeCell ref="FK420:FK422"/>
    <mergeCell ref="FL420:FL422"/>
    <mergeCell ref="FM420:FM422"/>
    <mergeCell ref="FN420:FN422"/>
    <mergeCell ref="EW420:EW422"/>
    <mergeCell ref="EX420:EX422"/>
    <mergeCell ref="EY420:EY422"/>
    <mergeCell ref="EZ420:EZ422"/>
    <mergeCell ref="FA420:FA422"/>
    <mergeCell ref="FB420:FB422"/>
    <mergeCell ref="GJ420:GJ422"/>
    <mergeCell ref="GK420:GK422"/>
    <mergeCell ref="GL420:GL422"/>
    <mergeCell ref="HA420:HA422"/>
    <mergeCell ref="HB420:HB422"/>
    <mergeCell ref="HC420:HC422"/>
    <mergeCell ref="FX420:FX422"/>
    <mergeCell ref="FY420:FY422"/>
    <mergeCell ref="FZ420:FZ422"/>
    <mergeCell ref="GA420:GA422"/>
    <mergeCell ref="GB420:GB422"/>
    <mergeCell ref="GC420:GC422"/>
    <mergeCell ref="GD420:GD422"/>
    <mergeCell ref="GE420:GE422"/>
    <mergeCell ref="GF420:GF422"/>
    <mergeCell ref="DE420:DE422"/>
    <mergeCell ref="DF420:DF422"/>
    <mergeCell ref="DG420:DG422"/>
    <mergeCell ref="DH420:DH422"/>
    <mergeCell ref="DI420:DI422"/>
    <mergeCell ref="DJ420:DJ422"/>
    <mergeCell ref="DK420:DK422"/>
    <mergeCell ref="DL420:DL422"/>
    <mergeCell ref="FO420:FO422"/>
    <mergeCell ref="FP420:FP422"/>
    <mergeCell ref="FQ420:FQ422"/>
    <mergeCell ref="FR420:FR422"/>
    <mergeCell ref="FS420:FS422"/>
    <mergeCell ref="FT420:FT422"/>
    <mergeCell ref="FU420:FU422"/>
    <mergeCell ref="FV420:FV422"/>
    <mergeCell ref="FW420:FW422"/>
    <mergeCell ref="FF420:FF422"/>
    <mergeCell ref="FG420:FG422"/>
    <mergeCell ref="FH420:FH422"/>
    <mergeCell ref="BY420:BY422"/>
    <mergeCell ref="BZ420:BZ422"/>
    <mergeCell ref="CA420:CA422"/>
    <mergeCell ref="CB420:CB422"/>
    <mergeCell ref="EE420:EE422"/>
    <mergeCell ref="EF420:EF422"/>
    <mergeCell ref="EG420:EG422"/>
    <mergeCell ref="EH420:EH422"/>
    <mergeCell ref="EI420:EI422"/>
    <mergeCell ref="EJ420:EJ422"/>
    <mergeCell ref="EK420:EK422"/>
    <mergeCell ref="EL420:EL422"/>
    <mergeCell ref="EM420:EM422"/>
    <mergeCell ref="DV420:DV422"/>
    <mergeCell ref="DW420:DW422"/>
    <mergeCell ref="DX420:DX422"/>
    <mergeCell ref="DY420:DY422"/>
    <mergeCell ref="DZ420:DZ422"/>
    <mergeCell ref="EA420:EA422"/>
    <mergeCell ref="EB420:EB422"/>
    <mergeCell ref="EC420:EC422"/>
    <mergeCell ref="ED420:ED422"/>
    <mergeCell ref="DM420:DM422"/>
    <mergeCell ref="DN420:DN422"/>
    <mergeCell ref="DO420:DO422"/>
    <mergeCell ref="DP420:DP422"/>
    <mergeCell ref="DQ420:DQ422"/>
    <mergeCell ref="DR420:DR422"/>
    <mergeCell ref="DS420:DS422"/>
    <mergeCell ref="DT420:DT422"/>
    <mergeCell ref="DU420:DU422"/>
    <mergeCell ref="DD420:DD422"/>
    <mergeCell ref="AJ420:AJ422"/>
    <mergeCell ref="AK420:AK422"/>
    <mergeCell ref="AL420:AL422"/>
    <mergeCell ref="AM420:AM422"/>
    <mergeCell ref="AN420:AN422"/>
    <mergeCell ref="AO420:AO422"/>
    <mergeCell ref="AP420:AP422"/>
    <mergeCell ref="AQ420:AQ422"/>
    <mergeCell ref="AR420:AR422"/>
    <mergeCell ref="CU420:CU422"/>
    <mergeCell ref="CV420:CV422"/>
    <mergeCell ref="CW420:CW422"/>
    <mergeCell ref="CX420:CX422"/>
    <mergeCell ref="CY420:CY422"/>
    <mergeCell ref="CZ420:CZ422"/>
    <mergeCell ref="DA420:DA422"/>
    <mergeCell ref="DB420:DB422"/>
    <mergeCell ref="CL420:CL422"/>
    <mergeCell ref="CM420:CM422"/>
    <mergeCell ref="CN420:CN422"/>
    <mergeCell ref="CO420:CO422"/>
    <mergeCell ref="CP420:CP422"/>
    <mergeCell ref="CQ420:CQ422"/>
    <mergeCell ref="CR420:CR422"/>
    <mergeCell ref="CS420:CS422"/>
    <mergeCell ref="CT420:CT422"/>
    <mergeCell ref="CC420:CC422"/>
    <mergeCell ref="CD420:CD422"/>
    <mergeCell ref="CE420:CE422"/>
    <mergeCell ref="CF420:CF422"/>
    <mergeCell ref="CG420:CG422"/>
    <mergeCell ref="CH420:CH422"/>
    <mergeCell ref="BB420:BB422"/>
    <mergeCell ref="BC420:BC422"/>
    <mergeCell ref="BD420:BD422"/>
    <mergeCell ref="BE420:BE422"/>
    <mergeCell ref="BF420:BF422"/>
    <mergeCell ref="BG420:BG422"/>
    <mergeCell ref="BH420:BH422"/>
    <mergeCell ref="BI420:BI422"/>
    <mergeCell ref="BJ420:BJ422"/>
    <mergeCell ref="AS420:AS422"/>
    <mergeCell ref="AT420:AT422"/>
    <mergeCell ref="AU420:AU422"/>
    <mergeCell ref="AV420:AV422"/>
    <mergeCell ref="AW420:AW422"/>
    <mergeCell ref="AX420:AX422"/>
    <mergeCell ref="AY420:AY422"/>
    <mergeCell ref="AZ420:AZ422"/>
    <mergeCell ref="BA420:BA422"/>
    <mergeCell ref="II417:II419"/>
    <mergeCell ref="HR417:HR419"/>
    <mergeCell ref="HS417:HS419"/>
    <mergeCell ref="HT417:HT419"/>
    <mergeCell ref="HU417:HU419"/>
    <mergeCell ref="HV417:HV419"/>
    <mergeCell ref="HW417:HW419"/>
    <mergeCell ref="HX417:HX419"/>
    <mergeCell ref="HY417:HY419"/>
    <mergeCell ref="HZ417:HZ419"/>
    <mergeCell ref="HI417:HI419"/>
    <mergeCell ref="HJ417:HJ419"/>
    <mergeCell ref="HK417:HK419"/>
    <mergeCell ref="HL417:HL419"/>
    <mergeCell ref="BK420:BK422"/>
    <mergeCell ref="BL420:BL422"/>
    <mergeCell ref="BM420:BM422"/>
    <mergeCell ref="BN420:BN422"/>
    <mergeCell ref="BO420:BO422"/>
    <mergeCell ref="BP420:BP422"/>
    <mergeCell ref="BQ420:BQ422"/>
    <mergeCell ref="BR420:BR422"/>
    <mergeCell ref="BS420:BS422"/>
    <mergeCell ref="DC420:DC422"/>
    <mergeCell ref="CI420:CI422"/>
    <mergeCell ref="CJ420:CJ422"/>
    <mergeCell ref="CK420:CK422"/>
    <mergeCell ref="BT420:BT422"/>
    <mergeCell ref="BU420:BU422"/>
    <mergeCell ref="BV420:BV422"/>
    <mergeCell ref="BW420:BW422"/>
    <mergeCell ref="BX420:BX422"/>
    <mergeCell ref="IJ417:IJ419"/>
    <mergeCell ref="IK417:IK419"/>
    <mergeCell ref="IL417:IL419"/>
    <mergeCell ref="IM417:IM419"/>
    <mergeCell ref="IN417:IN419"/>
    <mergeCell ref="IO417:IO419"/>
    <mergeCell ref="IP417:IP419"/>
    <mergeCell ref="IQ417:IQ419"/>
    <mergeCell ref="A420:A422"/>
    <mergeCell ref="B420:B422"/>
    <mergeCell ref="C420:C422"/>
    <mergeCell ref="D420:D422"/>
    <mergeCell ref="E420:E422"/>
    <mergeCell ref="G420:G422"/>
    <mergeCell ref="H420:H422"/>
    <mergeCell ref="I420:I422"/>
    <mergeCell ref="J420:J422"/>
    <mergeCell ref="K420:K422"/>
    <mergeCell ref="L420:L422"/>
    <mergeCell ref="M420:M422"/>
    <mergeCell ref="N420:N422"/>
    <mergeCell ref="O420:O422"/>
    <mergeCell ref="P420:P422"/>
    <mergeCell ref="Q420:Q422"/>
    <mergeCell ref="IA417:IA419"/>
    <mergeCell ref="IB417:IB419"/>
    <mergeCell ref="IC417:IC419"/>
    <mergeCell ref="ID417:ID419"/>
    <mergeCell ref="IE417:IE419"/>
    <mergeCell ref="IF417:IF419"/>
    <mergeCell ref="IG417:IG419"/>
    <mergeCell ref="IH417:IH419"/>
    <mergeCell ref="AA420:AA422"/>
    <mergeCell ref="AB420:AB422"/>
    <mergeCell ref="AC420:AC422"/>
    <mergeCell ref="AD420:AD422"/>
    <mergeCell ref="AE420:AE422"/>
    <mergeCell ref="AF420:AF422"/>
    <mergeCell ref="AG420:AG422"/>
    <mergeCell ref="AH420:AH422"/>
    <mergeCell ref="AI420:AI422"/>
    <mergeCell ref="R420:R422"/>
    <mergeCell ref="S420:S422"/>
    <mergeCell ref="T420:T422"/>
    <mergeCell ref="U420:U422"/>
    <mergeCell ref="V420:V422"/>
    <mergeCell ref="W420:W422"/>
    <mergeCell ref="X420:X422"/>
    <mergeCell ref="Y420:Y422"/>
    <mergeCell ref="Z420:Z422"/>
    <mergeCell ref="GH417:GH419"/>
    <mergeCell ref="GI417:GI419"/>
    <mergeCell ref="GJ417:GJ419"/>
    <mergeCell ref="GK417:GK419"/>
    <mergeCell ref="GL417:GL419"/>
    <mergeCell ref="GM417:GM419"/>
    <mergeCell ref="GN417:GN419"/>
    <mergeCell ref="GO417:GO419"/>
    <mergeCell ref="GP417:GP419"/>
    <mergeCell ref="FY417:FY419"/>
    <mergeCell ref="FZ417:FZ419"/>
    <mergeCell ref="GA417:GA419"/>
    <mergeCell ref="GB417:GB419"/>
    <mergeCell ref="GC417:GC419"/>
    <mergeCell ref="GD417:GD419"/>
    <mergeCell ref="GE417:GE419"/>
    <mergeCell ref="GF417:GF419"/>
    <mergeCell ref="GG417:GG419"/>
    <mergeCell ref="HM417:HM419"/>
    <mergeCell ref="HN417:HN419"/>
    <mergeCell ref="HO417:HO419"/>
    <mergeCell ref="HP417:HP419"/>
    <mergeCell ref="HQ417:HQ419"/>
    <mergeCell ref="GZ417:GZ419"/>
    <mergeCell ref="HA417:HA419"/>
    <mergeCell ref="HB417:HB419"/>
    <mergeCell ref="HC417:HC419"/>
    <mergeCell ref="HD417:HD419"/>
    <mergeCell ref="HE417:HE419"/>
    <mergeCell ref="HF417:HF419"/>
    <mergeCell ref="HG417:HG419"/>
    <mergeCell ref="HH417:HH419"/>
    <mergeCell ref="GQ417:GQ419"/>
    <mergeCell ref="GR417:GR419"/>
    <mergeCell ref="GS417:GS419"/>
    <mergeCell ref="GT417:GT419"/>
    <mergeCell ref="GU417:GU419"/>
    <mergeCell ref="GV417:GV419"/>
    <mergeCell ref="GW417:GW419"/>
    <mergeCell ref="GX417:GX419"/>
    <mergeCell ref="GY417:GY419"/>
    <mergeCell ref="EX417:EX419"/>
    <mergeCell ref="EY417:EY419"/>
    <mergeCell ref="EZ417:EZ419"/>
    <mergeCell ref="FA417:FA419"/>
    <mergeCell ref="FB417:FB419"/>
    <mergeCell ref="FC417:FC419"/>
    <mergeCell ref="FD417:FD419"/>
    <mergeCell ref="FE417:FE419"/>
    <mergeCell ref="FF417:FF419"/>
    <mergeCell ref="EO417:EO419"/>
    <mergeCell ref="EP417:EP419"/>
    <mergeCell ref="EQ417:EQ419"/>
    <mergeCell ref="ER417:ER419"/>
    <mergeCell ref="ES417:ES419"/>
    <mergeCell ref="ET417:ET419"/>
    <mergeCell ref="EU417:EU419"/>
    <mergeCell ref="EV417:EV419"/>
    <mergeCell ref="EW417:EW419"/>
    <mergeCell ref="FP417:FP419"/>
    <mergeCell ref="FQ417:FQ419"/>
    <mergeCell ref="FR417:FR419"/>
    <mergeCell ref="FS417:FS419"/>
    <mergeCell ref="FT417:FT419"/>
    <mergeCell ref="FU417:FU419"/>
    <mergeCell ref="FV417:FV419"/>
    <mergeCell ref="FW417:FW419"/>
    <mergeCell ref="FX417:FX419"/>
    <mergeCell ref="FG417:FG419"/>
    <mergeCell ref="FH417:FH419"/>
    <mergeCell ref="FI417:FI419"/>
    <mergeCell ref="FJ417:FJ419"/>
    <mergeCell ref="FK417:FK419"/>
    <mergeCell ref="FL417:FL419"/>
    <mergeCell ref="FM417:FM419"/>
    <mergeCell ref="FN417:FN419"/>
    <mergeCell ref="FO417:FO419"/>
    <mergeCell ref="DN417:DN419"/>
    <mergeCell ref="DO417:DO419"/>
    <mergeCell ref="DP417:DP419"/>
    <mergeCell ref="DQ417:DQ419"/>
    <mergeCell ref="DR417:DR419"/>
    <mergeCell ref="DS417:DS419"/>
    <mergeCell ref="DT417:DT419"/>
    <mergeCell ref="DU417:DU419"/>
    <mergeCell ref="DV417:DV419"/>
    <mergeCell ref="DE417:DE419"/>
    <mergeCell ref="DF417:DF419"/>
    <mergeCell ref="DG417:DG419"/>
    <mergeCell ref="DH417:DH419"/>
    <mergeCell ref="DI417:DI419"/>
    <mergeCell ref="DJ417:DJ419"/>
    <mergeCell ref="DK417:DK419"/>
    <mergeCell ref="DL417:DL419"/>
    <mergeCell ref="DM417:DM419"/>
    <mergeCell ref="EF417:EF419"/>
    <mergeCell ref="EG417:EG419"/>
    <mergeCell ref="EH417:EH419"/>
    <mergeCell ref="EI417:EI419"/>
    <mergeCell ref="EJ417:EJ419"/>
    <mergeCell ref="EK417:EK419"/>
    <mergeCell ref="EL417:EL419"/>
    <mergeCell ref="EM417:EM419"/>
    <mergeCell ref="EN417:EN419"/>
    <mergeCell ref="DW417:DW419"/>
    <mergeCell ref="DX417:DX419"/>
    <mergeCell ref="DY417:DY419"/>
    <mergeCell ref="DZ417:DZ419"/>
    <mergeCell ref="EA417:EA419"/>
    <mergeCell ref="EB417:EB419"/>
    <mergeCell ref="EC417:EC419"/>
    <mergeCell ref="ED417:ED419"/>
    <mergeCell ref="EE417:EE419"/>
    <mergeCell ref="CD417:CD419"/>
    <mergeCell ref="CE417:CE419"/>
    <mergeCell ref="CF417:CF419"/>
    <mergeCell ref="CG417:CG419"/>
    <mergeCell ref="CH417:CH419"/>
    <mergeCell ref="CI417:CI419"/>
    <mergeCell ref="CJ417:CJ419"/>
    <mergeCell ref="CK417:CK419"/>
    <mergeCell ref="CL417:CL419"/>
    <mergeCell ref="BU417:BU419"/>
    <mergeCell ref="BV417:BV419"/>
    <mergeCell ref="BW417:BW419"/>
    <mergeCell ref="BX417:BX419"/>
    <mergeCell ref="BY417:BY419"/>
    <mergeCell ref="BZ417:BZ419"/>
    <mergeCell ref="CA417:CA419"/>
    <mergeCell ref="CB417:CB419"/>
    <mergeCell ref="CC417:CC419"/>
    <mergeCell ref="CV417:CV419"/>
    <mergeCell ref="CW417:CW419"/>
    <mergeCell ref="CX417:CX419"/>
    <mergeCell ref="CY417:CY419"/>
    <mergeCell ref="CZ417:CZ419"/>
    <mergeCell ref="DA417:DA419"/>
    <mergeCell ref="DB417:DB419"/>
    <mergeCell ref="DC417:DC419"/>
    <mergeCell ref="DD417:DD419"/>
    <mergeCell ref="CM417:CM419"/>
    <mergeCell ref="CN417:CN419"/>
    <mergeCell ref="CO417:CO419"/>
    <mergeCell ref="CP417:CP419"/>
    <mergeCell ref="CQ417:CQ419"/>
    <mergeCell ref="CR417:CR419"/>
    <mergeCell ref="CS417:CS419"/>
    <mergeCell ref="CT417:CT419"/>
    <mergeCell ref="CU417:CU419"/>
    <mergeCell ref="AT417:AT419"/>
    <mergeCell ref="AU417:AU419"/>
    <mergeCell ref="AV417:AV419"/>
    <mergeCell ref="AW417:AW419"/>
    <mergeCell ref="AX417:AX419"/>
    <mergeCell ref="AY417:AY419"/>
    <mergeCell ref="AZ417:AZ419"/>
    <mergeCell ref="BA417:BA419"/>
    <mergeCell ref="BB417:BB419"/>
    <mergeCell ref="AK417:AK419"/>
    <mergeCell ref="AL417:AL419"/>
    <mergeCell ref="AM417:AM419"/>
    <mergeCell ref="AN417:AN419"/>
    <mergeCell ref="AO417:AO419"/>
    <mergeCell ref="AP417:AP419"/>
    <mergeCell ref="AQ417:AQ419"/>
    <mergeCell ref="AR417:AR419"/>
    <mergeCell ref="AS417:AS419"/>
    <mergeCell ref="BL417:BL419"/>
    <mergeCell ref="BM417:BM419"/>
    <mergeCell ref="BN417:BN419"/>
    <mergeCell ref="BO417:BO419"/>
    <mergeCell ref="BP417:BP419"/>
    <mergeCell ref="BQ417:BQ419"/>
    <mergeCell ref="BR417:BR419"/>
    <mergeCell ref="BS417:BS419"/>
    <mergeCell ref="BT417:BT419"/>
    <mergeCell ref="BC417:BC419"/>
    <mergeCell ref="BD417:BD419"/>
    <mergeCell ref="BE417:BE419"/>
    <mergeCell ref="BF417:BF419"/>
    <mergeCell ref="BG417:BG419"/>
    <mergeCell ref="BH417:BH419"/>
    <mergeCell ref="BI417:BI419"/>
    <mergeCell ref="BJ417:BJ419"/>
    <mergeCell ref="BK417:BK419"/>
    <mergeCell ref="A417:A419"/>
    <mergeCell ref="B417:B419"/>
    <mergeCell ref="C417:C419"/>
    <mergeCell ref="D417:D419"/>
    <mergeCell ref="E417:E419"/>
    <mergeCell ref="G417:G419"/>
    <mergeCell ref="H417:H419"/>
    <mergeCell ref="I417:I419"/>
    <mergeCell ref="J417:J419"/>
    <mergeCell ref="K417:K419"/>
    <mergeCell ref="L417:L419"/>
    <mergeCell ref="M417:M419"/>
    <mergeCell ref="N417:N419"/>
    <mergeCell ref="O417:O419"/>
    <mergeCell ref="P417:P419"/>
    <mergeCell ref="Q417:Q419"/>
    <mergeCell ref="R417:R419"/>
    <mergeCell ref="AB417:AB419"/>
    <mergeCell ref="AC417:AC419"/>
    <mergeCell ref="AD417:AD419"/>
    <mergeCell ref="AE417:AE419"/>
    <mergeCell ref="AF417:AF419"/>
    <mergeCell ref="AG417:AG419"/>
    <mergeCell ref="AH417:AH419"/>
    <mergeCell ref="AI417:AI419"/>
    <mergeCell ref="AJ417:AJ419"/>
    <mergeCell ref="S417:S419"/>
    <mergeCell ref="T417:T419"/>
    <mergeCell ref="U417:U419"/>
    <mergeCell ref="V417:V419"/>
    <mergeCell ref="W417:W419"/>
    <mergeCell ref="X417:X419"/>
    <mergeCell ref="Y417:Y419"/>
    <mergeCell ref="Z417:Z419"/>
    <mergeCell ref="AA417:AA419"/>
    <mergeCell ref="HQ404:HQ406"/>
    <mergeCell ref="HR404:HR406"/>
    <mergeCell ref="HS404:HS406"/>
    <mergeCell ref="HT404:HT406"/>
    <mergeCell ref="HU404:HU406"/>
    <mergeCell ref="HV404:HV406"/>
    <mergeCell ref="HW404:HW406"/>
    <mergeCell ref="HX404:HX406"/>
    <mergeCell ref="HY404:HY406"/>
    <mergeCell ref="HH404:HH406"/>
    <mergeCell ref="HI404:HI406"/>
    <mergeCell ref="HJ404:HJ406"/>
    <mergeCell ref="HK404:HK406"/>
    <mergeCell ref="HL404:HL406"/>
    <mergeCell ref="HM404:HM406"/>
    <mergeCell ref="HN404:HN406"/>
    <mergeCell ref="HO404:HO406"/>
    <mergeCell ref="HP404:HP406"/>
    <mergeCell ref="II404:II406"/>
    <mergeCell ref="IJ404:IJ406"/>
    <mergeCell ref="IK404:IK406"/>
    <mergeCell ref="IL404:IL406"/>
    <mergeCell ref="IM404:IM406"/>
    <mergeCell ref="IN404:IN406"/>
    <mergeCell ref="IO404:IO406"/>
    <mergeCell ref="IP404:IP406"/>
    <mergeCell ref="IQ404:IQ406"/>
    <mergeCell ref="HZ404:HZ406"/>
    <mergeCell ref="IA404:IA406"/>
    <mergeCell ref="IB404:IB406"/>
    <mergeCell ref="IC404:IC406"/>
    <mergeCell ref="ID404:ID406"/>
    <mergeCell ref="IE404:IE406"/>
    <mergeCell ref="IF404:IF406"/>
    <mergeCell ref="IG404:IG406"/>
    <mergeCell ref="IH404:IH406"/>
    <mergeCell ref="HD404:HD406"/>
    <mergeCell ref="HE404:HE406"/>
    <mergeCell ref="HF404:HF406"/>
    <mergeCell ref="HG404:HG406"/>
    <mergeCell ref="GP404:GP406"/>
    <mergeCell ref="GQ404:GQ406"/>
    <mergeCell ref="GR404:GR406"/>
    <mergeCell ref="GS404:GS406"/>
    <mergeCell ref="GT404:GT406"/>
    <mergeCell ref="GU404:GU406"/>
    <mergeCell ref="GV404:GV406"/>
    <mergeCell ref="GW404:GW406"/>
    <mergeCell ref="GX404:GX406"/>
    <mergeCell ref="GG404:GG406"/>
    <mergeCell ref="GH404:GH406"/>
    <mergeCell ref="GI404:GI406"/>
    <mergeCell ref="GJ404:GJ406"/>
    <mergeCell ref="GK404:GK406"/>
    <mergeCell ref="GL404:GL406"/>
    <mergeCell ref="GM404:GM406"/>
    <mergeCell ref="GN404:GN406"/>
    <mergeCell ref="GO404:GO406"/>
    <mergeCell ref="FC404:FC406"/>
    <mergeCell ref="FD404:FD406"/>
    <mergeCell ref="FE404:FE406"/>
    <mergeCell ref="EN404:EN406"/>
    <mergeCell ref="EO404:EO406"/>
    <mergeCell ref="EP404:EP406"/>
    <mergeCell ref="EQ404:EQ406"/>
    <mergeCell ref="ER404:ER406"/>
    <mergeCell ref="ES404:ES406"/>
    <mergeCell ref="ET404:ET406"/>
    <mergeCell ref="EU404:EU406"/>
    <mergeCell ref="EV404:EV406"/>
    <mergeCell ref="GY404:GY406"/>
    <mergeCell ref="GZ404:GZ406"/>
    <mergeCell ref="HA404:HA406"/>
    <mergeCell ref="HB404:HB406"/>
    <mergeCell ref="HC404:HC406"/>
    <mergeCell ref="FX404:FX406"/>
    <mergeCell ref="FY404:FY406"/>
    <mergeCell ref="FZ404:FZ406"/>
    <mergeCell ref="GA404:GA406"/>
    <mergeCell ref="GB404:GB406"/>
    <mergeCell ref="GC404:GC406"/>
    <mergeCell ref="GD404:GD406"/>
    <mergeCell ref="GE404:GE406"/>
    <mergeCell ref="GF404:GF406"/>
    <mergeCell ref="DE404:DE406"/>
    <mergeCell ref="DF404:DF406"/>
    <mergeCell ref="DG404:DG406"/>
    <mergeCell ref="DH404:DH406"/>
    <mergeCell ref="DI404:DI406"/>
    <mergeCell ref="DJ404:DJ406"/>
    <mergeCell ref="DK404:DK406"/>
    <mergeCell ref="DL404:DL406"/>
    <mergeCell ref="FO404:FO406"/>
    <mergeCell ref="FP404:FP406"/>
    <mergeCell ref="FQ404:FQ406"/>
    <mergeCell ref="FR404:FR406"/>
    <mergeCell ref="FS404:FS406"/>
    <mergeCell ref="FT404:FT406"/>
    <mergeCell ref="FU404:FU406"/>
    <mergeCell ref="FV404:FV406"/>
    <mergeCell ref="FW404:FW406"/>
    <mergeCell ref="FF404:FF406"/>
    <mergeCell ref="FG404:FG406"/>
    <mergeCell ref="FH404:FH406"/>
    <mergeCell ref="FI404:FI406"/>
    <mergeCell ref="FJ404:FJ406"/>
    <mergeCell ref="FK404:FK406"/>
    <mergeCell ref="FL404:FL406"/>
    <mergeCell ref="FM404:FM406"/>
    <mergeCell ref="FN404:FN406"/>
    <mergeCell ref="EW404:EW406"/>
    <mergeCell ref="EX404:EX406"/>
    <mergeCell ref="EY404:EY406"/>
    <mergeCell ref="EZ404:EZ406"/>
    <mergeCell ref="FA404:FA406"/>
    <mergeCell ref="FB404:FB406"/>
    <mergeCell ref="BY404:BY406"/>
    <mergeCell ref="BZ404:BZ406"/>
    <mergeCell ref="CA404:CA406"/>
    <mergeCell ref="CB404:CB406"/>
    <mergeCell ref="EE404:EE406"/>
    <mergeCell ref="EF404:EF406"/>
    <mergeCell ref="EG404:EG406"/>
    <mergeCell ref="EH404:EH406"/>
    <mergeCell ref="EI404:EI406"/>
    <mergeCell ref="EJ404:EJ406"/>
    <mergeCell ref="EK404:EK406"/>
    <mergeCell ref="EL404:EL406"/>
    <mergeCell ref="EM404:EM406"/>
    <mergeCell ref="DV404:DV406"/>
    <mergeCell ref="DW404:DW406"/>
    <mergeCell ref="DX404:DX406"/>
    <mergeCell ref="DY404:DY406"/>
    <mergeCell ref="DZ404:DZ406"/>
    <mergeCell ref="EA404:EA406"/>
    <mergeCell ref="EB404:EB406"/>
    <mergeCell ref="EC404:EC406"/>
    <mergeCell ref="ED404:ED406"/>
    <mergeCell ref="DM404:DM406"/>
    <mergeCell ref="DN404:DN406"/>
    <mergeCell ref="DO404:DO406"/>
    <mergeCell ref="DP404:DP406"/>
    <mergeCell ref="DQ404:DQ406"/>
    <mergeCell ref="DR404:DR406"/>
    <mergeCell ref="DS404:DS406"/>
    <mergeCell ref="DT404:DT406"/>
    <mergeCell ref="DU404:DU406"/>
    <mergeCell ref="DD404:DD406"/>
    <mergeCell ref="AJ404:AJ406"/>
    <mergeCell ref="AK404:AK406"/>
    <mergeCell ref="AL404:AL406"/>
    <mergeCell ref="AM404:AM406"/>
    <mergeCell ref="AN404:AN406"/>
    <mergeCell ref="AO404:AO406"/>
    <mergeCell ref="AP404:AP406"/>
    <mergeCell ref="AQ404:AQ406"/>
    <mergeCell ref="AR404:AR406"/>
    <mergeCell ref="CU404:CU406"/>
    <mergeCell ref="CV404:CV406"/>
    <mergeCell ref="CW404:CW406"/>
    <mergeCell ref="CX404:CX406"/>
    <mergeCell ref="CY404:CY406"/>
    <mergeCell ref="CZ404:CZ406"/>
    <mergeCell ref="DA404:DA406"/>
    <mergeCell ref="DB404:DB406"/>
    <mergeCell ref="CL404:CL406"/>
    <mergeCell ref="CM404:CM406"/>
    <mergeCell ref="CN404:CN406"/>
    <mergeCell ref="CO404:CO406"/>
    <mergeCell ref="CP404:CP406"/>
    <mergeCell ref="CQ404:CQ406"/>
    <mergeCell ref="CR404:CR406"/>
    <mergeCell ref="CS404:CS406"/>
    <mergeCell ref="CT404:CT406"/>
    <mergeCell ref="CC404:CC406"/>
    <mergeCell ref="CD404:CD406"/>
    <mergeCell ref="CE404:CE406"/>
    <mergeCell ref="CF404:CF406"/>
    <mergeCell ref="CG404:CG406"/>
    <mergeCell ref="CH404:CH406"/>
    <mergeCell ref="BB404:BB406"/>
    <mergeCell ref="BC404:BC406"/>
    <mergeCell ref="BD404:BD406"/>
    <mergeCell ref="BE404:BE406"/>
    <mergeCell ref="BF404:BF406"/>
    <mergeCell ref="BG404:BG406"/>
    <mergeCell ref="BH404:BH406"/>
    <mergeCell ref="BI404:BI406"/>
    <mergeCell ref="BJ404:BJ406"/>
    <mergeCell ref="AS404:AS406"/>
    <mergeCell ref="AT404:AT406"/>
    <mergeCell ref="AU404:AU406"/>
    <mergeCell ref="AV404:AV406"/>
    <mergeCell ref="AW404:AW406"/>
    <mergeCell ref="AX404:AX406"/>
    <mergeCell ref="AY404:AY406"/>
    <mergeCell ref="AZ404:AZ406"/>
    <mergeCell ref="BA404:BA406"/>
    <mergeCell ref="II401:II403"/>
    <mergeCell ref="HR401:HR403"/>
    <mergeCell ref="HS401:HS403"/>
    <mergeCell ref="HT401:HT403"/>
    <mergeCell ref="HU401:HU403"/>
    <mergeCell ref="HV401:HV403"/>
    <mergeCell ref="HW401:HW403"/>
    <mergeCell ref="HX401:HX403"/>
    <mergeCell ref="HY401:HY403"/>
    <mergeCell ref="HZ401:HZ403"/>
    <mergeCell ref="HI401:HI403"/>
    <mergeCell ref="HJ401:HJ403"/>
    <mergeCell ref="HK401:HK403"/>
    <mergeCell ref="HL401:HL403"/>
    <mergeCell ref="BK404:BK406"/>
    <mergeCell ref="BL404:BL406"/>
    <mergeCell ref="BM404:BM406"/>
    <mergeCell ref="BN404:BN406"/>
    <mergeCell ref="BO404:BO406"/>
    <mergeCell ref="BP404:BP406"/>
    <mergeCell ref="BQ404:BQ406"/>
    <mergeCell ref="BR404:BR406"/>
    <mergeCell ref="BS404:BS406"/>
    <mergeCell ref="DC404:DC406"/>
    <mergeCell ref="CI404:CI406"/>
    <mergeCell ref="CJ404:CJ406"/>
    <mergeCell ref="CK404:CK406"/>
    <mergeCell ref="BT404:BT406"/>
    <mergeCell ref="BU404:BU406"/>
    <mergeCell ref="BV404:BV406"/>
    <mergeCell ref="BW404:BW406"/>
    <mergeCell ref="BX404:BX406"/>
    <mergeCell ref="IJ401:IJ403"/>
    <mergeCell ref="IK401:IK403"/>
    <mergeCell ref="IL401:IL403"/>
    <mergeCell ref="IM401:IM403"/>
    <mergeCell ref="IN401:IN403"/>
    <mergeCell ref="IO401:IO403"/>
    <mergeCell ref="IP401:IP403"/>
    <mergeCell ref="IQ401:IQ403"/>
    <mergeCell ref="A404:A406"/>
    <mergeCell ref="B404:B406"/>
    <mergeCell ref="C404:C406"/>
    <mergeCell ref="D404:D406"/>
    <mergeCell ref="E404:E406"/>
    <mergeCell ref="G404:G406"/>
    <mergeCell ref="H404:H406"/>
    <mergeCell ref="I404:I406"/>
    <mergeCell ref="J404:J406"/>
    <mergeCell ref="K404:K406"/>
    <mergeCell ref="L404:L406"/>
    <mergeCell ref="M404:M406"/>
    <mergeCell ref="N404:N406"/>
    <mergeCell ref="O404:O406"/>
    <mergeCell ref="P404:P406"/>
    <mergeCell ref="Q404:Q406"/>
    <mergeCell ref="IA401:IA403"/>
    <mergeCell ref="IB401:IB403"/>
    <mergeCell ref="IC401:IC403"/>
    <mergeCell ref="ID401:ID403"/>
    <mergeCell ref="IE401:IE403"/>
    <mergeCell ref="IF401:IF403"/>
    <mergeCell ref="IG401:IG403"/>
    <mergeCell ref="IH401:IH403"/>
    <mergeCell ref="AA404:AA406"/>
    <mergeCell ref="AB404:AB406"/>
    <mergeCell ref="AC404:AC406"/>
    <mergeCell ref="AD404:AD406"/>
    <mergeCell ref="AE404:AE406"/>
    <mergeCell ref="AF404:AF406"/>
    <mergeCell ref="AG404:AG406"/>
    <mergeCell ref="AH404:AH406"/>
    <mergeCell ref="AI404:AI406"/>
    <mergeCell ref="R404:R406"/>
    <mergeCell ref="S404:S406"/>
    <mergeCell ref="T404:T406"/>
    <mergeCell ref="U404:U406"/>
    <mergeCell ref="V404:V406"/>
    <mergeCell ref="W404:W406"/>
    <mergeCell ref="X404:X406"/>
    <mergeCell ref="Y404:Y406"/>
    <mergeCell ref="Z404:Z406"/>
    <mergeCell ref="GH401:GH403"/>
    <mergeCell ref="GI401:GI403"/>
    <mergeCell ref="GJ401:GJ403"/>
    <mergeCell ref="GK401:GK403"/>
    <mergeCell ref="GL401:GL403"/>
    <mergeCell ref="GM401:GM403"/>
    <mergeCell ref="GN401:GN403"/>
    <mergeCell ref="GO401:GO403"/>
    <mergeCell ref="GP401:GP403"/>
    <mergeCell ref="FY401:FY403"/>
    <mergeCell ref="FZ401:FZ403"/>
    <mergeCell ref="GA401:GA403"/>
    <mergeCell ref="GB401:GB403"/>
    <mergeCell ref="GC401:GC403"/>
    <mergeCell ref="GD401:GD403"/>
    <mergeCell ref="GE401:GE403"/>
    <mergeCell ref="GF401:GF403"/>
    <mergeCell ref="GG401:GG403"/>
    <mergeCell ref="HM401:HM403"/>
    <mergeCell ref="HN401:HN403"/>
    <mergeCell ref="HO401:HO403"/>
    <mergeCell ref="HP401:HP403"/>
    <mergeCell ref="HQ401:HQ403"/>
    <mergeCell ref="GZ401:GZ403"/>
    <mergeCell ref="HA401:HA403"/>
    <mergeCell ref="HB401:HB403"/>
    <mergeCell ref="HC401:HC403"/>
    <mergeCell ref="HD401:HD403"/>
    <mergeCell ref="HE401:HE403"/>
    <mergeCell ref="HF401:HF403"/>
    <mergeCell ref="HG401:HG403"/>
    <mergeCell ref="HH401:HH403"/>
    <mergeCell ref="GQ401:GQ403"/>
    <mergeCell ref="GR401:GR403"/>
    <mergeCell ref="GS401:GS403"/>
    <mergeCell ref="GT401:GT403"/>
    <mergeCell ref="GU401:GU403"/>
    <mergeCell ref="GV401:GV403"/>
    <mergeCell ref="GW401:GW403"/>
    <mergeCell ref="GX401:GX403"/>
    <mergeCell ref="GY401:GY403"/>
    <mergeCell ref="EX401:EX403"/>
    <mergeCell ref="EY401:EY403"/>
    <mergeCell ref="EZ401:EZ403"/>
    <mergeCell ref="FA401:FA403"/>
    <mergeCell ref="FB401:FB403"/>
    <mergeCell ref="FC401:FC403"/>
    <mergeCell ref="FD401:FD403"/>
    <mergeCell ref="FE401:FE403"/>
    <mergeCell ref="FF401:FF403"/>
    <mergeCell ref="EO401:EO403"/>
    <mergeCell ref="EP401:EP403"/>
    <mergeCell ref="EQ401:EQ403"/>
    <mergeCell ref="ER401:ER403"/>
    <mergeCell ref="ES401:ES403"/>
    <mergeCell ref="ET401:ET403"/>
    <mergeCell ref="EU401:EU403"/>
    <mergeCell ref="EV401:EV403"/>
    <mergeCell ref="EW401:EW403"/>
    <mergeCell ref="FP401:FP403"/>
    <mergeCell ref="FQ401:FQ403"/>
    <mergeCell ref="FR401:FR403"/>
    <mergeCell ref="FS401:FS403"/>
    <mergeCell ref="FT401:FT403"/>
    <mergeCell ref="FU401:FU403"/>
    <mergeCell ref="FV401:FV403"/>
    <mergeCell ref="FW401:FW403"/>
    <mergeCell ref="FX401:FX403"/>
    <mergeCell ref="FG401:FG403"/>
    <mergeCell ref="FH401:FH403"/>
    <mergeCell ref="FI401:FI403"/>
    <mergeCell ref="FJ401:FJ403"/>
    <mergeCell ref="FK401:FK403"/>
    <mergeCell ref="FL401:FL403"/>
    <mergeCell ref="FM401:FM403"/>
    <mergeCell ref="FN401:FN403"/>
    <mergeCell ref="FO401:FO403"/>
    <mergeCell ref="DN401:DN403"/>
    <mergeCell ref="DO401:DO403"/>
    <mergeCell ref="DP401:DP403"/>
    <mergeCell ref="DQ401:DQ403"/>
    <mergeCell ref="DR401:DR403"/>
    <mergeCell ref="DS401:DS403"/>
    <mergeCell ref="DT401:DT403"/>
    <mergeCell ref="DU401:DU403"/>
    <mergeCell ref="DV401:DV403"/>
    <mergeCell ref="DE401:DE403"/>
    <mergeCell ref="DF401:DF403"/>
    <mergeCell ref="DG401:DG403"/>
    <mergeCell ref="DH401:DH403"/>
    <mergeCell ref="DI401:DI403"/>
    <mergeCell ref="DJ401:DJ403"/>
    <mergeCell ref="DK401:DK403"/>
    <mergeCell ref="DL401:DL403"/>
    <mergeCell ref="DM401:DM403"/>
    <mergeCell ref="EF401:EF403"/>
    <mergeCell ref="EG401:EG403"/>
    <mergeCell ref="EH401:EH403"/>
    <mergeCell ref="EI401:EI403"/>
    <mergeCell ref="EJ401:EJ403"/>
    <mergeCell ref="EK401:EK403"/>
    <mergeCell ref="EL401:EL403"/>
    <mergeCell ref="EM401:EM403"/>
    <mergeCell ref="EN401:EN403"/>
    <mergeCell ref="DW401:DW403"/>
    <mergeCell ref="DX401:DX403"/>
    <mergeCell ref="DY401:DY403"/>
    <mergeCell ref="DZ401:DZ403"/>
    <mergeCell ref="EA401:EA403"/>
    <mergeCell ref="EB401:EB403"/>
    <mergeCell ref="EC401:EC403"/>
    <mergeCell ref="ED401:ED403"/>
    <mergeCell ref="EE401:EE403"/>
    <mergeCell ref="CD401:CD403"/>
    <mergeCell ref="CE401:CE403"/>
    <mergeCell ref="CF401:CF403"/>
    <mergeCell ref="CG401:CG403"/>
    <mergeCell ref="CH401:CH403"/>
    <mergeCell ref="CI401:CI403"/>
    <mergeCell ref="CJ401:CJ403"/>
    <mergeCell ref="CK401:CK403"/>
    <mergeCell ref="CL401:CL403"/>
    <mergeCell ref="BU401:BU403"/>
    <mergeCell ref="BV401:BV403"/>
    <mergeCell ref="BW401:BW403"/>
    <mergeCell ref="BX401:BX403"/>
    <mergeCell ref="BY401:BY403"/>
    <mergeCell ref="BZ401:BZ403"/>
    <mergeCell ref="CA401:CA403"/>
    <mergeCell ref="CB401:CB403"/>
    <mergeCell ref="CC401:CC403"/>
    <mergeCell ref="CV401:CV403"/>
    <mergeCell ref="CW401:CW403"/>
    <mergeCell ref="CX401:CX403"/>
    <mergeCell ref="CY401:CY403"/>
    <mergeCell ref="CZ401:CZ403"/>
    <mergeCell ref="DA401:DA403"/>
    <mergeCell ref="DB401:DB403"/>
    <mergeCell ref="DC401:DC403"/>
    <mergeCell ref="DD401:DD403"/>
    <mergeCell ref="CM401:CM403"/>
    <mergeCell ref="CN401:CN403"/>
    <mergeCell ref="CO401:CO403"/>
    <mergeCell ref="CP401:CP403"/>
    <mergeCell ref="CQ401:CQ403"/>
    <mergeCell ref="CR401:CR403"/>
    <mergeCell ref="CS401:CS403"/>
    <mergeCell ref="CT401:CT403"/>
    <mergeCell ref="CU401:CU403"/>
    <mergeCell ref="BH401:BH403"/>
    <mergeCell ref="BI401:BI403"/>
    <mergeCell ref="BJ401:BJ403"/>
    <mergeCell ref="BK401:BK403"/>
    <mergeCell ref="AT401:AT403"/>
    <mergeCell ref="AU401:AU403"/>
    <mergeCell ref="AV401:AV403"/>
    <mergeCell ref="AW401:AW403"/>
    <mergeCell ref="AX401:AX403"/>
    <mergeCell ref="AY401:AY403"/>
    <mergeCell ref="AZ401:AZ403"/>
    <mergeCell ref="BA401:BA403"/>
    <mergeCell ref="BB401:BB403"/>
    <mergeCell ref="AK401:AK403"/>
    <mergeCell ref="AL401:AL403"/>
    <mergeCell ref="AM401:AM403"/>
    <mergeCell ref="AN401:AN403"/>
    <mergeCell ref="AO401:AO403"/>
    <mergeCell ref="AP401:AP403"/>
    <mergeCell ref="AQ401:AQ403"/>
    <mergeCell ref="AR401:AR403"/>
    <mergeCell ref="AS401:AS403"/>
    <mergeCell ref="GL396:GL398"/>
    <mergeCell ref="G401:G403"/>
    <mergeCell ref="H401:H403"/>
    <mergeCell ref="I401:I403"/>
    <mergeCell ref="J401:J403"/>
    <mergeCell ref="K401:K403"/>
    <mergeCell ref="L401:L403"/>
    <mergeCell ref="M401:M403"/>
    <mergeCell ref="N401:N403"/>
    <mergeCell ref="O401:O403"/>
    <mergeCell ref="P401:P403"/>
    <mergeCell ref="Q401:Q403"/>
    <mergeCell ref="R401:R403"/>
    <mergeCell ref="AB401:AB403"/>
    <mergeCell ref="AC401:AC403"/>
    <mergeCell ref="AD401:AD403"/>
    <mergeCell ref="AE401:AE403"/>
    <mergeCell ref="AF401:AF403"/>
    <mergeCell ref="BL401:BL403"/>
    <mergeCell ref="BM401:BM403"/>
    <mergeCell ref="BN401:BN403"/>
    <mergeCell ref="BO401:BO403"/>
    <mergeCell ref="BP401:BP403"/>
    <mergeCell ref="BQ401:BQ403"/>
    <mergeCell ref="BR401:BR403"/>
    <mergeCell ref="BS401:BS403"/>
    <mergeCell ref="BT401:BT403"/>
    <mergeCell ref="BC401:BC403"/>
    <mergeCell ref="BD401:BD403"/>
    <mergeCell ref="BE401:BE403"/>
    <mergeCell ref="BF401:BF403"/>
    <mergeCell ref="BG401:BG403"/>
    <mergeCell ref="HP396:HP398"/>
    <mergeCell ref="II396:II398"/>
    <mergeCell ref="IJ396:IJ398"/>
    <mergeCell ref="IK396:IK398"/>
    <mergeCell ref="AG401:AG403"/>
    <mergeCell ref="AH401:AH403"/>
    <mergeCell ref="AI401:AI403"/>
    <mergeCell ref="AJ401:AJ403"/>
    <mergeCell ref="S401:S403"/>
    <mergeCell ref="T401:T403"/>
    <mergeCell ref="U401:U403"/>
    <mergeCell ref="V401:V403"/>
    <mergeCell ref="W401:W403"/>
    <mergeCell ref="X401:X403"/>
    <mergeCell ref="Y401:Y403"/>
    <mergeCell ref="Z401:Z403"/>
    <mergeCell ref="AA401:AA403"/>
    <mergeCell ref="HQ396:HQ398"/>
    <mergeCell ref="HR396:HR398"/>
    <mergeCell ref="HS396:HS398"/>
    <mergeCell ref="HT396:HT398"/>
    <mergeCell ref="GP396:GP398"/>
    <mergeCell ref="GQ396:GQ398"/>
    <mergeCell ref="GR396:GR398"/>
    <mergeCell ref="GS396:GS398"/>
    <mergeCell ref="GT396:GT398"/>
    <mergeCell ref="GU396:GU398"/>
    <mergeCell ref="GV396:GV398"/>
    <mergeCell ref="GW396:GW398"/>
    <mergeCell ref="GX396:GX398"/>
    <mergeCell ref="GG396:GG398"/>
    <mergeCell ref="GH396:GH398"/>
    <mergeCell ref="IL396:IL398"/>
    <mergeCell ref="IM396:IM398"/>
    <mergeCell ref="IN396:IN398"/>
    <mergeCell ref="IO396:IO398"/>
    <mergeCell ref="IP396:IP398"/>
    <mergeCell ref="IQ396:IQ398"/>
    <mergeCell ref="HZ396:HZ398"/>
    <mergeCell ref="IA396:IA398"/>
    <mergeCell ref="IB396:IB398"/>
    <mergeCell ref="IC396:IC398"/>
    <mergeCell ref="ID396:ID398"/>
    <mergeCell ref="IE396:IE398"/>
    <mergeCell ref="IF396:IF398"/>
    <mergeCell ref="IG396:IG398"/>
    <mergeCell ref="IH396:IH398"/>
    <mergeCell ref="HD396:HD398"/>
    <mergeCell ref="HE396:HE398"/>
    <mergeCell ref="HF396:HF398"/>
    <mergeCell ref="HG396:HG398"/>
    <mergeCell ref="HU396:HU398"/>
    <mergeCell ref="HV396:HV398"/>
    <mergeCell ref="HW396:HW398"/>
    <mergeCell ref="HX396:HX398"/>
    <mergeCell ref="HY396:HY398"/>
    <mergeCell ref="HH396:HH398"/>
    <mergeCell ref="HI396:HI398"/>
    <mergeCell ref="HJ396:HJ398"/>
    <mergeCell ref="HK396:HK398"/>
    <mergeCell ref="HL396:HL398"/>
    <mergeCell ref="HM396:HM398"/>
    <mergeCell ref="HN396:HN398"/>
    <mergeCell ref="HO396:HO398"/>
    <mergeCell ref="GM396:GM398"/>
    <mergeCell ref="GN396:GN398"/>
    <mergeCell ref="GO396:GO398"/>
    <mergeCell ref="FC396:FC398"/>
    <mergeCell ref="FD396:FD398"/>
    <mergeCell ref="FE396:FE398"/>
    <mergeCell ref="EN396:EN398"/>
    <mergeCell ref="EO396:EO398"/>
    <mergeCell ref="EP396:EP398"/>
    <mergeCell ref="EQ396:EQ398"/>
    <mergeCell ref="ER396:ER398"/>
    <mergeCell ref="ES396:ES398"/>
    <mergeCell ref="ET396:ET398"/>
    <mergeCell ref="EU396:EU398"/>
    <mergeCell ref="EV396:EV398"/>
    <mergeCell ref="GY396:GY398"/>
    <mergeCell ref="GZ396:GZ398"/>
    <mergeCell ref="FI396:FI398"/>
    <mergeCell ref="FJ396:FJ398"/>
    <mergeCell ref="FK396:FK398"/>
    <mergeCell ref="FL396:FL398"/>
    <mergeCell ref="FM396:FM398"/>
    <mergeCell ref="FN396:FN398"/>
    <mergeCell ref="EW396:EW398"/>
    <mergeCell ref="EX396:EX398"/>
    <mergeCell ref="EY396:EY398"/>
    <mergeCell ref="EZ396:EZ398"/>
    <mergeCell ref="FA396:FA398"/>
    <mergeCell ref="FB396:FB398"/>
    <mergeCell ref="GI396:GI398"/>
    <mergeCell ref="GJ396:GJ398"/>
    <mergeCell ref="GK396:GK398"/>
    <mergeCell ref="HA396:HA398"/>
    <mergeCell ref="HB396:HB398"/>
    <mergeCell ref="HC396:HC398"/>
    <mergeCell ref="FX396:FX398"/>
    <mergeCell ref="FY396:FY398"/>
    <mergeCell ref="FZ396:FZ398"/>
    <mergeCell ref="GA396:GA398"/>
    <mergeCell ref="GB396:GB398"/>
    <mergeCell ref="GC396:GC398"/>
    <mergeCell ref="GD396:GD398"/>
    <mergeCell ref="GE396:GE398"/>
    <mergeCell ref="GF396:GF398"/>
    <mergeCell ref="DE396:DE398"/>
    <mergeCell ref="DF396:DF398"/>
    <mergeCell ref="DG396:DG398"/>
    <mergeCell ref="DH396:DH398"/>
    <mergeCell ref="DI396:DI398"/>
    <mergeCell ref="DJ396:DJ398"/>
    <mergeCell ref="DK396:DK398"/>
    <mergeCell ref="DL396:DL398"/>
    <mergeCell ref="FO396:FO398"/>
    <mergeCell ref="FP396:FP398"/>
    <mergeCell ref="FQ396:FQ398"/>
    <mergeCell ref="FR396:FR398"/>
    <mergeCell ref="FS396:FS398"/>
    <mergeCell ref="FT396:FT398"/>
    <mergeCell ref="FU396:FU398"/>
    <mergeCell ref="FV396:FV398"/>
    <mergeCell ref="FW396:FW398"/>
    <mergeCell ref="FF396:FF398"/>
    <mergeCell ref="FG396:FG398"/>
    <mergeCell ref="FH396:FH398"/>
    <mergeCell ref="BY396:BY398"/>
    <mergeCell ref="BZ396:BZ398"/>
    <mergeCell ref="CA396:CA398"/>
    <mergeCell ref="CB396:CB398"/>
    <mergeCell ref="EE396:EE398"/>
    <mergeCell ref="EF396:EF398"/>
    <mergeCell ref="EG396:EG398"/>
    <mergeCell ref="EH396:EH398"/>
    <mergeCell ref="EI396:EI398"/>
    <mergeCell ref="EJ396:EJ398"/>
    <mergeCell ref="EK396:EK398"/>
    <mergeCell ref="EL396:EL398"/>
    <mergeCell ref="EM396:EM398"/>
    <mergeCell ref="DV396:DV398"/>
    <mergeCell ref="DW396:DW398"/>
    <mergeCell ref="DX396:DX398"/>
    <mergeCell ref="DY396:DY398"/>
    <mergeCell ref="DZ396:DZ398"/>
    <mergeCell ref="EA396:EA398"/>
    <mergeCell ref="EB396:EB398"/>
    <mergeCell ref="EC396:EC398"/>
    <mergeCell ref="ED396:ED398"/>
    <mergeCell ref="DM396:DM398"/>
    <mergeCell ref="DN396:DN398"/>
    <mergeCell ref="DO396:DO398"/>
    <mergeCell ref="DP396:DP398"/>
    <mergeCell ref="DQ396:DQ398"/>
    <mergeCell ref="DR396:DR398"/>
    <mergeCell ref="DS396:DS398"/>
    <mergeCell ref="DT396:DT398"/>
    <mergeCell ref="DU396:DU398"/>
    <mergeCell ref="DD396:DD398"/>
    <mergeCell ref="AJ396:AJ398"/>
    <mergeCell ref="AK396:AK398"/>
    <mergeCell ref="AL396:AL398"/>
    <mergeCell ref="AM396:AM398"/>
    <mergeCell ref="AN396:AN398"/>
    <mergeCell ref="AO396:AO398"/>
    <mergeCell ref="AP396:AP398"/>
    <mergeCell ref="AQ396:AQ398"/>
    <mergeCell ref="AR396:AR398"/>
    <mergeCell ref="CU396:CU398"/>
    <mergeCell ref="CV396:CV398"/>
    <mergeCell ref="CW396:CW398"/>
    <mergeCell ref="CX396:CX398"/>
    <mergeCell ref="CY396:CY398"/>
    <mergeCell ref="CZ396:CZ398"/>
    <mergeCell ref="DA396:DA398"/>
    <mergeCell ref="DB396:DB398"/>
    <mergeCell ref="CL396:CL398"/>
    <mergeCell ref="CM396:CM398"/>
    <mergeCell ref="CN396:CN398"/>
    <mergeCell ref="CO396:CO398"/>
    <mergeCell ref="CP396:CP398"/>
    <mergeCell ref="CQ396:CQ398"/>
    <mergeCell ref="CR396:CR398"/>
    <mergeCell ref="CS396:CS398"/>
    <mergeCell ref="CT396:CT398"/>
    <mergeCell ref="CC396:CC398"/>
    <mergeCell ref="CD396:CD398"/>
    <mergeCell ref="CE396:CE398"/>
    <mergeCell ref="CF396:CF398"/>
    <mergeCell ref="CG396:CG398"/>
    <mergeCell ref="CH396:CH398"/>
    <mergeCell ref="BB396:BB398"/>
    <mergeCell ref="BC396:BC398"/>
    <mergeCell ref="BD396:BD398"/>
    <mergeCell ref="BE396:BE398"/>
    <mergeCell ref="BF396:BF398"/>
    <mergeCell ref="BG396:BG398"/>
    <mergeCell ref="BH396:BH398"/>
    <mergeCell ref="BI396:BI398"/>
    <mergeCell ref="BJ396:BJ398"/>
    <mergeCell ref="AS396:AS398"/>
    <mergeCell ref="AT396:AT398"/>
    <mergeCell ref="AU396:AU398"/>
    <mergeCell ref="AV396:AV398"/>
    <mergeCell ref="AW396:AW398"/>
    <mergeCell ref="AX396:AX398"/>
    <mergeCell ref="AY396:AY398"/>
    <mergeCell ref="AZ396:AZ398"/>
    <mergeCell ref="BA396:BA398"/>
    <mergeCell ref="II393:II395"/>
    <mergeCell ref="HR393:HR395"/>
    <mergeCell ref="HS393:HS395"/>
    <mergeCell ref="HT393:HT395"/>
    <mergeCell ref="HU393:HU395"/>
    <mergeCell ref="HV393:HV395"/>
    <mergeCell ref="HW393:HW395"/>
    <mergeCell ref="HX393:HX395"/>
    <mergeCell ref="HY393:HY395"/>
    <mergeCell ref="HZ393:HZ395"/>
    <mergeCell ref="HI393:HI395"/>
    <mergeCell ref="HJ393:HJ395"/>
    <mergeCell ref="HK393:HK395"/>
    <mergeCell ref="HL393:HL395"/>
    <mergeCell ref="BK396:BK398"/>
    <mergeCell ref="BL396:BL398"/>
    <mergeCell ref="BM396:BM398"/>
    <mergeCell ref="BN396:BN398"/>
    <mergeCell ref="BO396:BO398"/>
    <mergeCell ref="BP396:BP398"/>
    <mergeCell ref="BQ396:BQ398"/>
    <mergeCell ref="BR396:BR398"/>
    <mergeCell ref="BS396:BS398"/>
    <mergeCell ref="DC396:DC398"/>
    <mergeCell ref="CI396:CI398"/>
    <mergeCell ref="CJ396:CJ398"/>
    <mergeCell ref="CK396:CK398"/>
    <mergeCell ref="BT396:BT398"/>
    <mergeCell ref="BU396:BU398"/>
    <mergeCell ref="BV396:BV398"/>
    <mergeCell ref="BW396:BW398"/>
    <mergeCell ref="BX396:BX398"/>
    <mergeCell ref="IJ393:IJ395"/>
    <mergeCell ref="IK393:IK395"/>
    <mergeCell ref="IL393:IL395"/>
    <mergeCell ref="IM393:IM395"/>
    <mergeCell ref="IN393:IN395"/>
    <mergeCell ref="IO393:IO395"/>
    <mergeCell ref="IP393:IP395"/>
    <mergeCell ref="IQ393:IQ395"/>
    <mergeCell ref="A396:A398"/>
    <mergeCell ref="B396:B398"/>
    <mergeCell ref="C396:C398"/>
    <mergeCell ref="D396:D398"/>
    <mergeCell ref="E396:E398"/>
    <mergeCell ref="G396:G398"/>
    <mergeCell ref="H396:H398"/>
    <mergeCell ref="I396:I398"/>
    <mergeCell ref="J396:J398"/>
    <mergeCell ref="K396:K398"/>
    <mergeCell ref="L396:L398"/>
    <mergeCell ref="M396:M398"/>
    <mergeCell ref="N396:N398"/>
    <mergeCell ref="O396:O398"/>
    <mergeCell ref="P396:P398"/>
    <mergeCell ref="Q396:Q398"/>
    <mergeCell ref="IA393:IA395"/>
    <mergeCell ref="IB393:IB395"/>
    <mergeCell ref="IC393:IC395"/>
    <mergeCell ref="ID393:ID395"/>
    <mergeCell ref="IE393:IE395"/>
    <mergeCell ref="IF393:IF395"/>
    <mergeCell ref="IG393:IG395"/>
    <mergeCell ref="IH393:IH395"/>
    <mergeCell ref="AA396:AA398"/>
    <mergeCell ref="AB396:AB398"/>
    <mergeCell ref="AC396:AC398"/>
    <mergeCell ref="AD396:AD398"/>
    <mergeCell ref="AE396:AE398"/>
    <mergeCell ref="AF396:AF398"/>
    <mergeCell ref="AG396:AG398"/>
    <mergeCell ref="AH396:AH398"/>
    <mergeCell ref="AI396:AI398"/>
    <mergeCell ref="R396:R398"/>
    <mergeCell ref="S396:S398"/>
    <mergeCell ref="T396:T398"/>
    <mergeCell ref="U396:U398"/>
    <mergeCell ref="V396:V398"/>
    <mergeCell ref="W396:W398"/>
    <mergeCell ref="X396:X398"/>
    <mergeCell ref="Y396:Y398"/>
    <mergeCell ref="Z396:Z398"/>
    <mergeCell ref="GH393:GH395"/>
    <mergeCell ref="GI393:GI395"/>
    <mergeCell ref="GJ393:GJ395"/>
    <mergeCell ref="GK393:GK395"/>
    <mergeCell ref="GL393:GL395"/>
    <mergeCell ref="GM393:GM395"/>
    <mergeCell ref="GN393:GN395"/>
    <mergeCell ref="GO393:GO395"/>
    <mergeCell ref="GP393:GP395"/>
    <mergeCell ref="FY393:FY395"/>
    <mergeCell ref="FZ393:FZ395"/>
    <mergeCell ref="GA393:GA395"/>
    <mergeCell ref="GB393:GB395"/>
    <mergeCell ref="GC393:GC395"/>
    <mergeCell ref="GD393:GD395"/>
    <mergeCell ref="GE393:GE395"/>
    <mergeCell ref="GF393:GF395"/>
    <mergeCell ref="GG393:GG395"/>
    <mergeCell ref="HM393:HM395"/>
    <mergeCell ref="HN393:HN395"/>
    <mergeCell ref="HO393:HO395"/>
    <mergeCell ref="HP393:HP395"/>
    <mergeCell ref="HQ393:HQ395"/>
    <mergeCell ref="GZ393:GZ395"/>
    <mergeCell ref="HA393:HA395"/>
    <mergeCell ref="HB393:HB395"/>
    <mergeCell ref="HC393:HC395"/>
    <mergeCell ref="HD393:HD395"/>
    <mergeCell ref="HE393:HE395"/>
    <mergeCell ref="HF393:HF395"/>
    <mergeCell ref="HG393:HG395"/>
    <mergeCell ref="HH393:HH395"/>
    <mergeCell ref="GQ393:GQ395"/>
    <mergeCell ref="GR393:GR395"/>
    <mergeCell ref="GS393:GS395"/>
    <mergeCell ref="GT393:GT395"/>
    <mergeCell ref="GU393:GU395"/>
    <mergeCell ref="GV393:GV395"/>
    <mergeCell ref="GW393:GW395"/>
    <mergeCell ref="GX393:GX395"/>
    <mergeCell ref="GY393:GY395"/>
    <mergeCell ref="EX393:EX395"/>
    <mergeCell ref="EY393:EY395"/>
    <mergeCell ref="EZ393:EZ395"/>
    <mergeCell ref="FA393:FA395"/>
    <mergeCell ref="FB393:FB395"/>
    <mergeCell ref="FC393:FC395"/>
    <mergeCell ref="FD393:FD395"/>
    <mergeCell ref="FE393:FE395"/>
    <mergeCell ref="FF393:FF395"/>
    <mergeCell ref="EO393:EO395"/>
    <mergeCell ref="EP393:EP395"/>
    <mergeCell ref="EQ393:EQ395"/>
    <mergeCell ref="ER393:ER395"/>
    <mergeCell ref="ES393:ES395"/>
    <mergeCell ref="ET393:ET395"/>
    <mergeCell ref="EU393:EU395"/>
    <mergeCell ref="EV393:EV395"/>
    <mergeCell ref="EW393:EW395"/>
    <mergeCell ref="FP393:FP395"/>
    <mergeCell ref="FQ393:FQ395"/>
    <mergeCell ref="FR393:FR395"/>
    <mergeCell ref="FS393:FS395"/>
    <mergeCell ref="FT393:FT395"/>
    <mergeCell ref="FU393:FU395"/>
    <mergeCell ref="FV393:FV395"/>
    <mergeCell ref="FW393:FW395"/>
    <mergeCell ref="FX393:FX395"/>
    <mergeCell ref="FG393:FG395"/>
    <mergeCell ref="FH393:FH395"/>
    <mergeCell ref="FI393:FI395"/>
    <mergeCell ref="FJ393:FJ395"/>
    <mergeCell ref="FK393:FK395"/>
    <mergeCell ref="FL393:FL395"/>
    <mergeCell ref="FM393:FM395"/>
    <mergeCell ref="FN393:FN395"/>
    <mergeCell ref="FO393:FO395"/>
    <mergeCell ref="DN393:DN395"/>
    <mergeCell ref="DO393:DO395"/>
    <mergeCell ref="DP393:DP395"/>
    <mergeCell ref="DQ393:DQ395"/>
    <mergeCell ref="DR393:DR395"/>
    <mergeCell ref="DS393:DS395"/>
    <mergeCell ref="DT393:DT395"/>
    <mergeCell ref="DU393:DU395"/>
    <mergeCell ref="DV393:DV395"/>
    <mergeCell ref="DE393:DE395"/>
    <mergeCell ref="DF393:DF395"/>
    <mergeCell ref="DG393:DG395"/>
    <mergeCell ref="DH393:DH395"/>
    <mergeCell ref="DI393:DI395"/>
    <mergeCell ref="DJ393:DJ395"/>
    <mergeCell ref="DK393:DK395"/>
    <mergeCell ref="DL393:DL395"/>
    <mergeCell ref="DM393:DM395"/>
    <mergeCell ref="EF393:EF395"/>
    <mergeCell ref="EG393:EG395"/>
    <mergeCell ref="EH393:EH395"/>
    <mergeCell ref="EI393:EI395"/>
    <mergeCell ref="EJ393:EJ395"/>
    <mergeCell ref="EK393:EK395"/>
    <mergeCell ref="EL393:EL395"/>
    <mergeCell ref="EM393:EM395"/>
    <mergeCell ref="EN393:EN395"/>
    <mergeCell ref="DW393:DW395"/>
    <mergeCell ref="DX393:DX395"/>
    <mergeCell ref="DY393:DY395"/>
    <mergeCell ref="DZ393:DZ395"/>
    <mergeCell ref="EA393:EA395"/>
    <mergeCell ref="EB393:EB395"/>
    <mergeCell ref="EC393:EC395"/>
    <mergeCell ref="ED393:ED395"/>
    <mergeCell ref="EE393:EE395"/>
    <mergeCell ref="CD393:CD395"/>
    <mergeCell ref="CE393:CE395"/>
    <mergeCell ref="CF393:CF395"/>
    <mergeCell ref="CG393:CG395"/>
    <mergeCell ref="CH393:CH395"/>
    <mergeCell ref="CI393:CI395"/>
    <mergeCell ref="CJ393:CJ395"/>
    <mergeCell ref="CK393:CK395"/>
    <mergeCell ref="CL393:CL395"/>
    <mergeCell ref="BU393:BU395"/>
    <mergeCell ref="BV393:BV395"/>
    <mergeCell ref="BW393:BW395"/>
    <mergeCell ref="BX393:BX395"/>
    <mergeCell ref="BY393:BY395"/>
    <mergeCell ref="BZ393:BZ395"/>
    <mergeCell ref="CA393:CA395"/>
    <mergeCell ref="CB393:CB395"/>
    <mergeCell ref="CC393:CC395"/>
    <mergeCell ref="CV393:CV395"/>
    <mergeCell ref="CW393:CW395"/>
    <mergeCell ref="CX393:CX395"/>
    <mergeCell ref="CY393:CY395"/>
    <mergeCell ref="CZ393:CZ395"/>
    <mergeCell ref="DA393:DA395"/>
    <mergeCell ref="DB393:DB395"/>
    <mergeCell ref="DC393:DC395"/>
    <mergeCell ref="DD393:DD395"/>
    <mergeCell ref="CM393:CM395"/>
    <mergeCell ref="CN393:CN395"/>
    <mergeCell ref="CO393:CO395"/>
    <mergeCell ref="CP393:CP395"/>
    <mergeCell ref="CQ393:CQ395"/>
    <mergeCell ref="CR393:CR395"/>
    <mergeCell ref="CS393:CS395"/>
    <mergeCell ref="CT393:CT395"/>
    <mergeCell ref="CU393:CU395"/>
    <mergeCell ref="BH393:BH395"/>
    <mergeCell ref="BI393:BI395"/>
    <mergeCell ref="BJ393:BJ395"/>
    <mergeCell ref="BK393:BK395"/>
    <mergeCell ref="AT393:AT395"/>
    <mergeCell ref="AU393:AU395"/>
    <mergeCell ref="AV393:AV395"/>
    <mergeCell ref="AW393:AW395"/>
    <mergeCell ref="AX393:AX395"/>
    <mergeCell ref="AY393:AY395"/>
    <mergeCell ref="AZ393:AZ395"/>
    <mergeCell ref="BA393:BA395"/>
    <mergeCell ref="BB393:BB395"/>
    <mergeCell ref="AK393:AK395"/>
    <mergeCell ref="AL393:AL395"/>
    <mergeCell ref="AM393:AM395"/>
    <mergeCell ref="AN393:AN395"/>
    <mergeCell ref="AO393:AO395"/>
    <mergeCell ref="AP393:AP395"/>
    <mergeCell ref="AQ393:AQ395"/>
    <mergeCell ref="AR393:AR395"/>
    <mergeCell ref="AS393:AS395"/>
    <mergeCell ref="GL388:GL390"/>
    <mergeCell ref="G393:G395"/>
    <mergeCell ref="H393:H395"/>
    <mergeCell ref="I393:I395"/>
    <mergeCell ref="J393:J395"/>
    <mergeCell ref="K393:K395"/>
    <mergeCell ref="L393:L395"/>
    <mergeCell ref="M393:M395"/>
    <mergeCell ref="N393:N395"/>
    <mergeCell ref="O393:O395"/>
    <mergeCell ref="P393:P395"/>
    <mergeCell ref="Q393:Q395"/>
    <mergeCell ref="R393:R395"/>
    <mergeCell ref="AB393:AB395"/>
    <mergeCell ref="AC393:AC395"/>
    <mergeCell ref="AD393:AD395"/>
    <mergeCell ref="AE393:AE395"/>
    <mergeCell ref="AF393:AF395"/>
    <mergeCell ref="BL393:BL395"/>
    <mergeCell ref="BM393:BM395"/>
    <mergeCell ref="BN393:BN395"/>
    <mergeCell ref="BO393:BO395"/>
    <mergeCell ref="BP393:BP395"/>
    <mergeCell ref="BQ393:BQ395"/>
    <mergeCell ref="BR393:BR395"/>
    <mergeCell ref="BS393:BS395"/>
    <mergeCell ref="BT393:BT395"/>
    <mergeCell ref="BC393:BC395"/>
    <mergeCell ref="BD393:BD395"/>
    <mergeCell ref="BE393:BE395"/>
    <mergeCell ref="BF393:BF395"/>
    <mergeCell ref="BG393:BG395"/>
    <mergeCell ref="HP388:HP390"/>
    <mergeCell ref="II388:II390"/>
    <mergeCell ref="IJ388:IJ390"/>
    <mergeCell ref="IK388:IK390"/>
    <mergeCell ref="AG393:AG395"/>
    <mergeCell ref="AH393:AH395"/>
    <mergeCell ref="AI393:AI395"/>
    <mergeCell ref="AJ393:AJ395"/>
    <mergeCell ref="S393:S395"/>
    <mergeCell ref="T393:T395"/>
    <mergeCell ref="U393:U395"/>
    <mergeCell ref="V393:V395"/>
    <mergeCell ref="W393:W395"/>
    <mergeCell ref="X393:X395"/>
    <mergeCell ref="Y393:Y395"/>
    <mergeCell ref="Z393:Z395"/>
    <mergeCell ref="AA393:AA395"/>
    <mergeCell ref="HQ388:HQ390"/>
    <mergeCell ref="HR388:HR390"/>
    <mergeCell ref="HS388:HS390"/>
    <mergeCell ref="HT388:HT390"/>
    <mergeCell ref="GP388:GP390"/>
    <mergeCell ref="GQ388:GQ390"/>
    <mergeCell ref="GR388:GR390"/>
    <mergeCell ref="GS388:GS390"/>
    <mergeCell ref="GT388:GT390"/>
    <mergeCell ref="GU388:GU390"/>
    <mergeCell ref="GV388:GV390"/>
    <mergeCell ref="GW388:GW390"/>
    <mergeCell ref="GX388:GX390"/>
    <mergeCell ref="GG388:GG390"/>
    <mergeCell ref="GH388:GH390"/>
    <mergeCell ref="IL388:IL390"/>
    <mergeCell ref="IM388:IM390"/>
    <mergeCell ref="IN388:IN390"/>
    <mergeCell ref="IO388:IO390"/>
    <mergeCell ref="IP388:IP390"/>
    <mergeCell ref="IQ388:IQ390"/>
    <mergeCell ref="HZ388:HZ390"/>
    <mergeCell ref="IA388:IA390"/>
    <mergeCell ref="IB388:IB390"/>
    <mergeCell ref="IC388:IC390"/>
    <mergeCell ref="ID388:ID390"/>
    <mergeCell ref="IE388:IE390"/>
    <mergeCell ref="IF388:IF390"/>
    <mergeCell ref="IG388:IG390"/>
    <mergeCell ref="IH388:IH390"/>
    <mergeCell ref="HD388:HD390"/>
    <mergeCell ref="HE388:HE390"/>
    <mergeCell ref="HF388:HF390"/>
    <mergeCell ref="HG388:HG390"/>
    <mergeCell ref="HU388:HU390"/>
    <mergeCell ref="HV388:HV390"/>
    <mergeCell ref="HW388:HW390"/>
    <mergeCell ref="HX388:HX390"/>
    <mergeCell ref="HY388:HY390"/>
    <mergeCell ref="HH388:HH390"/>
    <mergeCell ref="HI388:HI390"/>
    <mergeCell ref="HJ388:HJ390"/>
    <mergeCell ref="HK388:HK390"/>
    <mergeCell ref="HL388:HL390"/>
    <mergeCell ref="HM388:HM390"/>
    <mergeCell ref="HN388:HN390"/>
    <mergeCell ref="HO388:HO390"/>
    <mergeCell ref="GM388:GM390"/>
    <mergeCell ref="GN388:GN390"/>
    <mergeCell ref="GO388:GO390"/>
    <mergeCell ref="FC388:FC390"/>
    <mergeCell ref="FD388:FD390"/>
    <mergeCell ref="FE388:FE390"/>
    <mergeCell ref="EN388:EN390"/>
    <mergeCell ref="EO388:EO390"/>
    <mergeCell ref="EP388:EP390"/>
    <mergeCell ref="EQ388:EQ390"/>
    <mergeCell ref="ER388:ER390"/>
    <mergeCell ref="ES388:ES390"/>
    <mergeCell ref="ET388:ET390"/>
    <mergeCell ref="EU388:EU390"/>
    <mergeCell ref="EV388:EV390"/>
    <mergeCell ref="GY388:GY390"/>
    <mergeCell ref="GZ388:GZ390"/>
    <mergeCell ref="FI388:FI390"/>
    <mergeCell ref="FJ388:FJ390"/>
    <mergeCell ref="FK388:FK390"/>
    <mergeCell ref="FL388:FL390"/>
    <mergeCell ref="FM388:FM390"/>
    <mergeCell ref="FN388:FN390"/>
    <mergeCell ref="EW388:EW390"/>
    <mergeCell ref="EX388:EX390"/>
    <mergeCell ref="EY388:EY390"/>
    <mergeCell ref="EZ388:EZ390"/>
    <mergeCell ref="FA388:FA390"/>
    <mergeCell ref="FB388:FB390"/>
    <mergeCell ref="GI388:GI390"/>
    <mergeCell ref="GJ388:GJ390"/>
    <mergeCell ref="GK388:GK390"/>
    <mergeCell ref="HA388:HA390"/>
    <mergeCell ref="HB388:HB390"/>
    <mergeCell ref="HC388:HC390"/>
    <mergeCell ref="FX388:FX390"/>
    <mergeCell ref="FY388:FY390"/>
    <mergeCell ref="FZ388:FZ390"/>
    <mergeCell ref="GA388:GA390"/>
    <mergeCell ref="GB388:GB390"/>
    <mergeCell ref="GC388:GC390"/>
    <mergeCell ref="GD388:GD390"/>
    <mergeCell ref="GE388:GE390"/>
    <mergeCell ref="GF388:GF390"/>
    <mergeCell ref="DE388:DE390"/>
    <mergeCell ref="DF388:DF390"/>
    <mergeCell ref="DG388:DG390"/>
    <mergeCell ref="DH388:DH390"/>
    <mergeCell ref="DI388:DI390"/>
    <mergeCell ref="DJ388:DJ390"/>
    <mergeCell ref="DK388:DK390"/>
    <mergeCell ref="DL388:DL390"/>
    <mergeCell ref="FO388:FO390"/>
    <mergeCell ref="FP388:FP390"/>
    <mergeCell ref="FQ388:FQ390"/>
    <mergeCell ref="FR388:FR390"/>
    <mergeCell ref="FS388:FS390"/>
    <mergeCell ref="FT388:FT390"/>
    <mergeCell ref="FU388:FU390"/>
    <mergeCell ref="FV388:FV390"/>
    <mergeCell ref="FW388:FW390"/>
    <mergeCell ref="FF388:FF390"/>
    <mergeCell ref="FG388:FG390"/>
    <mergeCell ref="FH388:FH390"/>
    <mergeCell ref="BY388:BY390"/>
    <mergeCell ref="BZ388:BZ390"/>
    <mergeCell ref="CA388:CA390"/>
    <mergeCell ref="CB388:CB390"/>
    <mergeCell ref="EE388:EE390"/>
    <mergeCell ref="EF388:EF390"/>
    <mergeCell ref="EG388:EG390"/>
    <mergeCell ref="EH388:EH390"/>
    <mergeCell ref="EI388:EI390"/>
    <mergeCell ref="EJ388:EJ390"/>
    <mergeCell ref="EK388:EK390"/>
    <mergeCell ref="EL388:EL390"/>
    <mergeCell ref="EM388:EM390"/>
    <mergeCell ref="DV388:DV390"/>
    <mergeCell ref="DW388:DW390"/>
    <mergeCell ref="DX388:DX390"/>
    <mergeCell ref="DY388:DY390"/>
    <mergeCell ref="DZ388:DZ390"/>
    <mergeCell ref="EA388:EA390"/>
    <mergeCell ref="EB388:EB390"/>
    <mergeCell ref="EC388:EC390"/>
    <mergeCell ref="ED388:ED390"/>
    <mergeCell ref="DM388:DM390"/>
    <mergeCell ref="DN388:DN390"/>
    <mergeCell ref="DO388:DO390"/>
    <mergeCell ref="DP388:DP390"/>
    <mergeCell ref="DQ388:DQ390"/>
    <mergeCell ref="DR388:DR390"/>
    <mergeCell ref="DS388:DS390"/>
    <mergeCell ref="DT388:DT390"/>
    <mergeCell ref="DU388:DU390"/>
    <mergeCell ref="DD388:DD390"/>
    <mergeCell ref="AJ388:AJ390"/>
    <mergeCell ref="AK388:AK390"/>
    <mergeCell ref="AL388:AL390"/>
    <mergeCell ref="AM388:AM390"/>
    <mergeCell ref="AN388:AN390"/>
    <mergeCell ref="AO388:AO390"/>
    <mergeCell ref="AP388:AP390"/>
    <mergeCell ref="AQ388:AQ390"/>
    <mergeCell ref="AR388:AR390"/>
    <mergeCell ref="CU388:CU390"/>
    <mergeCell ref="CV388:CV390"/>
    <mergeCell ref="CW388:CW390"/>
    <mergeCell ref="CX388:CX390"/>
    <mergeCell ref="CY388:CY390"/>
    <mergeCell ref="CZ388:CZ390"/>
    <mergeCell ref="DA388:DA390"/>
    <mergeCell ref="DB388:DB390"/>
    <mergeCell ref="CL388:CL390"/>
    <mergeCell ref="CM388:CM390"/>
    <mergeCell ref="CN388:CN390"/>
    <mergeCell ref="CO388:CO390"/>
    <mergeCell ref="CP388:CP390"/>
    <mergeCell ref="CQ388:CQ390"/>
    <mergeCell ref="CR388:CR390"/>
    <mergeCell ref="CS388:CS390"/>
    <mergeCell ref="CT388:CT390"/>
    <mergeCell ref="CC388:CC390"/>
    <mergeCell ref="CD388:CD390"/>
    <mergeCell ref="CE388:CE390"/>
    <mergeCell ref="CF388:CF390"/>
    <mergeCell ref="CG388:CG390"/>
    <mergeCell ref="CH388:CH390"/>
    <mergeCell ref="BB388:BB390"/>
    <mergeCell ref="BC388:BC390"/>
    <mergeCell ref="BD388:BD390"/>
    <mergeCell ref="BE388:BE390"/>
    <mergeCell ref="BF388:BF390"/>
    <mergeCell ref="BG388:BG390"/>
    <mergeCell ref="BH388:BH390"/>
    <mergeCell ref="BI388:BI390"/>
    <mergeCell ref="BJ388:BJ390"/>
    <mergeCell ref="AS388:AS390"/>
    <mergeCell ref="AT388:AT390"/>
    <mergeCell ref="AU388:AU390"/>
    <mergeCell ref="AV388:AV390"/>
    <mergeCell ref="AW388:AW390"/>
    <mergeCell ref="AX388:AX390"/>
    <mergeCell ref="AY388:AY390"/>
    <mergeCell ref="AZ388:AZ390"/>
    <mergeCell ref="BA388:BA390"/>
    <mergeCell ref="II385:II387"/>
    <mergeCell ref="HR385:HR387"/>
    <mergeCell ref="HS385:HS387"/>
    <mergeCell ref="HT385:HT387"/>
    <mergeCell ref="HU385:HU387"/>
    <mergeCell ref="HV385:HV387"/>
    <mergeCell ref="HW385:HW387"/>
    <mergeCell ref="HX385:HX387"/>
    <mergeCell ref="HY385:HY387"/>
    <mergeCell ref="HZ385:HZ387"/>
    <mergeCell ref="HI385:HI387"/>
    <mergeCell ref="HJ385:HJ387"/>
    <mergeCell ref="HK385:HK387"/>
    <mergeCell ref="HL385:HL387"/>
    <mergeCell ref="BK388:BK390"/>
    <mergeCell ref="BL388:BL390"/>
    <mergeCell ref="BM388:BM390"/>
    <mergeCell ref="BN388:BN390"/>
    <mergeCell ref="BO388:BO390"/>
    <mergeCell ref="BP388:BP390"/>
    <mergeCell ref="BQ388:BQ390"/>
    <mergeCell ref="BR388:BR390"/>
    <mergeCell ref="BS388:BS390"/>
    <mergeCell ref="DC388:DC390"/>
    <mergeCell ref="CI388:CI390"/>
    <mergeCell ref="CJ388:CJ390"/>
    <mergeCell ref="CK388:CK390"/>
    <mergeCell ref="BT388:BT390"/>
    <mergeCell ref="BU388:BU390"/>
    <mergeCell ref="BV388:BV390"/>
    <mergeCell ref="BW388:BW390"/>
    <mergeCell ref="BX388:BX390"/>
    <mergeCell ref="IJ385:IJ387"/>
    <mergeCell ref="IK385:IK387"/>
    <mergeCell ref="IL385:IL387"/>
    <mergeCell ref="IM385:IM387"/>
    <mergeCell ref="IN385:IN387"/>
    <mergeCell ref="IO385:IO387"/>
    <mergeCell ref="IP385:IP387"/>
    <mergeCell ref="IQ385:IQ387"/>
    <mergeCell ref="A388:A390"/>
    <mergeCell ref="B388:B390"/>
    <mergeCell ref="C388:C390"/>
    <mergeCell ref="D388:D390"/>
    <mergeCell ref="E388:E390"/>
    <mergeCell ref="G388:G390"/>
    <mergeCell ref="H388:H390"/>
    <mergeCell ref="I388:I390"/>
    <mergeCell ref="J388:J390"/>
    <mergeCell ref="K388:K390"/>
    <mergeCell ref="L388:L390"/>
    <mergeCell ref="M388:M390"/>
    <mergeCell ref="N388:N390"/>
    <mergeCell ref="O388:O390"/>
    <mergeCell ref="P388:P390"/>
    <mergeCell ref="Q388:Q390"/>
    <mergeCell ref="IA385:IA387"/>
    <mergeCell ref="IB385:IB387"/>
    <mergeCell ref="IC385:IC387"/>
    <mergeCell ref="ID385:ID387"/>
    <mergeCell ref="IE385:IE387"/>
    <mergeCell ref="IF385:IF387"/>
    <mergeCell ref="IG385:IG387"/>
    <mergeCell ref="IH385:IH387"/>
    <mergeCell ref="AA388:AA390"/>
    <mergeCell ref="AB388:AB390"/>
    <mergeCell ref="AC388:AC390"/>
    <mergeCell ref="AD388:AD390"/>
    <mergeCell ref="AE388:AE390"/>
    <mergeCell ref="AF388:AF390"/>
    <mergeCell ref="AG388:AG390"/>
    <mergeCell ref="AH388:AH390"/>
    <mergeCell ref="AI388:AI390"/>
    <mergeCell ref="R388:R390"/>
    <mergeCell ref="S388:S390"/>
    <mergeCell ref="T388:T390"/>
    <mergeCell ref="U388:U390"/>
    <mergeCell ref="V388:V390"/>
    <mergeCell ref="W388:W390"/>
    <mergeCell ref="X388:X390"/>
    <mergeCell ref="Y388:Y390"/>
    <mergeCell ref="Z388:Z390"/>
    <mergeCell ref="GH385:GH387"/>
    <mergeCell ref="GI385:GI387"/>
    <mergeCell ref="GJ385:GJ387"/>
    <mergeCell ref="GK385:GK387"/>
    <mergeCell ref="GL385:GL387"/>
    <mergeCell ref="GM385:GM387"/>
    <mergeCell ref="GN385:GN387"/>
    <mergeCell ref="GO385:GO387"/>
    <mergeCell ref="GP385:GP387"/>
    <mergeCell ref="FY385:FY387"/>
    <mergeCell ref="FZ385:FZ387"/>
    <mergeCell ref="GA385:GA387"/>
    <mergeCell ref="GB385:GB387"/>
    <mergeCell ref="GC385:GC387"/>
    <mergeCell ref="GD385:GD387"/>
    <mergeCell ref="GE385:GE387"/>
    <mergeCell ref="GF385:GF387"/>
    <mergeCell ref="GG385:GG387"/>
    <mergeCell ref="HM385:HM387"/>
    <mergeCell ref="HN385:HN387"/>
    <mergeCell ref="HO385:HO387"/>
    <mergeCell ref="HP385:HP387"/>
    <mergeCell ref="HQ385:HQ387"/>
    <mergeCell ref="GZ385:GZ387"/>
    <mergeCell ref="HA385:HA387"/>
    <mergeCell ref="HB385:HB387"/>
    <mergeCell ref="HC385:HC387"/>
    <mergeCell ref="HD385:HD387"/>
    <mergeCell ref="HE385:HE387"/>
    <mergeCell ref="HF385:HF387"/>
    <mergeCell ref="HG385:HG387"/>
    <mergeCell ref="HH385:HH387"/>
    <mergeCell ref="GQ385:GQ387"/>
    <mergeCell ref="GR385:GR387"/>
    <mergeCell ref="GS385:GS387"/>
    <mergeCell ref="GT385:GT387"/>
    <mergeCell ref="GU385:GU387"/>
    <mergeCell ref="GV385:GV387"/>
    <mergeCell ref="GW385:GW387"/>
    <mergeCell ref="GX385:GX387"/>
    <mergeCell ref="GY385:GY387"/>
    <mergeCell ref="EX385:EX387"/>
    <mergeCell ref="EY385:EY387"/>
    <mergeCell ref="EZ385:EZ387"/>
    <mergeCell ref="FA385:FA387"/>
    <mergeCell ref="FB385:FB387"/>
    <mergeCell ref="FC385:FC387"/>
    <mergeCell ref="FD385:FD387"/>
    <mergeCell ref="FE385:FE387"/>
    <mergeCell ref="FF385:FF387"/>
    <mergeCell ref="EO385:EO387"/>
    <mergeCell ref="EP385:EP387"/>
    <mergeCell ref="EQ385:EQ387"/>
    <mergeCell ref="ER385:ER387"/>
    <mergeCell ref="ES385:ES387"/>
    <mergeCell ref="ET385:ET387"/>
    <mergeCell ref="EU385:EU387"/>
    <mergeCell ref="EV385:EV387"/>
    <mergeCell ref="EW385:EW387"/>
    <mergeCell ref="FP385:FP387"/>
    <mergeCell ref="FQ385:FQ387"/>
    <mergeCell ref="FR385:FR387"/>
    <mergeCell ref="FS385:FS387"/>
    <mergeCell ref="FT385:FT387"/>
    <mergeCell ref="FU385:FU387"/>
    <mergeCell ref="FV385:FV387"/>
    <mergeCell ref="FW385:FW387"/>
    <mergeCell ref="FX385:FX387"/>
    <mergeCell ref="FG385:FG387"/>
    <mergeCell ref="FH385:FH387"/>
    <mergeCell ref="FI385:FI387"/>
    <mergeCell ref="FJ385:FJ387"/>
    <mergeCell ref="FK385:FK387"/>
    <mergeCell ref="FL385:FL387"/>
    <mergeCell ref="FM385:FM387"/>
    <mergeCell ref="FN385:FN387"/>
    <mergeCell ref="FO385:FO387"/>
    <mergeCell ref="DN385:DN387"/>
    <mergeCell ref="DO385:DO387"/>
    <mergeCell ref="DP385:DP387"/>
    <mergeCell ref="DQ385:DQ387"/>
    <mergeCell ref="DR385:DR387"/>
    <mergeCell ref="DS385:DS387"/>
    <mergeCell ref="DT385:DT387"/>
    <mergeCell ref="DU385:DU387"/>
    <mergeCell ref="DV385:DV387"/>
    <mergeCell ref="DE385:DE387"/>
    <mergeCell ref="DF385:DF387"/>
    <mergeCell ref="DG385:DG387"/>
    <mergeCell ref="DH385:DH387"/>
    <mergeCell ref="DI385:DI387"/>
    <mergeCell ref="DJ385:DJ387"/>
    <mergeCell ref="DK385:DK387"/>
    <mergeCell ref="DL385:DL387"/>
    <mergeCell ref="DM385:DM387"/>
    <mergeCell ref="EF385:EF387"/>
    <mergeCell ref="EG385:EG387"/>
    <mergeCell ref="EH385:EH387"/>
    <mergeCell ref="EI385:EI387"/>
    <mergeCell ref="EJ385:EJ387"/>
    <mergeCell ref="EK385:EK387"/>
    <mergeCell ref="EL385:EL387"/>
    <mergeCell ref="EM385:EM387"/>
    <mergeCell ref="EN385:EN387"/>
    <mergeCell ref="DW385:DW387"/>
    <mergeCell ref="DX385:DX387"/>
    <mergeCell ref="DY385:DY387"/>
    <mergeCell ref="DZ385:DZ387"/>
    <mergeCell ref="EA385:EA387"/>
    <mergeCell ref="EB385:EB387"/>
    <mergeCell ref="EC385:EC387"/>
    <mergeCell ref="ED385:ED387"/>
    <mergeCell ref="EE385:EE387"/>
    <mergeCell ref="CD385:CD387"/>
    <mergeCell ref="CE385:CE387"/>
    <mergeCell ref="CF385:CF387"/>
    <mergeCell ref="CG385:CG387"/>
    <mergeCell ref="CH385:CH387"/>
    <mergeCell ref="CI385:CI387"/>
    <mergeCell ref="CJ385:CJ387"/>
    <mergeCell ref="CK385:CK387"/>
    <mergeCell ref="CL385:CL387"/>
    <mergeCell ref="BU385:BU387"/>
    <mergeCell ref="BV385:BV387"/>
    <mergeCell ref="BW385:BW387"/>
    <mergeCell ref="BX385:BX387"/>
    <mergeCell ref="BY385:BY387"/>
    <mergeCell ref="BZ385:BZ387"/>
    <mergeCell ref="CA385:CA387"/>
    <mergeCell ref="CB385:CB387"/>
    <mergeCell ref="CC385:CC387"/>
    <mergeCell ref="CV385:CV387"/>
    <mergeCell ref="CW385:CW387"/>
    <mergeCell ref="CX385:CX387"/>
    <mergeCell ref="CY385:CY387"/>
    <mergeCell ref="CZ385:CZ387"/>
    <mergeCell ref="DA385:DA387"/>
    <mergeCell ref="DB385:DB387"/>
    <mergeCell ref="DC385:DC387"/>
    <mergeCell ref="DD385:DD387"/>
    <mergeCell ref="CM385:CM387"/>
    <mergeCell ref="CN385:CN387"/>
    <mergeCell ref="CO385:CO387"/>
    <mergeCell ref="CP385:CP387"/>
    <mergeCell ref="CQ385:CQ387"/>
    <mergeCell ref="CR385:CR387"/>
    <mergeCell ref="CS385:CS387"/>
    <mergeCell ref="CT385:CT387"/>
    <mergeCell ref="CU385:CU387"/>
    <mergeCell ref="AT385:AT387"/>
    <mergeCell ref="AU385:AU387"/>
    <mergeCell ref="AV385:AV387"/>
    <mergeCell ref="AW385:AW387"/>
    <mergeCell ref="AX385:AX387"/>
    <mergeCell ref="AY385:AY387"/>
    <mergeCell ref="AZ385:AZ387"/>
    <mergeCell ref="BA385:BA387"/>
    <mergeCell ref="BB385:BB387"/>
    <mergeCell ref="AK385:AK387"/>
    <mergeCell ref="AL385:AL387"/>
    <mergeCell ref="AM385:AM387"/>
    <mergeCell ref="AN385:AN387"/>
    <mergeCell ref="AO385:AO387"/>
    <mergeCell ref="AP385:AP387"/>
    <mergeCell ref="AQ385:AQ387"/>
    <mergeCell ref="AR385:AR387"/>
    <mergeCell ref="AS385:AS387"/>
    <mergeCell ref="BL385:BL387"/>
    <mergeCell ref="BM385:BM387"/>
    <mergeCell ref="BN385:BN387"/>
    <mergeCell ref="BO385:BO387"/>
    <mergeCell ref="BP385:BP387"/>
    <mergeCell ref="BQ385:BQ387"/>
    <mergeCell ref="BR385:BR387"/>
    <mergeCell ref="BS385:BS387"/>
    <mergeCell ref="BT385:BT387"/>
    <mergeCell ref="BC385:BC387"/>
    <mergeCell ref="BD385:BD387"/>
    <mergeCell ref="BE385:BE387"/>
    <mergeCell ref="BF385:BF387"/>
    <mergeCell ref="BG385:BG387"/>
    <mergeCell ref="BH385:BH387"/>
    <mergeCell ref="BI385:BI387"/>
    <mergeCell ref="BJ385:BJ387"/>
    <mergeCell ref="BK385:BK387"/>
    <mergeCell ref="A385:A387"/>
    <mergeCell ref="B385:B387"/>
    <mergeCell ref="C385:C387"/>
    <mergeCell ref="D385:D387"/>
    <mergeCell ref="E385:E387"/>
    <mergeCell ref="G385:G387"/>
    <mergeCell ref="H385:H387"/>
    <mergeCell ref="I385:I387"/>
    <mergeCell ref="J385:J387"/>
    <mergeCell ref="K385:K387"/>
    <mergeCell ref="L385:L387"/>
    <mergeCell ref="M385:M387"/>
    <mergeCell ref="N385:N387"/>
    <mergeCell ref="O385:O387"/>
    <mergeCell ref="P385:P387"/>
    <mergeCell ref="Q385:Q387"/>
    <mergeCell ref="R385:R387"/>
    <mergeCell ref="AB385:AB387"/>
    <mergeCell ref="AC385:AC387"/>
    <mergeCell ref="AD385:AD387"/>
    <mergeCell ref="AE385:AE387"/>
    <mergeCell ref="AF385:AF387"/>
    <mergeCell ref="AG385:AG387"/>
    <mergeCell ref="AH385:AH387"/>
    <mergeCell ref="AI385:AI387"/>
    <mergeCell ref="AJ385:AJ387"/>
    <mergeCell ref="S385:S387"/>
    <mergeCell ref="T385:T387"/>
    <mergeCell ref="U385:U387"/>
    <mergeCell ref="V385:V387"/>
    <mergeCell ref="W385:W387"/>
    <mergeCell ref="X385:X387"/>
    <mergeCell ref="Y385:Y387"/>
    <mergeCell ref="Z385:Z387"/>
    <mergeCell ref="AA385:AA387"/>
    <mergeCell ref="HQ372:HQ374"/>
    <mergeCell ref="HR372:HR374"/>
    <mergeCell ref="HS372:HS374"/>
    <mergeCell ref="HT372:HT374"/>
    <mergeCell ref="HU372:HU374"/>
    <mergeCell ref="HV372:HV374"/>
    <mergeCell ref="HW372:HW374"/>
    <mergeCell ref="HX372:HX374"/>
    <mergeCell ref="HY372:HY374"/>
    <mergeCell ref="HH372:HH374"/>
    <mergeCell ref="HI372:HI374"/>
    <mergeCell ref="HJ372:HJ374"/>
    <mergeCell ref="HK372:HK374"/>
    <mergeCell ref="HL372:HL374"/>
    <mergeCell ref="HM372:HM374"/>
    <mergeCell ref="HN372:HN374"/>
    <mergeCell ref="HO372:HO374"/>
    <mergeCell ref="HP372:HP374"/>
    <mergeCell ref="II372:II374"/>
    <mergeCell ref="IJ372:IJ374"/>
    <mergeCell ref="IK372:IK374"/>
    <mergeCell ref="IL372:IL374"/>
    <mergeCell ref="IM372:IM374"/>
    <mergeCell ref="IN372:IN374"/>
    <mergeCell ref="IO372:IO374"/>
    <mergeCell ref="IP372:IP374"/>
    <mergeCell ref="IQ372:IQ374"/>
    <mergeCell ref="HZ372:HZ374"/>
    <mergeCell ref="IA372:IA374"/>
    <mergeCell ref="IB372:IB374"/>
    <mergeCell ref="IC372:IC374"/>
    <mergeCell ref="ID372:ID374"/>
    <mergeCell ref="IE372:IE374"/>
    <mergeCell ref="IF372:IF374"/>
    <mergeCell ref="IG372:IG374"/>
    <mergeCell ref="IH372:IH374"/>
    <mergeCell ref="HD372:HD374"/>
    <mergeCell ref="HE372:HE374"/>
    <mergeCell ref="HF372:HF374"/>
    <mergeCell ref="HG372:HG374"/>
    <mergeCell ref="GP372:GP374"/>
    <mergeCell ref="GQ372:GQ374"/>
    <mergeCell ref="GR372:GR374"/>
    <mergeCell ref="GS372:GS374"/>
    <mergeCell ref="GT372:GT374"/>
    <mergeCell ref="GU372:GU374"/>
    <mergeCell ref="GV372:GV374"/>
    <mergeCell ref="GW372:GW374"/>
    <mergeCell ref="GX372:GX374"/>
    <mergeCell ref="GG372:GG374"/>
    <mergeCell ref="GH372:GH374"/>
    <mergeCell ref="GI372:GI374"/>
    <mergeCell ref="GJ372:GJ374"/>
    <mergeCell ref="GK372:GK374"/>
    <mergeCell ref="GL372:GL374"/>
    <mergeCell ref="GM372:GM374"/>
    <mergeCell ref="GN372:GN374"/>
    <mergeCell ref="GO372:GO374"/>
    <mergeCell ref="FC372:FC374"/>
    <mergeCell ref="FD372:FD374"/>
    <mergeCell ref="FE372:FE374"/>
    <mergeCell ref="EN372:EN374"/>
    <mergeCell ref="EO372:EO374"/>
    <mergeCell ref="EP372:EP374"/>
    <mergeCell ref="EQ372:EQ374"/>
    <mergeCell ref="ER372:ER374"/>
    <mergeCell ref="ES372:ES374"/>
    <mergeCell ref="ET372:ET374"/>
    <mergeCell ref="EU372:EU374"/>
    <mergeCell ref="EV372:EV374"/>
    <mergeCell ref="GY372:GY374"/>
    <mergeCell ref="GZ372:GZ374"/>
    <mergeCell ref="HA372:HA374"/>
    <mergeCell ref="HB372:HB374"/>
    <mergeCell ref="HC372:HC374"/>
    <mergeCell ref="FX372:FX374"/>
    <mergeCell ref="FY372:FY374"/>
    <mergeCell ref="FZ372:FZ374"/>
    <mergeCell ref="GA372:GA374"/>
    <mergeCell ref="GB372:GB374"/>
    <mergeCell ref="GC372:GC374"/>
    <mergeCell ref="GD372:GD374"/>
    <mergeCell ref="GE372:GE374"/>
    <mergeCell ref="GF372:GF374"/>
    <mergeCell ref="DE372:DE374"/>
    <mergeCell ref="DF372:DF374"/>
    <mergeCell ref="DG372:DG374"/>
    <mergeCell ref="DH372:DH374"/>
    <mergeCell ref="DI372:DI374"/>
    <mergeCell ref="DJ372:DJ374"/>
    <mergeCell ref="DK372:DK374"/>
    <mergeCell ref="DL372:DL374"/>
    <mergeCell ref="FO372:FO374"/>
    <mergeCell ref="FP372:FP374"/>
    <mergeCell ref="FQ372:FQ374"/>
    <mergeCell ref="FR372:FR374"/>
    <mergeCell ref="FS372:FS374"/>
    <mergeCell ref="FT372:FT374"/>
    <mergeCell ref="FU372:FU374"/>
    <mergeCell ref="FV372:FV374"/>
    <mergeCell ref="FW372:FW374"/>
    <mergeCell ref="FF372:FF374"/>
    <mergeCell ref="FG372:FG374"/>
    <mergeCell ref="FH372:FH374"/>
    <mergeCell ref="FI372:FI374"/>
    <mergeCell ref="FJ372:FJ374"/>
    <mergeCell ref="FK372:FK374"/>
    <mergeCell ref="FL372:FL374"/>
    <mergeCell ref="FM372:FM374"/>
    <mergeCell ref="FN372:FN374"/>
    <mergeCell ref="EW372:EW374"/>
    <mergeCell ref="EX372:EX374"/>
    <mergeCell ref="EY372:EY374"/>
    <mergeCell ref="EZ372:EZ374"/>
    <mergeCell ref="FA372:FA374"/>
    <mergeCell ref="FB372:FB374"/>
    <mergeCell ref="BY372:BY374"/>
    <mergeCell ref="BZ372:BZ374"/>
    <mergeCell ref="CA372:CA374"/>
    <mergeCell ref="CB372:CB374"/>
    <mergeCell ref="EE372:EE374"/>
    <mergeCell ref="EF372:EF374"/>
    <mergeCell ref="EG372:EG374"/>
    <mergeCell ref="EH372:EH374"/>
    <mergeCell ref="EI372:EI374"/>
    <mergeCell ref="EJ372:EJ374"/>
    <mergeCell ref="EK372:EK374"/>
    <mergeCell ref="EL372:EL374"/>
    <mergeCell ref="EM372:EM374"/>
    <mergeCell ref="DV372:DV374"/>
    <mergeCell ref="DW372:DW374"/>
    <mergeCell ref="DX372:DX374"/>
    <mergeCell ref="DY372:DY374"/>
    <mergeCell ref="DZ372:DZ374"/>
    <mergeCell ref="EA372:EA374"/>
    <mergeCell ref="EB372:EB374"/>
    <mergeCell ref="EC372:EC374"/>
    <mergeCell ref="ED372:ED374"/>
    <mergeCell ref="DM372:DM374"/>
    <mergeCell ref="DN372:DN374"/>
    <mergeCell ref="DO372:DO374"/>
    <mergeCell ref="DP372:DP374"/>
    <mergeCell ref="DQ372:DQ374"/>
    <mergeCell ref="DR372:DR374"/>
    <mergeCell ref="DS372:DS374"/>
    <mergeCell ref="DT372:DT374"/>
    <mergeCell ref="DU372:DU374"/>
    <mergeCell ref="DD372:DD374"/>
    <mergeCell ref="AJ372:AJ374"/>
    <mergeCell ref="AK372:AK374"/>
    <mergeCell ref="AL372:AL374"/>
    <mergeCell ref="AM372:AM374"/>
    <mergeCell ref="AN372:AN374"/>
    <mergeCell ref="AO372:AO374"/>
    <mergeCell ref="AP372:AP374"/>
    <mergeCell ref="AQ372:AQ374"/>
    <mergeCell ref="AR372:AR374"/>
    <mergeCell ref="CU372:CU374"/>
    <mergeCell ref="CV372:CV374"/>
    <mergeCell ref="CW372:CW374"/>
    <mergeCell ref="CX372:CX374"/>
    <mergeCell ref="CY372:CY374"/>
    <mergeCell ref="CZ372:CZ374"/>
    <mergeCell ref="DA372:DA374"/>
    <mergeCell ref="DB372:DB374"/>
    <mergeCell ref="CL372:CL374"/>
    <mergeCell ref="CM372:CM374"/>
    <mergeCell ref="CN372:CN374"/>
    <mergeCell ref="CO372:CO374"/>
    <mergeCell ref="CP372:CP374"/>
    <mergeCell ref="CQ372:CQ374"/>
    <mergeCell ref="CR372:CR374"/>
    <mergeCell ref="CS372:CS374"/>
    <mergeCell ref="CT372:CT374"/>
    <mergeCell ref="CC372:CC374"/>
    <mergeCell ref="CD372:CD374"/>
    <mergeCell ref="CE372:CE374"/>
    <mergeCell ref="CF372:CF374"/>
    <mergeCell ref="CG372:CG374"/>
    <mergeCell ref="CH372:CH374"/>
    <mergeCell ref="BB372:BB374"/>
    <mergeCell ref="BC372:BC374"/>
    <mergeCell ref="BD372:BD374"/>
    <mergeCell ref="BE372:BE374"/>
    <mergeCell ref="BF372:BF374"/>
    <mergeCell ref="BG372:BG374"/>
    <mergeCell ref="BH372:BH374"/>
    <mergeCell ref="BI372:BI374"/>
    <mergeCell ref="BJ372:BJ374"/>
    <mergeCell ref="AS372:AS374"/>
    <mergeCell ref="AT372:AT374"/>
    <mergeCell ref="AU372:AU374"/>
    <mergeCell ref="AV372:AV374"/>
    <mergeCell ref="AW372:AW374"/>
    <mergeCell ref="AX372:AX374"/>
    <mergeCell ref="AY372:AY374"/>
    <mergeCell ref="AZ372:AZ374"/>
    <mergeCell ref="BA372:BA374"/>
    <mergeCell ref="II369:II371"/>
    <mergeCell ref="HR369:HR371"/>
    <mergeCell ref="HS369:HS371"/>
    <mergeCell ref="HT369:HT371"/>
    <mergeCell ref="HU369:HU371"/>
    <mergeCell ref="HV369:HV371"/>
    <mergeCell ref="HW369:HW371"/>
    <mergeCell ref="HX369:HX371"/>
    <mergeCell ref="HY369:HY371"/>
    <mergeCell ref="HZ369:HZ371"/>
    <mergeCell ref="HI369:HI371"/>
    <mergeCell ref="HJ369:HJ371"/>
    <mergeCell ref="HK369:HK371"/>
    <mergeCell ref="HL369:HL371"/>
    <mergeCell ref="BK372:BK374"/>
    <mergeCell ref="BL372:BL374"/>
    <mergeCell ref="BM372:BM374"/>
    <mergeCell ref="BN372:BN374"/>
    <mergeCell ref="BO372:BO374"/>
    <mergeCell ref="BP372:BP374"/>
    <mergeCell ref="BQ372:BQ374"/>
    <mergeCell ref="BR372:BR374"/>
    <mergeCell ref="BS372:BS374"/>
    <mergeCell ref="DC372:DC374"/>
    <mergeCell ref="CI372:CI374"/>
    <mergeCell ref="CJ372:CJ374"/>
    <mergeCell ref="CK372:CK374"/>
    <mergeCell ref="BT372:BT374"/>
    <mergeCell ref="BU372:BU374"/>
    <mergeCell ref="BV372:BV374"/>
    <mergeCell ref="BW372:BW374"/>
    <mergeCell ref="BX372:BX374"/>
    <mergeCell ref="IJ369:IJ371"/>
    <mergeCell ref="IK369:IK371"/>
    <mergeCell ref="IL369:IL371"/>
    <mergeCell ref="IM369:IM371"/>
    <mergeCell ref="IN369:IN371"/>
    <mergeCell ref="IO369:IO371"/>
    <mergeCell ref="IP369:IP371"/>
    <mergeCell ref="IQ369:IQ371"/>
    <mergeCell ref="A372:A374"/>
    <mergeCell ref="B372:B374"/>
    <mergeCell ref="C372:C374"/>
    <mergeCell ref="D372:D374"/>
    <mergeCell ref="E372:E374"/>
    <mergeCell ref="G372:G374"/>
    <mergeCell ref="H372:H374"/>
    <mergeCell ref="I372:I374"/>
    <mergeCell ref="J372:J374"/>
    <mergeCell ref="K372:K374"/>
    <mergeCell ref="L372:L374"/>
    <mergeCell ref="M372:M374"/>
    <mergeCell ref="N372:N374"/>
    <mergeCell ref="O372:O374"/>
    <mergeCell ref="P372:P374"/>
    <mergeCell ref="Q372:Q374"/>
    <mergeCell ref="IA369:IA371"/>
    <mergeCell ref="IB369:IB371"/>
    <mergeCell ref="IC369:IC371"/>
    <mergeCell ref="ID369:ID371"/>
    <mergeCell ref="IE369:IE371"/>
    <mergeCell ref="IF369:IF371"/>
    <mergeCell ref="IG369:IG371"/>
    <mergeCell ref="IH369:IH371"/>
    <mergeCell ref="AA372:AA374"/>
    <mergeCell ref="AB372:AB374"/>
    <mergeCell ref="AC372:AC374"/>
    <mergeCell ref="AD372:AD374"/>
    <mergeCell ref="AE372:AE374"/>
    <mergeCell ref="AF372:AF374"/>
    <mergeCell ref="AG372:AG374"/>
    <mergeCell ref="AH372:AH374"/>
    <mergeCell ref="AI372:AI374"/>
    <mergeCell ref="R372:R374"/>
    <mergeCell ref="S372:S374"/>
    <mergeCell ref="T372:T374"/>
    <mergeCell ref="U372:U374"/>
    <mergeCell ref="V372:V374"/>
    <mergeCell ref="W372:W374"/>
    <mergeCell ref="X372:X374"/>
    <mergeCell ref="Y372:Y374"/>
    <mergeCell ref="Z372:Z374"/>
    <mergeCell ref="GH369:GH371"/>
    <mergeCell ref="GI369:GI371"/>
    <mergeCell ref="GJ369:GJ371"/>
    <mergeCell ref="GK369:GK371"/>
    <mergeCell ref="GL369:GL371"/>
    <mergeCell ref="GM369:GM371"/>
    <mergeCell ref="GN369:GN371"/>
    <mergeCell ref="GO369:GO371"/>
    <mergeCell ref="GP369:GP371"/>
    <mergeCell ref="FY369:FY371"/>
    <mergeCell ref="FZ369:FZ371"/>
    <mergeCell ref="GA369:GA371"/>
    <mergeCell ref="GB369:GB371"/>
    <mergeCell ref="GC369:GC371"/>
    <mergeCell ref="GD369:GD371"/>
    <mergeCell ref="GE369:GE371"/>
    <mergeCell ref="GF369:GF371"/>
    <mergeCell ref="GG369:GG371"/>
    <mergeCell ref="HM369:HM371"/>
    <mergeCell ref="HN369:HN371"/>
    <mergeCell ref="HO369:HO371"/>
    <mergeCell ref="HP369:HP371"/>
    <mergeCell ref="HQ369:HQ371"/>
    <mergeCell ref="GZ369:GZ371"/>
    <mergeCell ref="HA369:HA371"/>
    <mergeCell ref="HB369:HB371"/>
    <mergeCell ref="HC369:HC371"/>
    <mergeCell ref="HD369:HD371"/>
    <mergeCell ref="HE369:HE371"/>
    <mergeCell ref="HF369:HF371"/>
    <mergeCell ref="HG369:HG371"/>
    <mergeCell ref="HH369:HH371"/>
    <mergeCell ref="GQ369:GQ371"/>
    <mergeCell ref="GR369:GR371"/>
    <mergeCell ref="GS369:GS371"/>
    <mergeCell ref="GT369:GT371"/>
    <mergeCell ref="GU369:GU371"/>
    <mergeCell ref="GV369:GV371"/>
    <mergeCell ref="GW369:GW371"/>
    <mergeCell ref="GX369:GX371"/>
    <mergeCell ref="GY369:GY371"/>
    <mergeCell ref="EX369:EX371"/>
    <mergeCell ref="EY369:EY371"/>
    <mergeCell ref="EZ369:EZ371"/>
    <mergeCell ref="FA369:FA371"/>
    <mergeCell ref="FB369:FB371"/>
    <mergeCell ref="FC369:FC371"/>
    <mergeCell ref="FD369:FD371"/>
    <mergeCell ref="FE369:FE371"/>
    <mergeCell ref="FF369:FF371"/>
    <mergeCell ref="EO369:EO371"/>
    <mergeCell ref="EP369:EP371"/>
    <mergeCell ref="EQ369:EQ371"/>
    <mergeCell ref="ER369:ER371"/>
    <mergeCell ref="ES369:ES371"/>
    <mergeCell ref="ET369:ET371"/>
    <mergeCell ref="EU369:EU371"/>
    <mergeCell ref="EV369:EV371"/>
    <mergeCell ref="EW369:EW371"/>
    <mergeCell ref="FP369:FP371"/>
    <mergeCell ref="FQ369:FQ371"/>
    <mergeCell ref="FR369:FR371"/>
    <mergeCell ref="FS369:FS371"/>
    <mergeCell ref="FT369:FT371"/>
    <mergeCell ref="FU369:FU371"/>
    <mergeCell ref="FV369:FV371"/>
    <mergeCell ref="FW369:FW371"/>
    <mergeCell ref="FX369:FX371"/>
    <mergeCell ref="FG369:FG371"/>
    <mergeCell ref="FH369:FH371"/>
    <mergeCell ref="FI369:FI371"/>
    <mergeCell ref="FJ369:FJ371"/>
    <mergeCell ref="FK369:FK371"/>
    <mergeCell ref="FL369:FL371"/>
    <mergeCell ref="FM369:FM371"/>
    <mergeCell ref="FN369:FN371"/>
    <mergeCell ref="FO369:FO371"/>
    <mergeCell ref="DN369:DN371"/>
    <mergeCell ref="DO369:DO371"/>
    <mergeCell ref="DP369:DP371"/>
    <mergeCell ref="DQ369:DQ371"/>
    <mergeCell ref="DR369:DR371"/>
    <mergeCell ref="DS369:DS371"/>
    <mergeCell ref="DT369:DT371"/>
    <mergeCell ref="DU369:DU371"/>
    <mergeCell ref="DV369:DV371"/>
    <mergeCell ref="DE369:DE371"/>
    <mergeCell ref="DF369:DF371"/>
    <mergeCell ref="DG369:DG371"/>
    <mergeCell ref="DH369:DH371"/>
    <mergeCell ref="DI369:DI371"/>
    <mergeCell ref="DJ369:DJ371"/>
    <mergeCell ref="DK369:DK371"/>
    <mergeCell ref="DL369:DL371"/>
    <mergeCell ref="DM369:DM371"/>
    <mergeCell ref="EF369:EF371"/>
    <mergeCell ref="EG369:EG371"/>
    <mergeCell ref="EH369:EH371"/>
    <mergeCell ref="EI369:EI371"/>
    <mergeCell ref="EJ369:EJ371"/>
    <mergeCell ref="EK369:EK371"/>
    <mergeCell ref="EL369:EL371"/>
    <mergeCell ref="EM369:EM371"/>
    <mergeCell ref="EN369:EN371"/>
    <mergeCell ref="DW369:DW371"/>
    <mergeCell ref="DX369:DX371"/>
    <mergeCell ref="DY369:DY371"/>
    <mergeCell ref="DZ369:DZ371"/>
    <mergeCell ref="EA369:EA371"/>
    <mergeCell ref="EB369:EB371"/>
    <mergeCell ref="EC369:EC371"/>
    <mergeCell ref="ED369:ED371"/>
    <mergeCell ref="EE369:EE371"/>
    <mergeCell ref="CD369:CD371"/>
    <mergeCell ref="CE369:CE371"/>
    <mergeCell ref="CF369:CF371"/>
    <mergeCell ref="CG369:CG371"/>
    <mergeCell ref="CH369:CH371"/>
    <mergeCell ref="CI369:CI371"/>
    <mergeCell ref="CJ369:CJ371"/>
    <mergeCell ref="CK369:CK371"/>
    <mergeCell ref="CL369:CL371"/>
    <mergeCell ref="BU369:BU371"/>
    <mergeCell ref="BV369:BV371"/>
    <mergeCell ref="BW369:BW371"/>
    <mergeCell ref="BX369:BX371"/>
    <mergeCell ref="BY369:BY371"/>
    <mergeCell ref="BZ369:BZ371"/>
    <mergeCell ref="CA369:CA371"/>
    <mergeCell ref="CB369:CB371"/>
    <mergeCell ref="CC369:CC371"/>
    <mergeCell ref="CV369:CV371"/>
    <mergeCell ref="CW369:CW371"/>
    <mergeCell ref="CX369:CX371"/>
    <mergeCell ref="CY369:CY371"/>
    <mergeCell ref="CZ369:CZ371"/>
    <mergeCell ref="DA369:DA371"/>
    <mergeCell ref="DB369:DB371"/>
    <mergeCell ref="DC369:DC371"/>
    <mergeCell ref="DD369:DD371"/>
    <mergeCell ref="CM369:CM371"/>
    <mergeCell ref="CN369:CN371"/>
    <mergeCell ref="CO369:CO371"/>
    <mergeCell ref="CP369:CP371"/>
    <mergeCell ref="CQ369:CQ371"/>
    <mergeCell ref="CR369:CR371"/>
    <mergeCell ref="CS369:CS371"/>
    <mergeCell ref="CT369:CT371"/>
    <mergeCell ref="CU369:CU371"/>
    <mergeCell ref="AT369:AT371"/>
    <mergeCell ref="AU369:AU371"/>
    <mergeCell ref="AV369:AV371"/>
    <mergeCell ref="AW369:AW371"/>
    <mergeCell ref="AX369:AX371"/>
    <mergeCell ref="AY369:AY371"/>
    <mergeCell ref="AZ369:AZ371"/>
    <mergeCell ref="BA369:BA371"/>
    <mergeCell ref="BB369:BB371"/>
    <mergeCell ref="AK369:AK371"/>
    <mergeCell ref="AL369:AL371"/>
    <mergeCell ref="AM369:AM371"/>
    <mergeCell ref="AN369:AN371"/>
    <mergeCell ref="AO369:AO371"/>
    <mergeCell ref="AP369:AP371"/>
    <mergeCell ref="AQ369:AQ371"/>
    <mergeCell ref="AR369:AR371"/>
    <mergeCell ref="AS369:AS371"/>
    <mergeCell ref="BL369:BL371"/>
    <mergeCell ref="BM369:BM371"/>
    <mergeCell ref="BN369:BN371"/>
    <mergeCell ref="BO369:BO371"/>
    <mergeCell ref="BP369:BP371"/>
    <mergeCell ref="BQ369:BQ371"/>
    <mergeCell ref="BR369:BR371"/>
    <mergeCell ref="BS369:BS371"/>
    <mergeCell ref="BT369:BT371"/>
    <mergeCell ref="BC369:BC371"/>
    <mergeCell ref="BD369:BD371"/>
    <mergeCell ref="BE369:BE371"/>
    <mergeCell ref="BF369:BF371"/>
    <mergeCell ref="BG369:BG371"/>
    <mergeCell ref="BH369:BH371"/>
    <mergeCell ref="BI369:BI371"/>
    <mergeCell ref="BJ369:BJ371"/>
    <mergeCell ref="BK369:BK371"/>
    <mergeCell ref="A369:A371"/>
    <mergeCell ref="B369:B371"/>
    <mergeCell ref="C369:C371"/>
    <mergeCell ref="D369:D371"/>
    <mergeCell ref="E369:E371"/>
    <mergeCell ref="G369:G371"/>
    <mergeCell ref="H369:H371"/>
    <mergeCell ref="I369:I371"/>
    <mergeCell ref="J369:J371"/>
    <mergeCell ref="K369:K371"/>
    <mergeCell ref="L369:L371"/>
    <mergeCell ref="M369:M371"/>
    <mergeCell ref="N369:N371"/>
    <mergeCell ref="O369:O371"/>
    <mergeCell ref="P369:P371"/>
    <mergeCell ref="Q369:Q371"/>
    <mergeCell ref="R369:R371"/>
    <mergeCell ref="AB369:AB371"/>
    <mergeCell ref="AC369:AC371"/>
    <mergeCell ref="AD369:AD371"/>
    <mergeCell ref="AE369:AE371"/>
    <mergeCell ref="AF369:AF371"/>
    <mergeCell ref="AG369:AG371"/>
    <mergeCell ref="AH369:AH371"/>
    <mergeCell ref="AI369:AI371"/>
    <mergeCell ref="AJ369:AJ371"/>
    <mergeCell ref="S369:S371"/>
    <mergeCell ref="T369:T371"/>
    <mergeCell ref="U369:U371"/>
    <mergeCell ref="V369:V371"/>
    <mergeCell ref="W369:W371"/>
    <mergeCell ref="X369:X371"/>
    <mergeCell ref="Y369:Y371"/>
    <mergeCell ref="Z369:Z371"/>
    <mergeCell ref="AA369:AA371"/>
    <mergeCell ref="HQ364:HQ366"/>
    <mergeCell ref="HR364:HR366"/>
    <mergeCell ref="HS364:HS366"/>
    <mergeCell ref="HT364:HT366"/>
    <mergeCell ref="HU364:HU366"/>
    <mergeCell ref="HV364:HV366"/>
    <mergeCell ref="HW364:HW366"/>
    <mergeCell ref="HX364:HX366"/>
    <mergeCell ref="HY364:HY366"/>
    <mergeCell ref="HH364:HH366"/>
    <mergeCell ref="HI364:HI366"/>
    <mergeCell ref="HJ364:HJ366"/>
    <mergeCell ref="HK364:HK366"/>
    <mergeCell ref="HL364:HL366"/>
    <mergeCell ref="HM364:HM366"/>
    <mergeCell ref="HN364:HN366"/>
    <mergeCell ref="HO364:HO366"/>
    <mergeCell ref="HP364:HP366"/>
    <mergeCell ref="II364:II366"/>
    <mergeCell ref="IJ364:IJ366"/>
    <mergeCell ref="IK364:IK366"/>
    <mergeCell ref="IL364:IL366"/>
    <mergeCell ref="IM364:IM366"/>
    <mergeCell ref="IN364:IN366"/>
    <mergeCell ref="IO364:IO366"/>
    <mergeCell ref="IP364:IP366"/>
    <mergeCell ref="IQ364:IQ366"/>
    <mergeCell ref="HZ364:HZ366"/>
    <mergeCell ref="IA364:IA366"/>
    <mergeCell ref="IB364:IB366"/>
    <mergeCell ref="IC364:IC366"/>
    <mergeCell ref="ID364:ID366"/>
    <mergeCell ref="IE364:IE366"/>
    <mergeCell ref="IF364:IF366"/>
    <mergeCell ref="IG364:IG366"/>
    <mergeCell ref="IH364:IH366"/>
    <mergeCell ref="HD364:HD366"/>
    <mergeCell ref="HE364:HE366"/>
    <mergeCell ref="HF364:HF366"/>
    <mergeCell ref="HG364:HG366"/>
    <mergeCell ref="GP364:GP366"/>
    <mergeCell ref="GQ364:GQ366"/>
    <mergeCell ref="GR364:GR366"/>
    <mergeCell ref="GS364:GS366"/>
    <mergeCell ref="GT364:GT366"/>
    <mergeCell ref="GU364:GU366"/>
    <mergeCell ref="GV364:GV366"/>
    <mergeCell ref="GW364:GW366"/>
    <mergeCell ref="GX364:GX366"/>
    <mergeCell ref="GG364:GG366"/>
    <mergeCell ref="GH364:GH366"/>
    <mergeCell ref="GI364:GI366"/>
    <mergeCell ref="GJ364:GJ366"/>
    <mergeCell ref="GK364:GK366"/>
    <mergeCell ref="GL364:GL366"/>
    <mergeCell ref="GM364:GM366"/>
    <mergeCell ref="GN364:GN366"/>
    <mergeCell ref="GO364:GO366"/>
    <mergeCell ref="FC364:FC366"/>
    <mergeCell ref="FD364:FD366"/>
    <mergeCell ref="FE364:FE366"/>
    <mergeCell ref="EN364:EN366"/>
    <mergeCell ref="EO364:EO366"/>
    <mergeCell ref="EP364:EP366"/>
    <mergeCell ref="EQ364:EQ366"/>
    <mergeCell ref="ER364:ER366"/>
    <mergeCell ref="ES364:ES366"/>
    <mergeCell ref="ET364:ET366"/>
    <mergeCell ref="EU364:EU366"/>
    <mergeCell ref="EV364:EV366"/>
    <mergeCell ref="GY364:GY366"/>
    <mergeCell ref="GZ364:GZ366"/>
    <mergeCell ref="HA364:HA366"/>
    <mergeCell ref="HB364:HB366"/>
    <mergeCell ref="HC364:HC366"/>
    <mergeCell ref="FX364:FX366"/>
    <mergeCell ref="FY364:FY366"/>
    <mergeCell ref="FZ364:FZ366"/>
    <mergeCell ref="GA364:GA366"/>
    <mergeCell ref="GB364:GB366"/>
    <mergeCell ref="GC364:GC366"/>
    <mergeCell ref="GD364:GD366"/>
    <mergeCell ref="GE364:GE366"/>
    <mergeCell ref="GF364:GF366"/>
    <mergeCell ref="DE364:DE366"/>
    <mergeCell ref="DF364:DF366"/>
    <mergeCell ref="DG364:DG366"/>
    <mergeCell ref="DH364:DH366"/>
    <mergeCell ref="DI364:DI366"/>
    <mergeCell ref="DJ364:DJ366"/>
    <mergeCell ref="DK364:DK366"/>
    <mergeCell ref="DL364:DL366"/>
    <mergeCell ref="FO364:FO366"/>
    <mergeCell ref="FP364:FP366"/>
    <mergeCell ref="FQ364:FQ366"/>
    <mergeCell ref="FR364:FR366"/>
    <mergeCell ref="FS364:FS366"/>
    <mergeCell ref="FT364:FT366"/>
    <mergeCell ref="FU364:FU366"/>
    <mergeCell ref="FV364:FV366"/>
    <mergeCell ref="FW364:FW366"/>
    <mergeCell ref="FF364:FF366"/>
    <mergeCell ref="FG364:FG366"/>
    <mergeCell ref="FH364:FH366"/>
    <mergeCell ref="FI364:FI366"/>
    <mergeCell ref="FJ364:FJ366"/>
    <mergeCell ref="FK364:FK366"/>
    <mergeCell ref="FL364:FL366"/>
    <mergeCell ref="FM364:FM366"/>
    <mergeCell ref="FN364:FN366"/>
    <mergeCell ref="EW364:EW366"/>
    <mergeCell ref="EX364:EX366"/>
    <mergeCell ref="EY364:EY366"/>
    <mergeCell ref="EZ364:EZ366"/>
    <mergeCell ref="FA364:FA366"/>
    <mergeCell ref="FB364:FB366"/>
    <mergeCell ref="BY364:BY366"/>
    <mergeCell ref="BZ364:BZ366"/>
    <mergeCell ref="CA364:CA366"/>
    <mergeCell ref="CB364:CB366"/>
    <mergeCell ref="EE364:EE366"/>
    <mergeCell ref="EF364:EF366"/>
    <mergeCell ref="EG364:EG366"/>
    <mergeCell ref="EH364:EH366"/>
    <mergeCell ref="EI364:EI366"/>
    <mergeCell ref="EJ364:EJ366"/>
    <mergeCell ref="EK364:EK366"/>
    <mergeCell ref="EL364:EL366"/>
    <mergeCell ref="EM364:EM366"/>
    <mergeCell ref="DV364:DV366"/>
    <mergeCell ref="DW364:DW366"/>
    <mergeCell ref="DX364:DX366"/>
    <mergeCell ref="DY364:DY366"/>
    <mergeCell ref="DZ364:DZ366"/>
    <mergeCell ref="EA364:EA366"/>
    <mergeCell ref="EB364:EB366"/>
    <mergeCell ref="EC364:EC366"/>
    <mergeCell ref="ED364:ED366"/>
    <mergeCell ref="DM364:DM366"/>
    <mergeCell ref="DN364:DN366"/>
    <mergeCell ref="DO364:DO366"/>
    <mergeCell ref="DP364:DP366"/>
    <mergeCell ref="DQ364:DQ366"/>
    <mergeCell ref="DR364:DR366"/>
    <mergeCell ref="DS364:DS366"/>
    <mergeCell ref="DT364:DT366"/>
    <mergeCell ref="DU364:DU366"/>
    <mergeCell ref="DD364:DD366"/>
    <mergeCell ref="AJ364:AJ366"/>
    <mergeCell ref="AK364:AK366"/>
    <mergeCell ref="AL364:AL366"/>
    <mergeCell ref="AM364:AM366"/>
    <mergeCell ref="AN364:AN366"/>
    <mergeCell ref="AO364:AO366"/>
    <mergeCell ref="AP364:AP366"/>
    <mergeCell ref="AQ364:AQ366"/>
    <mergeCell ref="AR364:AR366"/>
    <mergeCell ref="CU364:CU366"/>
    <mergeCell ref="CV364:CV366"/>
    <mergeCell ref="CW364:CW366"/>
    <mergeCell ref="CX364:CX366"/>
    <mergeCell ref="CY364:CY366"/>
    <mergeCell ref="CZ364:CZ366"/>
    <mergeCell ref="DA364:DA366"/>
    <mergeCell ref="DB364:DB366"/>
    <mergeCell ref="CL364:CL366"/>
    <mergeCell ref="CM364:CM366"/>
    <mergeCell ref="CN364:CN366"/>
    <mergeCell ref="CO364:CO366"/>
    <mergeCell ref="CP364:CP366"/>
    <mergeCell ref="CQ364:CQ366"/>
    <mergeCell ref="CR364:CR366"/>
    <mergeCell ref="CS364:CS366"/>
    <mergeCell ref="CT364:CT366"/>
    <mergeCell ref="CC364:CC366"/>
    <mergeCell ref="CD364:CD366"/>
    <mergeCell ref="CE364:CE366"/>
    <mergeCell ref="CF364:CF366"/>
    <mergeCell ref="CG364:CG366"/>
    <mergeCell ref="CH364:CH366"/>
    <mergeCell ref="BB364:BB366"/>
    <mergeCell ref="BC364:BC366"/>
    <mergeCell ref="BD364:BD366"/>
    <mergeCell ref="BE364:BE366"/>
    <mergeCell ref="BF364:BF366"/>
    <mergeCell ref="BG364:BG366"/>
    <mergeCell ref="BH364:BH366"/>
    <mergeCell ref="BI364:BI366"/>
    <mergeCell ref="BJ364:BJ366"/>
    <mergeCell ref="AS364:AS366"/>
    <mergeCell ref="AT364:AT366"/>
    <mergeCell ref="AU364:AU366"/>
    <mergeCell ref="AV364:AV366"/>
    <mergeCell ref="AW364:AW366"/>
    <mergeCell ref="AX364:AX366"/>
    <mergeCell ref="AY364:AY366"/>
    <mergeCell ref="AZ364:AZ366"/>
    <mergeCell ref="BA364:BA366"/>
    <mergeCell ref="II361:II363"/>
    <mergeCell ref="HR361:HR363"/>
    <mergeCell ref="HS361:HS363"/>
    <mergeCell ref="HT361:HT363"/>
    <mergeCell ref="HU361:HU363"/>
    <mergeCell ref="HV361:HV363"/>
    <mergeCell ref="HW361:HW363"/>
    <mergeCell ref="HX361:HX363"/>
    <mergeCell ref="HY361:HY363"/>
    <mergeCell ref="HZ361:HZ363"/>
    <mergeCell ref="HI361:HI363"/>
    <mergeCell ref="HJ361:HJ363"/>
    <mergeCell ref="HK361:HK363"/>
    <mergeCell ref="HL361:HL363"/>
    <mergeCell ref="BK364:BK366"/>
    <mergeCell ref="BL364:BL366"/>
    <mergeCell ref="BM364:BM366"/>
    <mergeCell ref="BN364:BN366"/>
    <mergeCell ref="BO364:BO366"/>
    <mergeCell ref="BP364:BP366"/>
    <mergeCell ref="BQ364:BQ366"/>
    <mergeCell ref="BR364:BR366"/>
    <mergeCell ref="BS364:BS366"/>
    <mergeCell ref="DC364:DC366"/>
    <mergeCell ref="CI364:CI366"/>
    <mergeCell ref="CJ364:CJ366"/>
    <mergeCell ref="CK364:CK366"/>
    <mergeCell ref="BT364:BT366"/>
    <mergeCell ref="BU364:BU366"/>
    <mergeCell ref="BV364:BV366"/>
    <mergeCell ref="BW364:BW366"/>
    <mergeCell ref="BX364:BX366"/>
    <mergeCell ref="IJ361:IJ363"/>
    <mergeCell ref="IK361:IK363"/>
    <mergeCell ref="IL361:IL363"/>
    <mergeCell ref="IM361:IM363"/>
    <mergeCell ref="IN361:IN363"/>
    <mergeCell ref="IO361:IO363"/>
    <mergeCell ref="IP361:IP363"/>
    <mergeCell ref="IQ361:IQ363"/>
    <mergeCell ref="A364:A366"/>
    <mergeCell ref="B364:B366"/>
    <mergeCell ref="C364:C366"/>
    <mergeCell ref="D364:D366"/>
    <mergeCell ref="E364:E366"/>
    <mergeCell ref="G364:G366"/>
    <mergeCell ref="H364:H366"/>
    <mergeCell ref="I364:I366"/>
    <mergeCell ref="J364:J366"/>
    <mergeCell ref="K364:K366"/>
    <mergeCell ref="L364:L366"/>
    <mergeCell ref="M364:M366"/>
    <mergeCell ref="N364:N366"/>
    <mergeCell ref="O364:O366"/>
    <mergeCell ref="P364:P366"/>
    <mergeCell ref="Q364:Q366"/>
    <mergeCell ref="IA361:IA363"/>
    <mergeCell ref="IB361:IB363"/>
    <mergeCell ref="IC361:IC363"/>
    <mergeCell ref="ID361:ID363"/>
    <mergeCell ref="IE361:IE363"/>
    <mergeCell ref="IF361:IF363"/>
    <mergeCell ref="IG361:IG363"/>
    <mergeCell ref="IH361:IH363"/>
    <mergeCell ref="AA364:AA366"/>
    <mergeCell ref="AB364:AB366"/>
    <mergeCell ref="AC364:AC366"/>
    <mergeCell ref="AD364:AD366"/>
    <mergeCell ref="AE364:AE366"/>
    <mergeCell ref="AF364:AF366"/>
    <mergeCell ref="AG364:AG366"/>
    <mergeCell ref="AH364:AH366"/>
    <mergeCell ref="AI364:AI366"/>
    <mergeCell ref="R364:R366"/>
    <mergeCell ref="S364:S366"/>
    <mergeCell ref="T364:T366"/>
    <mergeCell ref="U364:U366"/>
    <mergeCell ref="V364:V366"/>
    <mergeCell ref="W364:W366"/>
    <mergeCell ref="X364:X366"/>
    <mergeCell ref="Y364:Y366"/>
    <mergeCell ref="Z364:Z366"/>
    <mergeCell ref="GH361:GH363"/>
    <mergeCell ref="GI361:GI363"/>
    <mergeCell ref="GJ361:GJ363"/>
    <mergeCell ref="GK361:GK363"/>
    <mergeCell ref="GL361:GL363"/>
    <mergeCell ref="GM361:GM363"/>
    <mergeCell ref="GN361:GN363"/>
    <mergeCell ref="GO361:GO363"/>
    <mergeCell ref="GP361:GP363"/>
    <mergeCell ref="FY361:FY363"/>
    <mergeCell ref="FZ361:FZ363"/>
    <mergeCell ref="GA361:GA363"/>
    <mergeCell ref="GB361:GB363"/>
    <mergeCell ref="GC361:GC363"/>
    <mergeCell ref="GD361:GD363"/>
    <mergeCell ref="GE361:GE363"/>
    <mergeCell ref="GF361:GF363"/>
    <mergeCell ref="GG361:GG363"/>
    <mergeCell ref="HM361:HM363"/>
    <mergeCell ref="HN361:HN363"/>
    <mergeCell ref="HO361:HO363"/>
    <mergeCell ref="HP361:HP363"/>
    <mergeCell ref="HQ361:HQ363"/>
    <mergeCell ref="GZ361:GZ363"/>
    <mergeCell ref="HA361:HA363"/>
    <mergeCell ref="HB361:HB363"/>
    <mergeCell ref="HC361:HC363"/>
    <mergeCell ref="HD361:HD363"/>
    <mergeCell ref="HE361:HE363"/>
    <mergeCell ref="HF361:HF363"/>
    <mergeCell ref="HG361:HG363"/>
    <mergeCell ref="HH361:HH363"/>
    <mergeCell ref="GQ361:GQ363"/>
    <mergeCell ref="GR361:GR363"/>
    <mergeCell ref="GS361:GS363"/>
    <mergeCell ref="GT361:GT363"/>
    <mergeCell ref="GU361:GU363"/>
    <mergeCell ref="GV361:GV363"/>
    <mergeCell ref="GW361:GW363"/>
    <mergeCell ref="GX361:GX363"/>
    <mergeCell ref="GY361:GY363"/>
    <mergeCell ref="EX361:EX363"/>
    <mergeCell ref="EY361:EY363"/>
    <mergeCell ref="EZ361:EZ363"/>
    <mergeCell ref="FA361:FA363"/>
    <mergeCell ref="FB361:FB363"/>
    <mergeCell ref="FC361:FC363"/>
    <mergeCell ref="FD361:FD363"/>
    <mergeCell ref="FE361:FE363"/>
    <mergeCell ref="FF361:FF363"/>
    <mergeCell ref="EO361:EO363"/>
    <mergeCell ref="EP361:EP363"/>
    <mergeCell ref="EQ361:EQ363"/>
    <mergeCell ref="ER361:ER363"/>
    <mergeCell ref="ES361:ES363"/>
    <mergeCell ref="ET361:ET363"/>
    <mergeCell ref="EU361:EU363"/>
    <mergeCell ref="EV361:EV363"/>
    <mergeCell ref="EW361:EW363"/>
    <mergeCell ref="FP361:FP363"/>
    <mergeCell ref="FQ361:FQ363"/>
    <mergeCell ref="FR361:FR363"/>
    <mergeCell ref="FS361:FS363"/>
    <mergeCell ref="FT361:FT363"/>
    <mergeCell ref="FU361:FU363"/>
    <mergeCell ref="FV361:FV363"/>
    <mergeCell ref="FW361:FW363"/>
    <mergeCell ref="FX361:FX363"/>
    <mergeCell ref="FG361:FG363"/>
    <mergeCell ref="FH361:FH363"/>
    <mergeCell ref="FI361:FI363"/>
    <mergeCell ref="FJ361:FJ363"/>
    <mergeCell ref="FK361:FK363"/>
    <mergeCell ref="FL361:FL363"/>
    <mergeCell ref="FM361:FM363"/>
    <mergeCell ref="FN361:FN363"/>
    <mergeCell ref="FO361:FO363"/>
    <mergeCell ref="DN361:DN363"/>
    <mergeCell ref="DO361:DO363"/>
    <mergeCell ref="DP361:DP363"/>
    <mergeCell ref="DQ361:DQ363"/>
    <mergeCell ref="DR361:DR363"/>
    <mergeCell ref="DS361:DS363"/>
    <mergeCell ref="DT361:DT363"/>
    <mergeCell ref="DU361:DU363"/>
    <mergeCell ref="DV361:DV363"/>
    <mergeCell ref="DE361:DE363"/>
    <mergeCell ref="DF361:DF363"/>
    <mergeCell ref="DG361:DG363"/>
    <mergeCell ref="DH361:DH363"/>
    <mergeCell ref="DI361:DI363"/>
    <mergeCell ref="DJ361:DJ363"/>
    <mergeCell ref="DK361:DK363"/>
    <mergeCell ref="DL361:DL363"/>
    <mergeCell ref="DM361:DM363"/>
    <mergeCell ref="EF361:EF363"/>
    <mergeCell ref="EG361:EG363"/>
    <mergeCell ref="EH361:EH363"/>
    <mergeCell ref="EI361:EI363"/>
    <mergeCell ref="EJ361:EJ363"/>
    <mergeCell ref="EK361:EK363"/>
    <mergeCell ref="EL361:EL363"/>
    <mergeCell ref="EM361:EM363"/>
    <mergeCell ref="EN361:EN363"/>
    <mergeCell ref="DW361:DW363"/>
    <mergeCell ref="DX361:DX363"/>
    <mergeCell ref="DY361:DY363"/>
    <mergeCell ref="DZ361:DZ363"/>
    <mergeCell ref="EA361:EA363"/>
    <mergeCell ref="EB361:EB363"/>
    <mergeCell ref="EC361:EC363"/>
    <mergeCell ref="ED361:ED363"/>
    <mergeCell ref="EE361:EE363"/>
    <mergeCell ref="CD361:CD363"/>
    <mergeCell ref="CE361:CE363"/>
    <mergeCell ref="CF361:CF363"/>
    <mergeCell ref="CG361:CG363"/>
    <mergeCell ref="CH361:CH363"/>
    <mergeCell ref="CI361:CI363"/>
    <mergeCell ref="CJ361:CJ363"/>
    <mergeCell ref="CK361:CK363"/>
    <mergeCell ref="CL361:CL363"/>
    <mergeCell ref="BU361:BU363"/>
    <mergeCell ref="BV361:BV363"/>
    <mergeCell ref="BW361:BW363"/>
    <mergeCell ref="BX361:BX363"/>
    <mergeCell ref="BY361:BY363"/>
    <mergeCell ref="BZ361:BZ363"/>
    <mergeCell ref="CA361:CA363"/>
    <mergeCell ref="CB361:CB363"/>
    <mergeCell ref="CC361:CC363"/>
    <mergeCell ref="CV361:CV363"/>
    <mergeCell ref="CW361:CW363"/>
    <mergeCell ref="CX361:CX363"/>
    <mergeCell ref="CY361:CY363"/>
    <mergeCell ref="CZ361:CZ363"/>
    <mergeCell ref="DA361:DA363"/>
    <mergeCell ref="DB361:DB363"/>
    <mergeCell ref="DC361:DC363"/>
    <mergeCell ref="DD361:DD363"/>
    <mergeCell ref="CM361:CM363"/>
    <mergeCell ref="CN361:CN363"/>
    <mergeCell ref="CO361:CO363"/>
    <mergeCell ref="CP361:CP363"/>
    <mergeCell ref="CQ361:CQ363"/>
    <mergeCell ref="CR361:CR363"/>
    <mergeCell ref="CS361:CS363"/>
    <mergeCell ref="CT361:CT363"/>
    <mergeCell ref="CU361:CU363"/>
    <mergeCell ref="AT361:AT363"/>
    <mergeCell ref="AU361:AU363"/>
    <mergeCell ref="AV361:AV363"/>
    <mergeCell ref="AW361:AW363"/>
    <mergeCell ref="AX361:AX363"/>
    <mergeCell ref="AY361:AY363"/>
    <mergeCell ref="AZ361:AZ363"/>
    <mergeCell ref="BA361:BA363"/>
    <mergeCell ref="BB361:BB363"/>
    <mergeCell ref="AK361:AK363"/>
    <mergeCell ref="AL361:AL363"/>
    <mergeCell ref="AM361:AM363"/>
    <mergeCell ref="AN361:AN363"/>
    <mergeCell ref="AO361:AO363"/>
    <mergeCell ref="AP361:AP363"/>
    <mergeCell ref="AQ361:AQ363"/>
    <mergeCell ref="AR361:AR363"/>
    <mergeCell ref="AS361:AS363"/>
    <mergeCell ref="BL361:BL363"/>
    <mergeCell ref="BM361:BM363"/>
    <mergeCell ref="BN361:BN363"/>
    <mergeCell ref="BO361:BO363"/>
    <mergeCell ref="BP361:BP363"/>
    <mergeCell ref="BQ361:BQ363"/>
    <mergeCell ref="BR361:BR363"/>
    <mergeCell ref="BS361:BS363"/>
    <mergeCell ref="BT361:BT363"/>
    <mergeCell ref="BC361:BC363"/>
    <mergeCell ref="BD361:BD363"/>
    <mergeCell ref="BE361:BE363"/>
    <mergeCell ref="BF361:BF363"/>
    <mergeCell ref="BG361:BG363"/>
    <mergeCell ref="BH361:BH363"/>
    <mergeCell ref="BI361:BI363"/>
    <mergeCell ref="BJ361:BJ363"/>
    <mergeCell ref="BK361:BK363"/>
    <mergeCell ref="A361:A363"/>
    <mergeCell ref="B361:B363"/>
    <mergeCell ref="C361:C363"/>
    <mergeCell ref="D361:D363"/>
    <mergeCell ref="E361:E363"/>
    <mergeCell ref="G361:G363"/>
    <mergeCell ref="H361:H363"/>
    <mergeCell ref="I361:I363"/>
    <mergeCell ref="J361:J363"/>
    <mergeCell ref="K361:K363"/>
    <mergeCell ref="L361:L363"/>
    <mergeCell ref="M361:M363"/>
    <mergeCell ref="N361:N363"/>
    <mergeCell ref="O361:O363"/>
    <mergeCell ref="P361:P363"/>
    <mergeCell ref="Q361:Q363"/>
    <mergeCell ref="R361:R363"/>
    <mergeCell ref="AB361:AB363"/>
    <mergeCell ref="AC361:AC363"/>
    <mergeCell ref="AD361:AD363"/>
    <mergeCell ref="AE361:AE363"/>
    <mergeCell ref="AF361:AF363"/>
    <mergeCell ref="AG361:AG363"/>
    <mergeCell ref="AH361:AH363"/>
    <mergeCell ref="AI361:AI363"/>
    <mergeCell ref="AJ361:AJ363"/>
    <mergeCell ref="S361:S363"/>
    <mergeCell ref="T361:T363"/>
    <mergeCell ref="U361:U363"/>
    <mergeCell ref="V361:V363"/>
    <mergeCell ref="W361:W363"/>
    <mergeCell ref="X361:X363"/>
    <mergeCell ref="Y361:Y363"/>
    <mergeCell ref="Z361:Z363"/>
    <mergeCell ref="AA361:AA363"/>
    <mergeCell ref="HQ356:HQ358"/>
    <mergeCell ref="HR356:HR358"/>
    <mergeCell ref="HS356:HS358"/>
    <mergeCell ref="HT356:HT358"/>
    <mergeCell ref="HU356:HU358"/>
    <mergeCell ref="HV356:HV358"/>
    <mergeCell ref="HW356:HW358"/>
    <mergeCell ref="HX356:HX358"/>
    <mergeCell ref="HY356:HY358"/>
    <mergeCell ref="HH356:HH358"/>
    <mergeCell ref="HI356:HI358"/>
    <mergeCell ref="HJ356:HJ358"/>
    <mergeCell ref="HK356:HK358"/>
    <mergeCell ref="HL356:HL358"/>
    <mergeCell ref="HM356:HM358"/>
    <mergeCell ref="HN356:HN358"/>
    <mergeCell ref="HO356:HO358"/>
    <mergeCell ref="HP356:HP358"/>
    <mergeCell ref="II356:II358"/>
    <mergeCell ref="IJ356:IJ358"/>
    <mergeCell ref="IK356:IK358"/>
    <mergeCell ref="IL356:IL358"/>
    <mergeCell ref="IM356:IM358"/>
    <mergeCell ref="IN356:IN358"/>
    <mergeCell ref="IO356:IO358"/>
    <mergeCell ref="IP356:IP358"/>
    <mergeCell ref="IQ356:IQ358"/>
    <mergeCell ref="HZ356:HZ358"/>
    <mergeCell ref="IA356:IA358"/>
    <mergeCell ref="IB356:IB358"/>
    <mergeCell ref="IC356:IC358"/>
    <mergeCell ref="ID356:ID358"/>
    <mergeCell ref="IE356:IE358"/>
    <mergeCell ref="IF356:IF358"/>
    <mergeCell ref="IG356:IG358"/>
    <mergeCell ref="IH356:IH358"/>
    <mergeCell ref="HD356:HD358"/>
    <mergeCell ref="HE356:HE358"/>
    <mergeCell ref="HF356:HF358"/>
    <mergeCell ref="HG356:HG358"/>
    <mergeCell ref="GP356:GP358"/>
    <mergeCell ref="GQ356:GQ358"/>
    <mergeCell ref="GR356:GR358"/>
    <mergeCell ref="GS356:GS358"/>
    <mergeCell ref="GT356:GT358"/>
    <mergeCell ref="GU356:GU358"/>
    <mergeCell ref="GV356:GV358"/>
    <mergeCell ref="GW356:GW358"/>
    <mergeCell ref="GX356:GX358"/>
    <mergeCell ref="GG356:GG358"/>
    <mergeCell ref="GH356:GH358"/>
    <mergeCell ref="GI356:GI358"/>
    <mergeCell ref="GJ356:GJ358"/>
    <mergeCell ref="GK356:GK358"/>
    <mergeCell ref="GL356:GL358"/>
    <mergeCell ref="GM356:GM358"/>
    <mergeCell ref="GN356:GN358"/>
    <mergeCell ref="GO356:GO358"/>
    <mergeCell ref="FC356:FC358"/>
    <mergeCell ref="FD356:FD358"/>
    <mergeCell ref="FE356:FE358"/>
    <mergeCell ref="EN356:EN358"/>
    <mergeCell ref="EO356:EO358"/>
    <mergeCell ref="EP356:EP358"/>
    <mergeCell ref="EQ356:EQ358"/>
    <mergeCell ref="ER356:ER358"/>
    <mergeCell ref="ES356:ES358"/>
    <mergeCell ref="ET356:ET358"/>
    <mergeCell ref="EU356:EU358"/>
    <mergeCell ref="EV356:EV358"/>
    <mergeCell ref="GY356:GY358"/>
    <mergeCell ref="GZ356:GZ358"/>
    <mergeCell ref="HA356:HA358"/>
    <mergeCell ref="HB356:HB358"/>
    <mergeCell ref="HC356:HC358"/>
    <mergeCell ref="FX356:FX358"/>
    <mergeCell ref="FY356:FY358"/>
    <mergeCell ref="FZ356:FZ358"/>
    <mergeCell ref="GA356:GA358"/>
    <mergeCell ref="GB356:GB358"/>
    <mergeCell ref="GC356:GC358"/>
    <mergeCell ref="GD356:GD358"/>
    <mergeCell ref="GE356:GE358"/>
    <mergeCell ref="GF356:GF358"/>
    <mergeCell ref="DE356:DE358"/>
    <mergeCell ref="DF356:DF358"/>
    <mergeCell ref="DG356:DG358"/>
    <mergeCell ref="DH356:DH358"/>
    <mergeCell ref="DI356:DI358"/>
    <mergeCell ref="DJ356:DJ358"/>
    <mergeCell ref="DK356:DK358"/>
    <mergeCell ref="DL356:DL358"/>
    <mergeCell ref="FO356:FO358"/>
    <mergeCell ref="FP356:FP358"/>
    <mergeCell ref="FQ356:FQ358"/>
    <mergeCell ref="FR356:FR358"/>
    <mergeCell ref="FS356:FS358"/>
    <mergeCell ref="FT356:FT358"/>
    <mergeCell ref="FU356:FU358"/>
    <mergeCell ref="FV356:FV358"/>
    <mergeCell ref="FW356:FW358"/>
    <mergeCell ref="FF356:FF358"/>
    <mergeCell ref="FG356:FG358"/>
    <mergeCell ref="FH356:FH358"/>
    <mergeCell ref="FI356:FI358"/>
    <mergeCell ref="FJ356:FJ358"/>
    <mergeCell ref="FK356:FK358"/>
    <mergeCell ref="FL356:FL358"/>
    <mergeCell ref="FM356:FM358"/>
    <mergeCell ref="FN356:FN358"/>
    <mergeCell ref="EW356:EW358"/>
    <mergeCell ref="EX356:EX358"/>
    <mergeCell ref="EY356:EY358"/>
    <mergeCell ref="EZ356:EZ358"/>
    <mergeCell ref="FA356:FA358"/>
    <mergeCell ref="FB356:FB358"/>
    <mergeCell ref="BY356:BY358"/>
    <mergeCell ref="BZ356:BZ358"/>
    <mergeCell ref="CA356:CA358"/>
    <mergeCell ref="CB356:CB358"/>
    <mergeCell ref="EE356:EE358"/>
    <mergeCell ref="EF356:EF358"/>
    <mergeCell ref="EG356:EG358"/>
    <mergeCell ref="EH356:EH358"/>
    <mergeCell ref="EI356:EI358"/>
    <mergeCell ref="EJ356:EJ358"/>
    <mergeCell ref="EK356:EK358"/>
    <mergeCell ref="EL356:EL358"/>
    <mergeCell ref="EM356:EM358"/>
    <mergeCell ref="DV356:DV358"/>
    <mergeCell ref="DW356:DW358"/>
    <mergeCell ref="DX356:DX358"/>
    <mergeCell ref="DY356:DY358"/>
    <mergeCell ref="DZ356:DZ358"/>
    <mergeCell ref="EA356:EA358"/>
    <mergeCell ref="EB356:EB358"/>
    <mergeCell ref="EC356:EC358"/>
    <mergeCell ref="ED356:ED358"/>
    <mergeCell ref="DM356:DM358"/>
    <mergeCell ref="DN356:DN358"/>
    <mergeCell ref="DO356:DO358"/>
    <mergeCell ref="DP356:DP358"/>
    <mergeCell ref="DQ356:DQ358"/>
    <mergeCell ref="DR356:DR358"/>
    <mergeCell ref="DS356:DS358"/>
    <mergeCell ref="DT356:DT358"/>
    <mergeCell ref="DU356:DU358"/>
    <mergeCell ref="DD356:DD358"/>
    <mergeCell ref="AJ356:AJ358"/>
    <mergeCell ref="AK356:AK358"/>
    <mergeCell ref="AL356:AL358"/>
    <mergeCell ref="AM356:AM358"/>
    <mergeCell ref="AN356:AN358"/>
    <mergeCell ref="AO356:AO358"/>
    <mergeCell ref="AP356:AP358"/>
    <mergeCell ref="AQ356:AQ358"/>
    <mergeCell ref="AR356:AR358"/>
    <mergeCell ref="CU356:CU358"/>
    <mergeCell ref="CV356:CV358"/>
    <mergeCell ref="CW356:CW358"/>
    <mergeCell ref="CX356:CX358"/>
    <mergeCell ref="CY356:CY358"/>
    <mergeCell ref="CZ356:CZ358"/>
    <mergeCell ref="DA356:DA358"/>
    <mergeCell ref="DB356:DB358"/>
    <mergeCell ref="CL356:CL358"/>
    <mergeCell ref="CM356:CM358"/>
    <mergeCell ref="CN356:CN358"/>
    <mergeCell ref="CO356:CO358"/>
    <mergeCell ref="CP356:CP358"/>
    <mergeCell ref="CQ356:CQ358"/>
    <mergeCell ref="CR356:CR358"/>
    <mergeCell ref="CS356:CS358"/>
    <mergeCell ref="CT356:CT358"/>
    <mergeCell ref="CC356:CC358"/>
    <mergeCell ref="CD356:CD358"/>
    <mergeCell ref="CE356:CE358"/>
    <mergeCell ref="CF356:CF358"/>
    <mergeCell ref="CG356:CG358"/>
    <mergeCell ref="CH356:CH358"/>
    <mergeCell ref="BB356:BB358"/>
    <mergeCell ref="BC356:BC358"/>
    <mergeCell ref="BD356:BD358"/>
    <mergeCell ref="BE356:BE358"/>
    <mergeCell ref="BF356:BF358"/>
    <mergeCell ref="BG356:BG358"/>
    <mergeCell ref="BH356:BH358"/>
    <mergeCell ref="BI356:BI358"/>
    <mergeCell ref="BJ356:BJ358"/>
    <mergeCell ref="AS356:AS358"/>
    <mergeCell ref="AT356:AT358"/>
    <mergeCell ref="AU356:AU358"/>
    <mergeCell ref="AV356:AV358"/>
    <mergeCell ref="AW356:AW358"/>
    <mergeCell ref="AX356:AX358"/>
    <mergeCell ref="AY356:AY358"/>
    <mergeCell ref="AZ356:AZ358"/>
    <mergeCell ref="BA356:BA358"/>
    <mergeCell ref="II353:II355"/>
    <mergeCell ref="HR353:HR355"/>
    <mergeCell ref="HS353:HS355"/>
    <mergeCell ref="HT353:HT355"/>
    <mergeCell ref="HU353:HU355"/>
    <mergeCell ref="HV353:HV355"/>
    <mergeCell ref="HW353:HW355"/>
    <mergeCell ref="HX353:HX355"/>
    <mergeCell ref="HY353:HY355"/>
    <mergeCell ref="HZ353:HZ355"/>
    <mergeCell ref="HI353:HI355"/>
    <mergeCell ref="HJ353:HJ355"/>
    <mergeCell ref="HK353:HK355"/>
    <mergeCell ref="HL353:HL355"/>
    <mergeCell ref="BK356:BK358"/>
    <mergeCell ref="BL356:BL358"/>
    <mergeCell ref="BM356:BM358"/>
    <mergeCell ref="BN356:BN358"/>
    <mergeCell ref="BO356:BO358"/>
    <mergeCell ref="BP356:BP358"/>
    <mergeCell ref="BQ356:BQ358"/>
    <mergeCell ref="BR356:BR358"/>
    <mergeCell ref="BS356:BS358"/>
    <mergeCell ref="DC356:DC358"/>
    <mergeCell ref="CI356:CI358"/>
    <mergeCell ref="CJ356:CJ358"/>
    <mergeCell ref="CK356:CK358"/>
    <mergeCell ref="BT356:BT358"/>
    <mergeCell ref="BU356:BU358"/>
    <mergeCell ref="BV356:BV358"/>
    <mergeCell ref="BW356:BW358"/>
    <mergeCell ref="BX356:BX358"/>
    <mergeCell ref="IJ353:IJ355"/>
    <mergeCell ref="IK353:IK355"/>
    <mergeCell ref="IL353:IL355"/>
    <mergeCell ref="IM353:IM355"/>
    <mergeCell ref="IN353:IN355"/>
    <mergeCell ref="IO353:IO355"/>
    <mergeCell ref="IP353:IP355"/>
    <mergeCell ref="IQ353:IQ355"/>
    <mergeCell ref="A356:A358"/>
    <mergeCell ref="B356:B358"/>
    <mergeCell ref="C356:C358"/>
    <mergeCell ref="D356:D358"/>
    <mergeCell ref="E356:E358"/>
    <mergeCell ref="G356:G358"/>
    <mergeCell ref="H356:H358"/>
    <mergeCell ref="I356:I358"/>
    <mergeCell ref="J356:J358"/>
    <mergeCell ref="K356:K358"/>
    <mergeCell ref="L356:L358"/>
    <mergeCell ref="M356:M358"/>
    <mergeCell ref="N356:N358"/>
    <mergeCell ref="O356:O358"/>
    <mergeCell ref="P356:P358"/>
    <mergeCell ref="Q356:Q358"/>
    <mergeCell ref="IA353:IA355"/>
    <mergeCell ref="IB353:IB355"/>
    <mergeCell ref="IC353:IC355"/>
    <mergeCell ref="ID353:ID355"/>
    <mergeCell ref="IE353:IE355"/>
    <mergeCell ref="IF353:IF355"/>
    <mergeCell ref="IG353:IG355"/>
    <mergeCell ref="IH353:IH355"/>
    <mergeCell ref="AA356:AA358"/>
    <mergeCell ref="AB356:AB358"/>
    <mergeCell ref="AC356:AC358"/>
    <mergeCell ref="AD356:AD358"/>
    <mergeCell ref="AE356:AE358"/>
    <mergeCell ref="AF356:AF358"/>
    <mergeCell ref="AG356:AG358"/>
    <mergeCell ref="AH356:AH358"/>
    <mergeCell ref="AI356:AI358"/>
    <mergeCell ref="R356:R358"/>
    <mergeCell ref="S356:S358"/>
    <mergeCell ref="T356:T358"/>
    <mergeCell ref="U356:U358"/>
    <mergeCell ref="V356:V358"/>
    <mergeCell ref="W356:W358"/>
    <mergeCell ref="X356:X358"/>
    <mergeCell ref="Y356:Y358"/>
    <mergeCell ref="Z356:Z358"/>
    <mergeCell ref="GH353:GH355"/>
    <mergeCell ref="GI353:GI355"/>
    <mergeCell ref="GJ353:GJ355"/>
    <mergeCell ref="GK353:GK355"/>
    <mergeCell ref="GL353:GL355"/>
    <mergeCell ref="GM353:GM355"/>
    <mergeCell ref="GN353:GN355"/>
    <mergeCell ref="GO353:GO355"/>
    <mergeCell ref="GP353:GP355"/>
    <mergeCell ref="FY353:FY355"/>
    <mergeCell ref="FZ353:FZ355"/>
    <mergeCell ref="GA353:GA355"/>
    <mergeCell ref="GB353:GB355"/>
    <mergeCell ref="GC353:GC355"/>
    <mergeCell ref="GD353:GD355"/>
    <mergeCell ref="GE353:GE355"/>
    <mergeCell ref="GF353:GF355"/>
    <mergeCell ref="GG353:GG355"/>
    <mergeCell ref="HM353:HM355"/>
    <mergeCell ref="HN353:HN355"/>
    <mergeCell ref="HO353:HO355"/>
    <mergeCell ref="HP353:HP355"/>
    <mergeCell ref="HQ353:HQ355"/>
    <mergeCell ref="GZ353:GZ355"/>
    <mergeCell ref="HA353:HA355"/>
    <mergeCell ref="HB353:HB355"/>
    <mergeCell ref="HC353:HC355"/>
    <mergeCell ref="HD353:HD355"/>
    <mergeCell ref="HE353:HE355"/>
    <mergeCell ref="HF353:HF355"/>
    <mergeCell ref="HG353:HG355"/>
    <mergeCell ref="HH353:HH355"/>
    <mergeCell ref="GQ353:GQ355"/>
    <mergeCell ref="GR353:GR355"/>
    <mergeCell ref="GS353:GS355"/>
    <mergeCell ref="GT353:GT355"/>
    <mergeCell ref="GU353:GU355"/>
    <mergeCell ref="GV353:GV355"/>
    <mergeCell ref="GW353:GW355"/>
    <mergeCell ref="GX353:GX355"/>
    <mergeCell ref="GY353:GY355"/>
    <mergeCell ref="FV353:FV355"/>
    <mergeCell ref="FW353:FW355"/>
    <mergeCell ref="FX353:FX355"/>
    <mergeCell ref="FG353:FG355"/>
    <mergeCell ref="FH353:FH355"/>
    <mergeCell ref="FI353:FI355"/>
    <mergeCell ref="FJ353:FJ355"/>
    <mergeCell ref="FK353:FK355"/>
    <mergeCell ref="FL353:FL355"/>
    <mergeCell ref="FM353:FM355"/>
    <mergeCell ref="FN353:FN355"/>
    <mergeCell ref="FO353:FO355"/>
    <mergeCell ref="EX353:EX355"/>
    <mergeCell ref="EY353:EY355"/>
    <mergeCell ref="EZ353:EZ355"/>
    <mergeCell ref="FA353:FA355"/>
    <mergeCell ref="FB353:FB355"/>
    <mergeCell ref="FC353:FC355"/>
    <mergeCell ref="FD353:FD355"/>
    <mergeCell ref="FE353:FE355"/>
    <mergeCell ref="FF353:FF355"/>
    <mergeCell ref="DU353:DU355"/>
    <mergeCell ref="DV353:DV355"/>
    <mergeCell ref="DE353:DE355"/>
    <mergeCell ref="DF353:DF355"/>
    <mergeCell ref="DG353:DG355"/>
    <mergeCell ref="DH353:DH355"/>
    <mergeCell ref="DI353:DI355"/>
    <mergeCell ref="DJ353:DJ355"/>
    <mergeCell ref="DK353:DK355"/>
    <mergeCell ref="DL353:DL355"/>
    <mergeCell ref="DM353:DM355"/>
    <mergeCell ref="FP353:FP355"/>
    <mergeCell ref="FQ353:FQ355"/>
    <mergeCell ref="FR353:FR355"/>
    <mergeCell ref="FS353:FS355"/>
    <mergeCell ref="FT353:FT355"/>
    <mergeCell ref="FU353:FU355"/>
    <mergeCell ref="EO353:EO355"/>
    <mergeCell ref="EP353:EP355"/>
    <mergeCell ref="EQ353:EQ355"/>
    <mergeCell ref="ER353:ER355"/>
    <mergeCell ref="ES353:ES355"/>
    <mergeCell ref="ET353:ET355"/>
    <mergeCell ref="EU353:EU355"/>
    <mergeCell ref="EV353:EV355"/>
    <mergeCell ref="EW353:EW355"/>
    <mergeCell ref="BW353:BW355"/>
    <mergeCell ref="BX353:BX355"/>
    <mergeCell ref="BY353:BY355"/>
    <mergeCell ref="BZ353:BZ355"/>
    <mergeCell ref="CA353:CA355"/>
    <mergeCell ref="CB353:CB355"/>
    <mergeCell ref="CC353:CC355"/>
    <mergeCell ref="EF353:EF355"/>
    <mergeCell ref="EG353:EG355"/>
    <mergeCell ref="EH353:EH355"/>
    <mergeCell ref="EI353:EI355"/>
    <mergeCell ref="EJ353:EJ355"/>
    <mergeCell ref="EK353:EK355"/>
    <mergeCell ref="EL353:EL355"/>
    <mergeCell ref="EM353:EM355"/>
    <mergeCell ref="EN353:EN355"/>
    <mergeCell ref="DW353:DW355"/>
    <mergeCell ref="DX353:DX355"/>
    <mergeCell ref="DY353:DY355"/>
    <mergeCell ref="DZ353:DZ355"/>
    <mergeCell ref="EA353:EA355"/>
    <mergeCell ref="EB353:EB355"/>
    <mergeCell ref="EC353:EC355"/>
    <mergeCell ref="ED353:ED355"/>
    <mergeCell ref="EE353:EE355"/>
    <mergeCell ref="DN353:DN355"/>
    <mergeCell ref="DO353:DO355"/>
    <mergeCell ref="DP353:DP355"/>
    <mergeCell ref="DQ353:DQ355"/>
    <mergeCell ref="DR353:DR355"/>
    <mergeCell ref="DS353:DS355"/>
    <mergeCell ref="DT353:DT355"/>
    <mergeCell ref="AQ353:AQ355"/>
    <mergeCell ref="AR353:AR355"/>
    <mergeCell ref="AS353:AS355"/>
    <mergeCell ref="CV353:CV355"/>
    <mergeCell ref="CW353:CW355"/>
    <mergeCell ref="CX353:CX355"/>
    <mergeCell ref="CY353:CY355"/>
    <mergeCell ref="CZ353:CZ355"/>
    <mergeCell ref="DA353:DA355"/>
    <mergeCell ref="DB353:DB355"/>
    <mergeCell ref="DC353:DC355"/>
    <mergeCell ref="DD353:DD355"/>
    <mergeCell ref="CM353:CM355"/>
    <mergeCell ref="CN353:CN355"/>
    <mergeCell ref="CO353:CO355"/>
    <mergeCell ref="CP353:CP355"/>
    <mergeCell ref="CQ353:CQ355"/>
    <mergeCell ref="CR353:CR355"/>
    <mergeCell ref="CS353:CS355"/>
    <mergeCell ref="CT353:CT355"/>
    <mergeCell ref="CU353:CU355"/>
    <mergeCell ref="CD353:CD355"/>
    <mergeCell ref="CE353:CE355"/>
    <mergeCell ref="CF353:CF355"/>
    <mergeCell ref="CG353:CG355"/>
    <mergeCell ref="CH353:CH355"/>
    <mergeCell ref="CI353:CI355"/>
    <mergeCell ref="CJ353:CJ355"/>
    <mergeCell ref="CK353:CK355"/>
    <mergeCell ref="CL353:CL355"/>
    <mergeCell ref="BU353:BU355"/>
    <mergeCell ref="BV353:BV355"/>
    <mergeCell ref="BM353:BM355"/>
    <mergeCell ref="BN353:BN355"/>
    <mergeCell ref="BO353:BO355"/>
    <mergeCell ref="BP353:BP355"/>
    <mergeCell ref="BQ353:BQ355"/>
    <mergeCell ref="BR353:BR355"/>
    <mergeCell ref="BS353:BS355"/>
    <mergeCell ref="BT353:BT355"/>
    <mergeCell ref="BC353:BC355"/>
    <mergeCell ref="BD353:BD355"/>
    <mergeCell ref="BE353:BE355"/>
    <mergeCell ref="BF353:BF355"/>
    <mergeCell ref="BG353:BG355"/>
    <mergeCell ref="BH353:BH355"/>
    <mergeCell ref="BI353:BI355"/>
    <mergeCell ref="BJ353:BJ355"/>
    <mergeCell ref="BK353:BK355"/>
    <mergeCell ref="B353:B355"/>
    <mergeCell ref="C353:C355"/>
    <mergeCell ref="D353:D355"/>
    <mergeCell ref="E353:E355"/>
    <mergeCell ref="G353:G355"/>
    <mergeCell ref="H353:H355"/>
    <mergeCell ref="I353:I355"/>
    <mergeCell ref="J353:J355"/>
    <mergeCell ref="K353:K355"/>
    <mergeCell ref="L353:L355"/>
    <mergeCell ref="M353:M355"/>
    <mergeCell ref="N353:N355"/>
    <mergeCell ref="O353:O355"/>
    <mergeCell ref="P353:P355"/>
    <mergeCell ref="Q353:Q355"/>
    <mergeCell ref="R353:R355"/>
    <mergeCell ref="BL353:BL355"/>
    <mergeCell ref="AT353:AT355"/>
    <mergeCell ref="AU353:AU355"/>
    <mergeCell ref="AV353:AV355"/>
    <mergeCell ref="AW353:AW355"/>
    <mergeCell ref="AX353:AX355"/>
    <mergeCell ref="AY353:AY355"/>
    <mergeCell ref="AZ353:AZ355"/>
    <mergeCell ref="BA353:BA355"/>
    <mergeCell ref="BB353:BB355"/>
    <mergeCell ref="AK353:AK355"/>
    <mergeCell ref="AL353:AL355"/>
    <mergeCell ref="AM353:AM355"/>
    <mergeCell ref="AN353:AN355"/>
    <mergeCell ref="AO353:AO355"/>
    <mergeCell ref="AP353:AP355"/>
    <mergeCell ref="AB353:AB355"/>
    <mergeCell ref="AC353:AC355"/>
    <mergeCell ref="AD353:AD355"/>
    <mergeCell ref="AE353:AE355"/>
    <mergeCell ref="AF353:AF355"/>
    <mergeCell ref="AG353:AG355"/>
    <mergeCell ref="AH353:AH355"/>
    <mergeCell ref="AI353:AI355"/>
    <mergeCell ref="AJ353:AJ355"/>
    <mergeCell ref="S353:S355"/>
    <mergeCell ref="T353:T355"/>
    <mergeCell ref="U353:U355"/>
    <mergeCell ref="V353:V355"/>
    <mergeCell ref="W353:W355"/>
    <mergeCell ref="X353:X355"/>
    <mergeCell ref="Y353:Y355"/>
    <mergeCell ref="Z353:Z355"/>
    <mergeCell ref="AA353:AA355"/>
    <mergeCell ref="HQ340:HQ342"/>
    <mergeCell ref="HR340:HR342"/>
    <mergeCell ref="HS340:HS342"/>
    <mergeCell ref="HT340:HT342"/>
    <mergeCell ref="HU340:HU342"/>
    <mergeCell ref="HV340:HV342"/>
    <mergeCell ref="HW340:HW342"/>
    <mergeCell ref="HX340:HX342"/>
    <mergeCell ref="HY340:HY342"/>
    <mergeCell ref="HH340:HH342"/>
    <mergeCell ref="HI340:HI342"/>
    <mergeCell ref="HJ340:HJ342"/>
    <mergeCell ref="HK340:HK342"/>
    <mergeCell ref="HL340:HL342"/>
    <mergeCell ref="HM340:HM342"/>
    <mergeCell ref="HN340:HN342"/>
    <mergeCell ref="HO340:HO342"/>
    <mergeCell ref="HP340:HP342"/>
    <mergeCell ref="II340:II342"/>
    <mergeCell ref="IJ340:IJ342"/>
    <mergeCell ref="IK340:IK342"/>
    <mergeCell ref="IL340:IL342"/>
    <mergeCell ref="IM340:IM342"/>
    <mergeCell ref="IN340:IN342"/>
    <mergeCell ref="IO340:IO342"/>
    <mergeCell ref="IP340:IP342"/>
    <mergeCell ref="IQ340:IQ342"/>
    <mergeCell ref="HZ340:HZ342"/>
    <mergeCell ref="IA340:IA342"/>
    <mergeCell ref="IB340:IB342"/>
    <mergeCell ref="IC340:IC342"/>
    <mergeCell ref="ID340:ID342"/>
    <mergeCell ref="IE340:IE342"/>
    <mergeCell ref="IF340:IF342"/>
    <mergeCell ref="IG340:IG342"/>
    <mergeCell ref="IH340:IH342"/>
    <mergeCell ref="HD340:HD342"/>
    <mergeCell ref="HE340:HE342"/>
    <mergeCell ref="HF340:HF342"/>
    <mergeCell ref="HG340:HG342"/>
    <mergeCell ref="GP340:GP342"/>
    <mergeCell ref="GQ340:GQ342"/>
    <mergeCell ref="GR340:GR342"/>
    <mergeCell ref="GS340:GS342"/>
    <mergeCell ref="GT340:GT342"/>
    <mergeCell ref="GU340:GU342"/>
    <mergeCell ref="GV340:GV342"/>
    <mergeCell ref="GW340:GW342"/>
    <mergeCell ref="GX340:GX342"/>
    <mergeCell ref="GG340:GG342"/>
    <mergeCell ref="GH340:GH342"/>
    <mergeCell ref="GI340:GI342"/>
    <mergeCell ref="GJ340:GJ342"/>
    <mergeCell ref="GK340:GK342"/>
    <mergeCell ref="GL340:GL342"/>
    <mergeCell ref="GM340:GM342"/>
    <mergeCell ref="GN340:GN342"/>
    <mergeCell ref="GO340:GO342"/>
    <mergeCell ref="FC340:FC342"/>
    <mergeCell ref="FD340:FD342"/>
    <mergeCell ref="FE340:FE342"/>
    <mergeCell ref="EN340:EN342"/>
    <mergeCell ref="EO340:EO342"/>
    <mergeCell ref="EP340:EP342"/>
    <mergeCell ref="EQ340:EQ342"/>
    <mergeCell ref="ER340:ER342"/>
    <mergeCell ref="ES340:ES342"/>
    <mergeCell ref="ET340:ET342"/>
    <mergeCell ref="EU340:EU342"/>
    <mergeCell ref="EV340:EV342"/>
    <mergeCell ref="GY340:GY342"/>
    <mergeCell ref="GZ340:GZ342"/>
    <mergeCell ref="HA340:HA342"/>
    <mergeCell ref="HB340:HB342"/>
    <mergeCell ref="HC340:HC342"/>
    <mergeCell ref="FX340:FX342"/>
    <mergeCell ref="FY340:FY342"/>
    <mergeCell ref="FZ340:FZ342"/>
    <mergeCell ref="GA340:GA342"/>
    <mergeCell ref="GB340:GB342"/>
    <mergeCell ref="GC340:GC342"/>
    <mergeCell ref="GD340:GD342"/>
    <mergeCell ref="GE340:GE342"/>
    <mergeCell ref="GF340:GF342"/>
    <mergeCell ref="DE340:DE342"/>
    <mergeCell ref="DF340:DF342"/>
    <mergeCell ref="DG340:DG342"/>
    <mergeCell ref="DH340:DH342"/>
    <mergeCell ref="DI340:DI342"/>
    <mergeCell ref="DJ340:DJ342"/>
    <mergeCell ref="DK340:DK342"/>
    <mergeCell ref="DL340:DL342"/>
    <mergeCell ref="FO340:FO342"/>
    <mergeCell ref="FP340:FP342"/>
    <mergeCell ref="FQ340:FQ342"/>
    <mergeCell ref="FR340:FR342"/>
    <mergeCell ref="FS340:FS342"/>
    <mergeCell ref="FT340:FT342"/>
    <mergeCell ref="FU340:FU342"/>
    <mergeCell ref="FV340:FV342"/>
    <mergeCell ref="FW340:FW342"/>
    <mergeCell ref="FF340:FF342"/>
    <mergeCell ref="FG340:FG342"/>
    <mergeCell ref="FH340:FH342"/>
    <mergeCell ref="FI340:FI342"/>
    <mergeCell ref="FJ340:FJ342"/>
    <mergeCell ref="FK340:FK342"/>
    <mergeCell ref="FL340:FL342"/>
    <mergeCell ref="FM340:FM342"/>
    <mergeCell ref="FN340:FN342"/>
    <mergeCell ref="EW340:EW342"/>
    <mergeCell ref="EX340:EX342"/>
    <mergeCell ref="EY340:EY342"/>
    <mergeCell ref="EZ340:EZ342"/>
    <mergeCell ref="FA340:FA342"/>
    <mergeCell ref="FB340:FB342"/>
    <mergeCell ref="BY340:BY342"/>
    <mergeCell ref="BZ340:BZ342"/>
    <mergeCell ref="CA340:CA342"/>
    <mergeCell ref="CB340:CB342"/>
    <mergeCell ref="EE340:EE342"/>
    <mergeCell ref="EF340:EF342"/>
    <mergeCell ref="EG340:EG342"/>
    <mergeCell ref="EH340:EH342"/>
    <mergeCell ref="EI340:EI342"/>
    <mergeCell ref="EJ340:EJ342"/>
    <mergeCell ref="EK340:EK342"/>
    <mergeCell ref="EL340:EL342"/>
    <mergeCell ref="EM340:EM342"/>
    <mergeCell ref="DV340:DV342"/>
    <mergeCell ref="DW340:DW342"/>
    <mergeCell ref="DX340:DX342"/>
    <mergeCell ref="DY340:DY342"/>
    <mergeCell ref="DZ340:DZ342"/>
    <mergeCell ref="EA340:EA342"/>
    <mergeCell ref="EB340:EB342"/>
    <mergeCell ref="EC340:EC342"/>
    <mergeCell ref="ED340:ED342"/>
    <mergeCell ref="DM340:DM342"/>
    <mergeCell ref="DN340:DN342"/>
    <mergeCell ref="DO340:DO342"/>
    <mergeCell ref="DP340:DP342"/>
    <mergeCell ref="DQ340:DQ342"/>
    <mergeCell ref="DR340:DR342"/>
    <mergeCell ref="DS340:DS342"/>
    <mergeCell ref="DT340:DT342"/>
    <mergeCell ref="DU340:DU342"/>
    <mergeCell ref="DD340:DD342"/>
    <mergeCell ref="AJ340:AJ342"/>
    <mergeCell ref="AK340:AK342"/>
    <mergeCell ref="AL340:AL342"/>
    <mergeCell ref="AM340:AM342"/>
    <mergeCell ref="AN340:AN342"/>
    <mergeCell ref="AO340:AO342"/>
    <mergeCell ref="AP340:AP342"/>
    <mergeCell ref="AQ340:AQ342"/>
    <mergeCell ref="AR340:AR342"/>
    <mergeCell ref="CU340:CU342"/>
    <mergeCell ref="CV340:CV342"/>
    <mergeCell ref="CW340:CW342"/>
    <mergeCell ref="CX340:CX342"/>
    <mergeCell ref="CY340:CY342"/>
    <mergeCell ref="CZ340:CZ342"/>
    <mergeCell ref="DA340:DA342"/>
    <mergeCell ref="DB340:DB342"/>
    <mergeCell ref="CL340:CL342"/>
    <mergeCell ref="CM340:CM342"/>
    <mergeCell ref="CN340:CN342"/>
    <mergeCell ref="CO340:CO342"/>
    <mergeCell ref="CP340:CP342"/>
    <mergeCell ref="CQ340:CQ342"/>
    <mergeCell ref="CR340:CR342"/>
    <mergeCell ref="CS340:CS342"/>
    <mergeCell ref="CT340:CT342"/>
    <mergeCell ref="CC340:CC342"/>
    <mergeCell ref="CD340:CD342"/>
    <mergeCell ref="CE340:CE342"/>
    <mergeCell ref="CF340:CF342"/>
    <mergeCell ref="CG340:CG342"/>
    <mergeCell ref="CH340:CH342"/>
    <mergeCell ref="BB340:BB342"/>
    <mergeCell ref="BC340:BC342"/>
    <mergeCell ref="BD340:BD342"/>
    <mergeCell ref="BE340:BE342"/>
    <mergeCell ref="BF340:BF342"/>
    <mergeCell ref="BG340:BG342"/>
    <mergeCell ref="BH340:BH342"/>
    <mergeCell ref="BI340:BI342"/>
    <mergeCell ref="BJ340:BJ342"/>
    <mergeCell ref="AS340:AS342"/>
    <mergeCell ref="AT340:AT342"/>
    <mergeCell ref="AU340:AU342"/>
    <mergeCell ref="AV340:AV342"/>
    <mergeCell ref="AW340:AW342"/>
    <mergeCell ref="AX340:AX342"/>
    <mergeCell ref="AY340:AY342"/>
    <mergeCell ref="AZ340:AZ342"/>
    <mergeCell ref="BA340:BA342"/>
    <mergeCell ref="II337:II339"/>
    <mergeCell ref="HR337:HR339"/>
    <mergeCell ref="HS337:HS339"/>
    <mergeCell ref="HT337:HT339"/>
    <mergeCell ref="HU337:HU339"/>
    <mergeCell ref="HV337:HV339"/>
    <mergeCell ref="HW337:HW339"/>
    <mergeCell ref="HX337:HX339"/>
    <mergeCell ref="HY337:HY339"/>
    <mergeCell ref="HZ337:HZ339"/>
    <mergeCell ref="HI337:HI339"/>
    <mergeCell ref="HJ337:HJ339"/>
    <mergeCell ref="HK337:HK339"/>
    <mergeCell ref="HL337:HL339"/>
    <mergeCell ref="BK340:BK342"/>
    <mergeCell ref="BL340:BL342"/>
    <mergeCell ref="BM340:BM342"/>
    <mergeCell ref="BN340:BN342"/>
    <mergeCell ref="BO340:BO342"/>
    <mergeCell ref="BP340:BP342"/>
    <mergeCell ref="BQ340:BQ342"/>
    <mergeCell ref="BR340:BR342"/>
    <mergeCell ref="BS340:BS342"/>
    <mergeCell ref="DC340:DC342"/>
    <mergeCell ref="CI340:CI342"/>
    <mergeCell ref="CJ340:CJ342"/>
    <mergeCell ref="CK340:CK342"/>
    <mergeCell ref="BT340:BT342"/>
    <mergeCell ref="BU340:BU342"/>
    <mergeCell ref="BV340:BV342"/>
    <mergeCell ref="BW340:BW342"/>
    <mergeCell ref="BX340:BX342"/>
    <mergeCell ref="IJ337:IJ339"/>
    <mergeCell ref="IK337:IK339"/>
    <mergeCell ref="IL337:IL339"/>
    <mergeCell ref="IM337:IM339"/>
    <mergeCell ref="IN337:IN339"/>
    <mergeCell ref="IO337:IO339"/>
    <mergeCell ref="IP337:IP339"/>
    <mergeCell ref="IQ337:IQ339"/>
    <mergeCell ref="A340:A342"/>
    <mergeCell ref="B340:B342"/>
    <mergeCell ref="C340:C342"/>
    <mergeCell ref="D340:D342"/>
    <mergeCell ref="E340:E342"/>
    <mergeCell ref="G340:G342"/>
    <mergeCell ref="H340:H342"/>
    <mergeCell ref="I340:I342"/>
    <mergeCell ref="J340:J342"/>
    <mergeCell ref="K340:K342"/>
    <mergeCell ref="L340:L342"/>
    <mergeCell ref="M340:M342"/>
    <mergeCell ref="N340:N342"/>
    <mergeCell ref="O340:O342"/>
    <mergeCell ref="P340:P342"/>
    <mergeCell ref="Q340:Q342"/>
    <mergeCell ref="IA337:IA339"/>
    <mergeCell ref="IB337:IB339"/>
    <mergeCell ref="IC337:IC339"/>
    <mergeCell ref="ID337:ID339"/>
    <mergeCell ref="IE337:IE339"/>
    <mergeCell ref="IF337:IF339"/>
    <mergeCell ref="IG337:IG339"/>
    <mergeCell ref="IH337:IH339"/>
    <mergeCell ref="AA340:AA342"/>
    <mergeCell ref="AB340:AB342"/>
    <mergeCell ref="AC340:AC342"/>
    <mergeCell ref="AD340:AD342"/>
    <mergeCell ref="AE340:AE342"/>
    <mergeCell ref="AF340:AF342"/>
    <mergeCell ref="AG340:AG342"/>
    <mergeCell ref="AH340:AH342"/>
    <mergeCell ref="AI340:AI342"/>
    <mergeCell ref="R340:R342"/>
    <mergeCell ref="S340:S342"/>
    <mergeCell ref="T340:T342"/>
    <mergeCell ref="U340:U342"/>
    <mergeCell ref="V340:V342"/>
    <mergeCell ref="W340:W342"/>
    <mergeCell ref="X340:X342"/>
    <mergeCell ref="Y340:Y342"/>
    <mergeCell ref="Z340:Z342"/>
    <mergeCell ref="GH337:GH339"/>
    <mergeCell ref="GI337:GI339"/>
    <mergeCell ref="GJ337:GJ339"/>
    <mergeCell ref="GK337:GK339"/>
    <mergeCell ref="GL337:GL339"/>
    <mergeCell ref="GM337:GM339"/>
    <mergeCell ref="GN337:GN339"/>
    <mergeCell ref="GO337:GO339"/>
    <mergeCell ref="GP337:GP339"/>
    <mergeCell ref="FY337:FY339"/>
    <mergeCell ref="FZ337:FZ339"/>
    <mergeCell ref="GA337:GA339"/>
    <mergeCell ref="GB337:GB339"/>
    <mergeCell ref="GC337:GC339"/>
    <mergeCell ref="GD337:GD339"/>
    <mergeCell ref="GE337:GE339"/>
    <mergeCell ref="GF337:GF339"/>
    <mergeCell ref="GG337:GG339"/>
    <mergeCell ref="HM337:HM339"/>
    <mergeCell ref="HN337:HN339"/>
    <mergeCell ref="HO337:HO339"/>
    <mergeCell ref="HP337:HP339"/>
    <mergeCell ref="HQ337:HQ339"/>
    <mergeCell ref="GZ337:GZ339"/>
    <mergeCell ref="HA337:HA339"/>
    <mergeCell ref="HB337:HB339"/>
    <mergeCell ref="HC337:HC339"/>
    <mergeCell ref="HD337:HD339"/>
    <mergeCell ref="HE337:HE339"/>
    <mergeCell ref="HF337:HF339"/>
    <mergeCell ref="HG337:HG339"/>
    <mergeCell ref="HH337:HH339"/>
    <mergeCell ref="GQ337:GQ339"/>
    <mergeCell ref="GR337:GR339"/>
    <mergeCell ref="GS337:GS339"/>
    <mergeCell ref="GT337:GT339"/>
    <mergeCell ref="GU337:GU339"/>
    <mergeCell ref="GV337:GV339"/>
    <mergeCell ref="GW337:GW339"/>
    <mergeCell ref="GX337:GX339"/>
    <mergeCell ref="GY337:GY339"/>
    <mergeCell ref="EX337:EX339"/>
    <mergeCell ref="EY337:EY339"/>
    <mergeCell ref="EZ337:EZ339"/>
    <mergeCell ref="FA337:FA339"/>
    <mergeCell ref="FB337:FB339"/>
    <mergeCell ref="FC337:FC339"/>
    <mergeCell ref="FD337:FD339"/>
    <mergeCell ref="FE337:FE339"/>
    <mergeCell ref="FF337:FF339"/>
    <mergeCell ref="EO337:EO339"/>
    <mergeCell ref="EP337:EP339"/>
    <mergeCell ref="EQ337:EQ339"/>
    <mergeCell ref="ER337:ER339"/>
    <mergeCell ref="ES337:ES339"/>
    <mergeCell ref="ET337:ET339"/>
    <mergeCell ref="EU337:EU339"/>
    <mergeCell ref="EV337:EV339"/>
    <mergeCell ref="EW337:EW339"/>
    <mergeCell ref="FP337:FP339"/>
    <mergeCell ref="FQ337:FQ339"/>
    <mergeCell ref="FR337:FR339"/>
    <mergeCell ref="FS337:FS339"/>
    <mergeCell ref="FT337:FT339"/>
    <mergeCell ref="FU337:FU339"/>
    <mergeCell ref="FV337:FV339"/>
    <mergeCell ref="FW337:FW339"/>
    <mergeCell ref="FX337:FX339"/>
    <mergeCell ref="FG337:FG339"/>
    <mergeCell ref="FH337:FH339"/>
    <mergeCell ref="FI337:FI339"/>
    <mergeCell ref="FJ337:FJ339"/>
    <mergeCell ref="FK337:FK339"/>
    <mergeCell ref="FL337:FL339"/>
    <mergeCell ref="FM337:FM339"/>
    <mergeCell ref="FN337:FN339"/>
    <mergeCell ref="FO337:FO339"/>
    <mergeCell ref="DN337:DN339"/>
    <mergeCell ref="DO337:DO339"/>
    <mergeCell ref="DP337:DP339"/>
    <mergeCell ref="DQ337:DQ339"/>
    <mergeCell ref="DR337:DR339"/>
    <mergeCell ref="DS337:DS339"/>
    <mergeCell ref="DT337:DT339"/>
    <mergeCell ref="DU337:DU339"/>
    <mergeCell ref="DV337:DV339"/>
    <mergeCell ref="DE337:DE339"/>
    <mergeCell ref="DF337:DF339"/>
    <mergeCell ref="DG337:DG339"/>
    <mergeCell ref="DH337:DH339"/>
    <mergeCell ref="DI337:DI339"/>
    <mergeCell ref="DJ337:DJ339"/>
    <mergeCell ref="DK337:DK339"/>
    <mergeCell ref="DL337:DL339"/>
    <mergeCell ref="DM337:DM339"/>
    <mergeCell ref="EF337:EF339"/>
    <mergeCell ref="EG337:EG339"/>
    <mergeCell ref="EH337:EH339"/>
    <mergeCell ref="EI337:EI339"/>
    <mergeCell ref="EJ337:EJ339"/>
    <mergeCell ref="EK337:EK339"/>
    <mergeCell ref="EL337:EL339"/>
    <mergeCell ref="EM337:EM339"/>
    <mergeCell ref="EN337:EN339"/>
    <mergeCell ref="DW337:DW339"/>
    <mergeCell ref="DX337:DX339"/>
    <mergeCell ref="DY337:DY339"/>
    <mergeCell ref="DZ337:DZ339"/>
    <mergeCell ref="EA337:EA339"/>
    <mergeCell ref="EB337:EB339"/>
    <mergeCell ref="EC337:EC339"/>
    <mergeCell ref="ED337:ED339"/>
    <mergeCell ref="EE337:EE339"/>
    <mergeCell ref="CD337:CD339"/>
    <mergeCell ref="CE337:CE339"/>
    <mergeCell ref="CF337:CF339"/>
    <mergeCell ref="CG337:CG339"/>
    <mergeCell ref="CH337:CH339"/>
    <mergeCell ref="CI337:CI339"/>
    <mergeCell ref="CJ337:CJ339"/>
    <mergeCell ref="CK337:CK339"/>
    <mergeCell ref="CL337:CL339"/>
    <mergeCell ref="BU337:BU339"/>
    <mergeCell ref="BV337:BV339"/>
    <mergeCell ref="BW337:BW339"/>
    <mergeCell ref="BX337:BX339"/>
    <mergeCell ref="BY337:BY339"/>
    <mergeCell ref="BZ337:BZ339"/>
    <mergeCell ref="CA337:CA339"/>
    <mergeCell ref="CB337:CB339"/>
    <mergeCell ref="CC337:CC339"/>
    <mergeCell ref="CV337:CV339"/>
    <mergeCell ref="CW337:CW339"/>
    <mergeCell ref="CX337:CX339"/>
    <mergeCell ref="CY337:CY339"/>
    <mergeCell ref="CZ337:CZ339"/>
    <mergeCell ref="DA337:DA339"/>
    <mergeCell ref="DB337:DB339"/>
    <mergeCell ref="DC337:DC339"/>
    <mergeCell ref="DD337:DD339"/>
    <mergeCell ref="CM337:CM339"/>
    <mergeCell ref="CN337:CN339"/>
    <mergeCell ref="CO337:CO339"/>
    <mergeCell ref="CP337:CP339"/>
    <mergeCell ref="CQ337:CQ339"/>
    <mergeCell ref="CR337:CR339"/>
    <mergeCell ref="CS337:CS339"/>
    <mergeCell ref="CT337:CT339"/>
    <mergeCell ref="CU337:CU339"/>
    <mergeCell ref="BN337:BN339"/>
    <mergeCell ref="BO337:BO339"/>
    <mergeCell ref="BP337:BP339"/>
    <mergeCell ref="BQ337:BQ339"/>
    <mergeCell ref="BR337:BR339"/>
    <mergeCell ref="BS337:BS339"/>
    <mergeCell ref="BT337:BT339"/>
    <mergeCell ref="BC337:BC339"/>
    <mergeCell ref="BD337:BD339"/>
    <mergeCell ref="BE337:BE339"/>
    <mergeCell ref="BF337:BF339"/>
    <mergeCell ref="BG337:BG339"/>
    <mergeCell ref="BH337:BH339"/>
    <mergeCell ref="BI337:BI339"/>
    <mergeCell ref="BJ337:BJ339"/>
    <mergeCell ref="BK337:BK339"/>
    <mergeCell ref="AT337:AT339"/>
    <mergeCell ref="AU337:AU339"/>
    <mergeCell ref="AV337:AV339"/>
    <mergeCell ref="AW337:AW339"/>
    <mergeCell ref="AX337:AX339"/>
    <mergeCell ref="AY337:AY339"/>
    <mergeCell ref="AZ337:AZ339"/>
    <mergeCell ref="BA337:BA339"/>
    <mergeCell ref="BB337:BB339"/>
    <mergeCell ref="G337:G339"/>
    <mergeCell ref="H337:H339"/>
    <mergeCell ref="I337:I339"/>
    <mergeCell ref="J337:J339"/>
    <mergeCell ref="K337:K339"/>
    <mergeCell ref="L337:L339"/>
    <mergeCell ref="M337:M339"/>
    <mergeCell ref="N337:N339"/>
    <mergeCell ref="O337:O339"/>
    <mergeCell ref="P337:P339"/>
    <mergeCell ref="Q337:Q339"/>
    <mergeCell ref="R337:R339"/>
    <mergeCell ref="BL337:BL339"/>
    <mergeCell ref="BM337:BM339"/>
    <mergeCell ref="AK337:AK339"/>
    <mergeCell ref="AL337:AL339"/>
    <mergeCell ref="AM337:AM339"/>
    <mergeCell ref="AN337:AN339"/>
    <mergeCell ref="AO337:AO339"/>
    <mergeCell ref="AP337:AP339"/>
    <mergeCell ref="AQ337:AQ339"/>
    <mergeCell ref="AR337:AR339"/>
    <mergeCell ref="AS337:AS339"/>
    <mergeCell ref="AB337:AB339"/>
    <mergeCell ref="AC337:AC339"/>
    <mergeCell ref="AD337:AD339"/>
    <mergeCell ref="AE337:AE339"/>
    <mergeCell ref="AF337:AF339"/>
    <mergeCell ref="AG337:AG339"/>
    <mergeCell ref="IJ332:IJ334"/>
    <mergeCell ref="IK332:IK334"/>
    <mergeCell ref="IL332:IL334"/>
    <mergeCell ref="AH337:AH339"/>
    <mergeCell ref="AI337:AI339"/>
    <mergeCell ref="AJ337:AJ339"/>
    <mergeCell ref="S337:S339"/>
    <mergeCell ref="T337:T339"/>
    <mergeCell ref="U337:U339"/>
    <mergeCell ref="V337:V339"/>
    <mergeCell ref="W337:W339"/>
    <mergeCell ref="X337:X339"/>
    <mergeCell ref="Y337:Y339"/>
    <mergeCell ref="Z337:Z339"/>
    <mergeCell ref="AA337:AA339"/>
    <mergeCell ref="HQ332:HQ334"/>
    <mergeCell ref="HR332:HR334"/>
    <mergeCell ref="HS332:HS334"/>
    <mergeCell ref="HT332:HT334"/>
    <mergeCell ref="HU332:HU334"/>
    <mergeCell ref="GP332:GP334"/>
    <mergeCell ref="GQ332:GQ334"/>
    <mergeCell ref="GR332:GR334"/>
    <mergeCell ref="GS332:GS334"/>
    <mergeCell ref="GT332:GT334"/>
    <mergeCell ref="GU332:GU334"/>
    <mergeCell ref="GV332:GV334"/>
    <mergeCell ref="GW332:GW334"/>
    <mergeCell ref="GX332:GX334"/>
    <mergeCell ref="GG332:GG334"/>
    <mergeCell ref="GH332:GH334"/>
    <mergeCell ref="GI332:GI334"/>
    <mergeCell ref="IM332:IM334"/>
    <mergeCell ref="IN332:IN334"/>
    <mergeCell ref="IO332:IO334"/>
    <mergeCell ref="IP332:IP334"/>
    <mergeCell ref="IQ332:IQ334"/>
    <mergeCell ref="HZ332:HZ334"/>
    <mergeCell ref="IA332:IA334"/>
    <mergeCell ref="IB332:IB334"/>
    <mergeCell ref="IC332:IC334"/>
    <mergeCell ref="ID332:ID334"/>
    <mergeCell ref="IE332:IE334"/>
    <mergeCell ref="IF332:IF334"/>
    <mergeCell ref="IG332:IG334"/>
    <mergeCell ref="IH332:IH334"/>
    <mergeCell ref="HD332:HD334"/>
    <mergeCell ref="HE332:HE334"/>
    <mergeCell ref="HF332:HF334"/>
    <mergeCell ref="HG332:HG334"/>
    <mergeCell ref="HV332:HV334"/>
    <mergeCell ref="HW332:HW334"/>
    <mergeCell ref="HX332:HX334"/>
    <mergeCell ref="HY332:HY334"/>
    <mergeCell ref="HH332:HH334"/>
    <mergeCell ref="HI332:HI334"/>
    <mergeCell ref="HJ332:HJ334"/>
    <mergeCell ref="HK332:HK334"/>
    <mergeCell ref="HL332:HL334"/>
    <mergeCell ref="HM332:HM334"/>
    <mergeCell ref="HN332:HN334"/>
    <mergeCell ref="HO332:HO334"/>
    <mergeCell ref="HP332:HP334"/>
    <mergeCell ref="II332:II334"/>
    <mergeCell ref="GM332:GM334"/>
    <mergeCell ref="GN332:GN334"/>
    <mergeCell ref="GO332:GO334"/>
    <mergeCell ref="FC332:FC334"/>
    <mergeCell ref="FD332:FD334"/>
    <mergeCell ref="FE332:FE334"/>
    <mergeCell ref="EN332:EN334"/>
    <mergeCell ref="EO332:EO334"/>
    <mergeCell ref="EP332:EP334"/>
    <mergeCell ref="EQ332:EQ334"/>
    <mergeCell ref="ER332:ER334"/>
    <mergeCell ref="ES332:ES334"/>
    <mergeCell ref="ET332:ET334"/>
    <mergeCell ref="EU332:EU334"/>
    <mergeCell ref="EV332:EV334"/>
    <mergeCell ref="GY332:GY334"/>
    <mergeCell ref="GZ332:GZ334"/>
    <mergeCell ref="FI332:FI334"/>
    <mergeCell ref="FJ332:FJ334"/>
    <mergeCell ref="FK332:FK334"/>
    <mergeCell ref="FL332:FL334"/>
    <mergeCell ref="FM332:FM334"/>
    <mergeCell ref="FN332:FN334"/>
    <mergeCell ref="EW332:EW334"/>
    <mergeCell ref="EX332:EX334"/>
    <mergeCell ref="EY332:EY334"/>
    <mergeCell ref="EZ332:EZ334"/>
    <mergeCell ref="FA332:FA334"/>
    <mergeCell ref="FB332:FB334"/>
    <mergeCell ref="GJ332:GJ334"/>
    <mergeCell ref="GK332:GK334"/>
    <mergeCell ref="GL332:GL334"/>
    <mergeCell ref="HA332:HA334"/>
    <mergeCell ref="HB332:HB334"/>
    <mergeCell ref="HC332:HC334"/>
    <mergeCell ref="FX332:FX334"/>
    <mergeCell ref="FY332:FY334"/>
    <mergeCell ref="FZ332:FZ334"/>
    <mergeCell ref="GA332:GA334"/>
    <mergeCell ref="GB332:GB334"/>
    <mergeCell ref="GC332:GC334"/>
    <mergeCell ref="GD332:GD334"/>
    <mergeCell ref="GE332:GE334"/>
    <mergeCell ref="GF332:GF334"/>
    <mergeCell ref="DE332:DE334"/>
    <mergeCell ref="DF332:DF334"/>
    <mergeCell ref="DG332:DG334"/>
    <mergeCell ref="DH332:DH334"/>
    <mergeCell ref="DI332:DI334"/>
    <mergeCell ref="DJ332:DJ334"/>
    <mergeCell ref="DK332:DK334"/>
    <mergeCell ref="DL332:DL334"/>
    <mergeCell ref="FO332:FO334"/>
    <mergeCell ref="FP332:FP334"/>
    <mergeCell ref="FQ332:FQ334"/>
    <mergeCell ref="FR332:FR334"/>
    <mergeCell ref="FS332:FS334"/>
    <mergeCell ref="FT332:FT334"/>
    <mergeCell ref="FU332:FU334"/>
    <mergeCell ref="FV332:FV334"/>
    <mergeCell ref="FW332:FW334"/>
    <mergeCell ref="FF332:FF334"/>
    <mergeCell ref="FG332:FG334"/>
    <mergeCell ref="FH332:FH334"/>
    <mergeCell ref="BY332:BY334"/>
    <mergeCell ref="BZ332:BZ334"/>
    <mergeCell ref="CA332:CA334"/>
    <mergeCell ref="CB332:CB334"/>
    <mergeCell ref="EE332:EE334"/>
    <mergeCell ref="EF332:EF334"/>
    <mergeCell ref="EG332:EG334"/>
    <mergeCell ref="EH332:EH334"/>
    <mergeCell ref="EI332:EI334"/>
    <mergeCell ref="EJ332:EJ334"/>
    <mergeCell ref="EK332:EK334"/>
    <mergeCell ref="EL332:EL334"/>
    <mergeCell ref="EM332:EM334"/>
    <mergeCell ref="DV332:DV334"/>
    <mergeCell ref="DW332:DW334"/>
    <mergeCell ref="DX332:DX334"/>
    <mergeCell ref="DY332:DY334"/>
    <mergeCell ref="DZ332:DZ334"/>
    <mergeCell ref="EA332:EA334"/>
    <mergeCell ref="EB332:EB334"/>
    <mergeCell ref="EC332:EC334"/>
    <mergeCell ref="ED332:ED334"/>
    <mergeCell ref="DM332:DM334"/>
    <mergeCell ref="DN332:DN334"/>
    <mergeCell ref="DO332:DO334"/>
    <mergeCell ref="DP332:DP334"/>
    <mergeCell ref="DQ332:DQ334"/>
    <mergeCell ref="DR332:DR334"/>
    <mergeCell ref="DS332:DS334"/>
    <mergeCell ref="DT332:DT334"/>
    <mergeCell ref="DU332:DU334"/>
    <mergeCell ref="DD332:DD334"/>
    <mergeCell ref="AJ332:AJ334"/>
    <mergeCell ref="AK332:AK334"/>
    <mergeCell ref="AL332:AL334"/>
    <mergeCell ref="AM332:AM334"/>
    <mergeCell ref="AN332:AN334"/>
    <mergeCell ref="AO332:AO334"/>
    <mergeCell ref="AP332:AP334"/>
    <mergeCell ref="AQ332:AQ334"/>
    <mergeCell ref="AR332:AR334"/>
    <mergeCell ref="CU332:CU334"/>
    <mergeCell ref="CV332:CV334"/>
    <mergeCell ref="CW332:CW334"/>
    <mergeCell ref="CX332:CX334"/>
    <mergeCell ref="CY332:CY334"/>
    <mergeCell ref="CZ332:CZ334"/>
    <mergeCell ref="DA332:DA334"/>
    <mergeCell ref="DB332:DB334"/>
    <mergeCell ref="CL332:CL334"/>
    <mergeCell ref="CM332:CM334"/>
    <mergeCell ref="CN332:CN334"/>
    <mergeCell ref="CO332:CO334"/>
    <mergeCell ref="CP332:CP334"/>
    <mergeCell ref="CQ332:CQ334"/>
    <mergeCell ref="CR332:CR334"/>
    <mergeCell ref="CS332:CS334"/>
    <mergeCell ref="CT332:CT334"/>
    <mergeCell ref="CC332:CC334"/>
    <mergeCell ref="CD332:CD334"/>
    <mergeCell ref="CE332:CE334"/>
    <mergeCell ref="CF332:CF334"/>
    <mergeCell ref="CG332:CG334"/>
    <mergeCell ref="CH332:CH334"/>
    <mergeCell ref="BB332:BB334"/>
    <mergeCell ref="BC332:BC334"/>
    <mergeCell ref="BD332:BD334"/>
    <mergeCell ref="BE332:BE334"/>
    <mergeCell ref="BF332:BF334"/>
    <mergeCell ref="BG332:BG334"/>
    <mergeCell ref="BH332:BH334"/>
    <mergeCell ref="BI332:BI334"/>
    <mergeCell ref="BJ332:BJ334"/>
    <mergeCell ref="AS332:AS334"/>
    <mergeCell ref="AT332:AT334"/>
    <mergeCell ref="AU332:AU334"/>
    <mergeCell ref="AV332:AV334"/>
    <mergeCell ref="AW332:AW334"/>
    <mergeCell ref="AX332:AX334"/>
    <mergeCell ref="AY332:AY334"/>
    <mergeCell ref="AZ332:AZ334"/>
    <mergeCell ref="BA332:BA334"/>
    <mergeCell ref="II329:II331"/>
    <mergeCell ref="HR329:HR331"/>
    <mergeCell ref="HS329:HS331"/>
    <mergeCell ref="HT329:HT331"/>
    <mergeCell ref="HU329:HU331"/>
    <mergeCell ref="HV329:HV331"/>
    <mergeCell ref="HW329:HW331"/>
    <mergeCell ref="HX329:HX331"/>
    <mergeCell ref="HY329:HY331"/>
    <mergeCell ref="HZ329:HZ331"/>
    <mergeCell ref="HI329:HI331"/>
    <mergeCell ref="HJ329:HJ331"/>
    <mergeCell ref="HK329:HK331"/>
    <mergeCell ref="HL329:HL331"/>
    <mergeCell ref="BK332:BK334"/>
    <mergeCell ref="BL332:BL334"/>
    <mergeCell ref="BM332:BM334"/>
    <mergeCell ref="BN332:BN334"/>
    <mergeCell ref="BO332:BO334"/>
    <mergeCell ref="BP332:BP334"/>
    <mergeCell ref="BQ332:BQ334"/>
    <mergeCell ref="BR332:BR334"/>
    <mergeCell ref="BS332:BS334"/>
    <mergeCell ref="DC332:DC334"/>
    <mergeCell ref="CI332:CI334"/>
    <mergeCell ref="CJ332:CJ334"/>
    <mergeCell ref="CK332:CK334"/>
    <mergeCell ref="BT332:BT334"/>
    <mergeCell ref="BU332:BU334"/>
    <mergeCell ref="BV332:BV334"/>
    <mergeCell ref="BW332:BW334"/>
    <mergeCell ref="BX332:BX334"/>
    <mergeCell ref="IJ329:IJ331"/>
    <mergeCell ref="IK329:IK331"/>
    <mergeCell ref="IL329:IL331"/>
    <mergeCell ref="IM329:IM331"/>
    <mergeCell ref="IN329:IN331"/>
    <mergeCell ref="IO329:IO331"/>
    <mergeCell ref="IP329:IP331"/>
    <mergeCell ref="IQ329:IQ331"/>
    <mergeCell ref="A332:A334"/>
    <mergeCell ref="B332:B334"/>
    <mergeCell ref="C332:C334"/>
    <mergeCell ref="D332:D334"/>
    <mergeCell ref="E332:E334"/>
    <mergeCell ref="G332:G334"/>
    <mergeCell ref="H332:H334"/>
    <mergeCell ref="I332:I334"/>
    <mergeCell ref="J332:J334"/>
    <mergeCell ref="K332:K334"/>
    <mergeCell ref="L332:L334"/>
    <mergeCell ref="M332:M334"/>
    <mergeCell ref="N332:N334"/>
    <mergeCell ref="O332:O334"/>
    <mergeCell ref="P332:P334"/>
    <mergeCell ref="Q332:Q334"/>
    <mergeCell ref="IA329:IA331"/>
    <mergeCell ref="IB329:IB331"/>
    <mergeCell ref="IC329:IC331"/>
    <mergeCell ref="ID329:ID331"/>
    <mergeCell ref="IE329:IE331"/>
    <mergeCell ref="IF329:IF331"/>
    <mergeCell ref="IG329:IG331"/>
    <mergeCell ref="IH329:IH331"/>
    <mergeCell ref="AA332:AA334"/>
    <mergeCell ref="AB332:AB334"/>
    <mergeCell ref="AC332:AC334"/>
    <mergeCell ref="AD332:AD334"/>
    <mergeCell ref="AE332:AE334"/>
    <mergeCell ref="AF332:AF334"/>
    <mergeCell ref="AG332:AG334"/>
    <mergeCell ref="AH332:AH334"/>
    <mergeCell ref="AI332:AI334"/>
    <mergeCell ref="R332:R334"/>
    <mergeCell ref="S332:S334"/>
    <mergeCell ref="T332:T334"/>
    <mergeCell ref="U332:U334"/>
    <mergeCell ref="V332:V334"/>
    <mergeCell ref="W332:W334"/>
    <mergeCell ref="X332:X334"/>
    <mergeCell ref="Y332:Y334"/>
    <mergeCell ref="Z332:Z334"/>
    <mergeCell ref="GH329:GH331"/>
    <mergeCell ref="GI329:GI331"/>
    <mergeCell ref="GJ329:GJ331"/>
    <mergeCell ref="GK329:GK331"/>
    <mergeCell ref="GL329:GL331"/>
    <mergeCell ref="GM329:GM331"/>
    <mergeCell ref="GN329:GN331"/>
    <mergeCell ref="GO329:GO331"/>
    <mergeCell ref="GP329:GP331"/>
    <mergeCell ref="FY329:FY331"/>
    <mergeCell ref="FZ329:FZ331"/>
    <mergeCell ref="GA329:GA331"/>
    <mergeCell ref="GB329:GB331"/>
    <mergeCell ref="GC329:GC331"/>
    <mergeCell ref="GD329:GD331"/>
    <mergeCell ref="GE329:GE331"/>
    <mergeCell ref="GF329:GF331"/>
    <mergeCell ref="GG329:GG331"/>
    <mergeCell ref="HM329:HM331"/>
    <mergeCell ref="HN329:HN331"/>
    <mergeCell ref="HO329:HO331"/>
    <mergeCell ref="HP329:HP331"/>
    <mergeCell ref="HQ329:HQ331"/>
    <mergeCell ref="GZ329:GZ331"/>
    <mergeCell ref="HA329:HA331"/>
    <mergeCell ref="HB329:HB331"/>
    <mergeCell ref="HC329:HC331"/>
    <mergeCell ref="HD329:HD331"/>
    <mergeCell ref="HE329:HE331"/>
    <mergeCell ref="HF329:HF331"/>
    <mergeCell ref="HG329:HG331"/>
    <mergeCell ref="HH329:HH331"/>
    <mergeCell ref="GQ329:GQ331"/>
    <mergeCell ref="GR329:GR331"/>
    <mergeCell ref="GS329:GS331"/>
    <mergeCell ref="GT329:GT331"/>
    <mergeCell ref="GU329:GU331"/>
    <mergeCell ref="GV329:GV331"/>
    <mergeCell ref="GW329:GW331"/>
    <mergeCell ref="GX329:GX331"/>
    <mergeCell ref="GY329:GY331"/>
    <mergeCell ref="EX329:EX331"/>
    <mergeCell ref="EY329:EY331"/>
    <mergeCell ref="EZ329:EZ331"/>
    <mergeCell ref="FA329:FA331"/>
    <mergeCell ref="FB329:FB331"/>
    <mergeCell ref="FC329:FC331"/>
    <mergeCell ref="FD329:FD331"/>
    <mergeCell ref="FE329:FE331"/>
    <mergeCell ref="FF329:FF331"/>
    <mergeCell ref="EO329:EO331"/>
    <mergeCell ref="EP329:EP331"/>
    <mergeCell ref="EQ329:EQ331"/>
    <mergeCell ref="ER329:ER331"/>
    <mergeCell ref="ES329:ES331"/>
    <mergeCell ref="ET329:ET331"/>
    <mergeCell ref="EU329:EU331"/>
    <mergeCell ref="EV329:EV331"/>
    <mergeCell ref="EW329:EW331"/>
    <mergeCell ref="FP329:FP331"/>
    <mergeCell ref="FQ329:FQ331"/>
    <mergeCell ref="FR329:FR331"/>
    <mergeCell ref="FS329:FS331"/>
    <mergeCell ref="FT329:FT331"/>
    <mergeCell ref="FU329:FU331"/>
    <mergeCell ref="FV329:FV331"/>
    <mergeCell ref="FW329:FW331"/>
    <mergeCell ref="FX329:FX331"/>
    <mergeCell ref="FG329:FG331"/>
    <mergeCell ref="FH329:FH331"/>
    <mergeCell ref="FI329:FI331"/>
    <mergeCell ref="FJ329:FJ331"/>
    <mergeCell ref="FK329:FK331"/>
    <mergeCell ref="FL329:FL331"/>
    <mergeCell ref="FM329:FM331"/>
    <mergeCell ref="FN329:FN331"/>
    <mergeCell ref="FO329:FO331"/>
    <mergeCell ref="DN329:DN331"/>
    <mergeCell ref="DO329:DO331"/>
    <mergeCell ref="DP329:DP331"/>
    <mergeCell ref="DQ329:DQ331"/>
    <mergeCell ref="DR329:DR331"/>
    <mergeCell ref="DS329:DS331"/>
    <mergeCell ref="DT329:DT331"/>
    <mergeCell ref="DU329:DU331"/>
    <mergeCell ref="DV329:DV331"/>
    <mergeCell ref="DE329:DE331"/>
    <mergeCell ref="DF329:DF331"/>
    <mergeCell ref="DG329:DG331"/>
    <mergeCell ref="DH329:DH331"/>
    <mergeCell ref="DI329:DI331"/>
    <mergeCell ref="DJ329:DJ331"/>
    <mergeCell ref="DK329:DK331"/>
    <mergeCell ref="DL329:DL331"/>
    <mergeCell ref="DM329:DM331"/>
    <mergeCell ref="EF329:EF331"/>
    <mergeCell ref="EG329:EG331"/>
    <mergeCell ref="EH329:EH331"/>
    <mergeCell ref="EI329:EI331"/>
    <mergeCell ref="EJ329:EJ331"/>
    <mergeCell ref="EK329:EK331"/>
    <mergeCell ref="EL329:EL331"/>
    <mergeCell ref="EM329:EM331"/>
    <mergeCell ref="EN329:EN331"/>
    <mergeCell ref="DW329:DW331"/>
    <mergeCell ref="DX329:DX331"/>
    <mergeCell ref="DY329:DY331"/>
    <mergeCell ref="DZ329:DZ331"/>
    <mergeCell ref="EA329:EA331"/>
    <mergeCell ref="EB329:EB331"/>
    <mergeCell ref="EC329:EC331"/>
    <mergeCell ref="ED329:ED331"/>
    <mergeCell ref="EE329:EE331"/>
    <mergeCell ref="DD329:DD331"/>
    <mergeCell ref="CM329:CM331"/>
    <mergeCell ref="CN329:CN331"/>
    <mergeCell ref="CO329:CO331"/>
    <mergeCell ref="CP329:CP331"/>
    <mergeCell ref="CQ329:CQ331"/>
    <mergeCell ref="CR329:CR331"/>
    <mergeCell ref="CS329:CS331"/>
    <mergeCell ref="CT329:CT331"/>
    <mergeCell ref="CU329:CU331"/>
    <mergeCell ref="CD329:CD331"/>
    <mergeCell ref="CE329:CE331"/>
    <mergeCell ref="CF329:CF331"/>
    <mergeCell ref="CG329:CG331"/>
    <mergeCell ref="CH329:CH331"/>
    <mergeCell ref="CI329:CI331"/>
    <mergeCell ref="CJ329:CJ331"/>
    <mergeCell ref="CK329:CK331"/>
    <mergeCell ref="CL329:CL331"/>
    <mergeCell ref="AK329:AK331"/>
    <mergeCell ref="AL329:AL331"/>
    <mergeCell ref="AM329:AM331"/>
    <mergeCell ref="AN329:AN331"/>
    <mergeCell ref="AO329:AO331"/>
    <mergeCell ref="AP329:AP331"/>
    <mergeCell ref="AQ329:AQ331"/>
    <mergeCell ref="AR329:AR331"/>
    <mergeCell ref="AS329:AS331"/>
    <mergeCell ref="CV329:CV331"/>
    <mergeCell ref="CW329:CW331"/>
    <mergeCell ref="CX329:CX331"/>
    <mergeCell ref="CY329:CY331"/>
    <mergeCell ref="CZ329:CZ331"/>
    <mergeCell ref="DA329:DA331"/>
    <mergeCell ref="DB329:DB331"/>
    <mergeCell ref="DC329:DC331"/>
    <mergeCell ref="BU329:BU331"/>
    <mergeCell ref="BV329:BV331"/>
    <mergeCell ref="BW329:BW331"/>
    <mergeCell ref="BX329:BX331"/>
    <mergeCell ref="BY329:BY331"/>
    <mergeCell ref="BZ329:BZ331"/>
    <mergeCell ref="CA329:CA331"/>
    <mergeCell ref="CB329:CB331"/>
    <mergeCell ref="CC329:CC331"/>
    <mergeCell ref="BD329:BD331"/>
    <mergeCell ref="BE329:BE331"/>
    <mergeCell ref="BF329:BF331"/>
    <mergeCell ref="BG329:BG331"/>
    <mergeCell ref="BH329:BH331"/>
    <mergeCell ref="BI329:BI331"/>
    <mergeCell ref="G329:G331"/>
    <mergeCell ref="H329:H331"/>
    <mergeCell ref="I329:I331"/>
    <mergeCell ref="J329:J331"/>
    <mergeCell ref="K329:K331"/>
    <mergeCell ref="L329:L331"/>
    <mergeCell ref="M329:M331"/>
    <mergeCell ref="N329:N331"/>
    <mergeCell ref="O329:O331"/>
    <mergeCell ref="P329:P331"/>
    <mergeCell ref="Q329:Q331"/>
    <mergeCell ref="R329:R331"/>
    <mergeCell ref="BJ329:BJ331"/>
    <mergeCell ref="BK329:BK331"/>
    <mergeCell ref="AT329:AT331"/>
    <mergeCell ref="AU329:AU331"/>
    <mergeCell ref="AV329:AV331"/>
    <mergeCell ref="AW329:AW331"/>
    <mergeCell ref="AX329:AX331"/>
    <mergeCell ref="AY329:AY331"/>
    <mergeCell ref="AZ329:AZ331"/>
    <mergeCell ref="BA329:BA331"/>
    <mergeCell ref="BB329:BB331"/>
    <mergeCell ref="S329:S331"/>
    <mergeCell ref="T329:T331"/>
    <mergeCell ref="U329:U331"/>
    <mergeCell ref="V329:V331"/>
    <mergeCell ref="W329:W331"/>
    <mergeCell ref="X329:X331"/>
    <mergeCell ref="Y329:Y331"/>
    <mergeCell ref="Z329:Z331"/>
    <mergeCell ref="AA329:AA331"/>
    <mergeCell ref="GY316:GY318"/>
    <mergeCell ref="GZ316:GZ318"/>
    <mergeCell ref="HA316:HA318"/>
    <mergeCell ref="HB316:HB318"/>
    <mergeCell ref="HC316:HC318"/>
    <mergeCell ref="HD316:HD318"/>
    <mergeCell ref="HE316:HE318"/>
    <mergeCell ref="HF316:HF318"/>
    <mergeCell ref="HG316:HG318"/>
    <mergeCell ref="GP316:GP318"/>
    <mergeCell ref="GQ316:GQ318"/>
    <mergeCell ref="GR316:GR318"/>
    <mergeCell ref="GS316:GS318"/>
    <mergeCell ref="AB329:AB331"/>
    <mergeCell ref="AC329:AC331"/>
    <mergeCell ref="AD329:AD331"/>
    <mergeCell ref="AE329:AE331"/>
    <mergeCell ref="AF329:AF331"/>
    <mergeCell ref="AG329:AG331"/>
    <mergeCell ref="AH329:AH331"/>
    <mergeCell ref="AI329:AI331"/>
    <mergeCell ref="AJ329:AJ331"/>
    <mergeCell ref="BL329:BL331"/>
    <mergeCell ref="BM329:BM331"/>
    <mergeCell ref="BN329:BN331"/>
    <mergeCell ref="BO329:BO331"/>
    <mergeCell ref="BP329:BP331"/>
    <mergeCell ref="BQ329:BQ331"/>
    <mergeCell ref="BR329:BR331"/>
    <mergeCell ref="BS329:BS331"/>
    <mergeCell ref="BT329:BT331"/>
    <mergeCell ref="BC329:BC331"/>
    <mergeCell ref="HQ316:HQ318"/>
    <mergeCell ref="HR316:HR318"/>
    <mergeCell ref="HS316:HS318"/>
    <mergeCell ref="HT316:HT318"/>
    <mergeCell ref="HU316:HU318"/>
    <mergeCell ref="HV316:HV318"/>
    <mergeCell ref="HW316:HW318"/>
    <mergeCell ref="HX316:HX318"/>
    <mergeCell ref="HY316:HY318"/>
    <mergeCell ref="HH316:HH318"/>
    <mergeCell ref="HI316:HI318"/>
    <mergeCell ref="HJ316:HJ318"/>
    <mergeCell ref="HK316:HK318"/>
    <mergeCell ref="HL316:HL318"/>
    <mergeCell ref="HM316:HM318"/>
    <mergeCell ref="HN316:HN318"/>
    <mergeCell ref="HO316:HO318"/>
    <mergeCell ref="HP316:HP318"/>
    <mergeCell ref="II316:II318"/>
    <mergeCell ref="IJ316:IJ318"/>
    <mergeCell ref="IK316:IK318"/>
    <mergeCell ref="IL316:IL318"/>
    <mergeCell ref="IM316:IM318"/>
    <mergeCell ref="IN316:IN318"/>
    <mergeCell ref="IO316:IO318"/>
    <mergeCell ref="IP316:IP318"/>
    <mergeCell ref="IQ316:IQ318"/>
    <mergeCell ref="HZ316:HZ318"/>
    <mergeCell ref="IA316:IA318"/>
    <mergeCell ref="IB316:IB318"/>
    <mergeCell ref="IC316:IC318"/>
    <mergeCell ref="ID316:ID318"/>
    <mergeCell ref="IE316:IE318"/>
    <mergeCell ref="IF316:IF318"/>
    <mergeCell ref="IG316:IG318"/>
    <mergeCell ref="IH316:IH318"/>
    <mergeCell ref="GE316:GE318"/>
    <mergeCell ref="GF316:GF318"/>
    <mergeCell ref="FO316:FO318"/>
    <mergeCell ref="FP316:FP318"/>
    <mergeCell ref="FQ316:FQ318"/>
    <mergeCell ref="FR316:FR318"/>
    <mergeCell ref="FS316:FS318"/>
    <mergeCell ref="FT316:FT318"/>
    <mergeCell ref="FU316:FU318"/>
    <mergeCell ref="FV316:FV318"/>
    <mergeCell ref="FW316:FW318"/>
    <mergeCell ref="FF316:FF318"/>
    <mergeCell ref="FG316:FG318"/>
    <mergeCell ref="FH316:FH318"/>
    <mergeCell ref="FI316:FI318"/>
    <mergeCell ref="FJ316:FJ318"/>
    <mergeCell ref="FK316:FK318"/>
    <mergeCell ref="FL316:FL318"/>
    <mergeCell ref="FM316:FM318"/>
    <mergeCell ref="FN316:FN318"/>
    <mergeCell ref="EL316:EL318"/>
    <mergeCell ref="EM316:EM318"/>
    <mergeCell ref="DV316:DV318"/>
    <mergeCell ref="DW316:DW318"/>
    <mergeCell ref="DX316:DX318"/>
    <mergeCell ref="DY316:DY318"/>
    <mergeCell ref="DZ316:DZ318"/>
    <mergeCell ref="EA316:EA318"/>
    <mergeCell ref="EB316:EB318"/>
    <mergeCell ref="EC316:EC318"/>
    <mergeCell ref="ED316:ED318"/>
    <mergeCell ref="GT316:GT318"/>
    <mergeCell ref="GU316:GU318"/>
    <mergeCell ref="GV316:GV318"/>
    <mergeCell ref="GW316:GW318"/>
    <mergeCell ref="GX316:GX318"/>
    <mergeCell ref="GG316:GG318"/>
    <mergeCell ref="GH316:GH318"/>
    <mergeCell ref="GI316:GI318"/>
    <mergeCell ref="GJ316:GJ318"/>
    <mergeCell ref="GK316:GK318"/>
    <mergeCell ref="GL316:GL318"/>
    <mergeCell ref="GM316:GM318"/>
    <mergeCell ref="GN316:GN318"/>
    <mergeCell ref="GO316:GO318"/>
    <mergeCell ref="FX316:FX318"/>
    <mergeCell ref="FY316:FY318"/>
    <mergeCell ref="FZ316:FZ318"/>
    <mergeCell ref="GA316:GA318"/>
    <mergeCell ref="GB316:GB318"/>
    <mergeCell ref="GC316:GC318"/>
    <mergeCell ref="GD316:GD318"/>
    <mergeCell ref="CN316:CN318"/>
    <mergeCell ref="CO316:CO318"/>
    <mergeCell ref="CP316:CP318"/>
    <mergeCell ref="CQ316:CQ318"/>
    <mergeCell ref="CR316:CR318"/>
    <mergeCell ref="CS316:CS318"/>
    <mergeCell ref="CT316:CT318"/>
    <mergeCell ref="EW316:EW318"/>
    <mergeCell ref="EX316:EX318"/>
    <mergeCell ref="EY316:EY318"/>
    <mergeCell ref="EZ316:EZ318"/>
    <mergeCell ref="FA316:FA318"/>
    <mergeCell ref="FB316:FB318"/>
    <mergeCell ref="FC316:FC318"/>
    <mergeCell ref="FD316:FD318"/>
    <mergeCell ref="FE316:FE318"/>
    <mergeCell ref="EN316:EN318"/>
    <mergeCell ref="EO316:EO318"/>
    <mergeCell ref="EP316:EP318"/>
    <mergeCell ref="EQ316:EQ318"/>
    <mergeCell ref="ER316:ER318"/>
    <mergeCell ref="ES316:ES318"/>
    <mergeCell ref="ET316:ET318"/>
    <mergeCell ref="EU316:EU318"/>
    <mergeCell ref="EV316:EV318"/>
    <mergeCell ref="EE316:EE318"/>
    <mergeCell ref="EF316:EF318"/>
    <mergeCell ref="EG316:EG318"/>
    <mergeCell ref="EH316:EH318"/>
    <mergeCell ref="EI316:EI318"/>
    <mergeCell ref="EJ316:EJ318"/>
    <mergeCell ref="EK316:EK318"/>
    <mergeCell ref="BH316:BH318"/>
    <mergeCell ref="BI316:BI318"/>
    <mergeCell ref="BJ316:BJ318"/>
    <mergeCell ref="DM316:DM318"/>
    <mergeCell ref="DN316:DN318"/>
    <mergeCell ref="DO316:DO318"/>
    <mergeCell ref="DP316:DP318"/>
    <mergeCell ref="DQ316:DQ318"/>
    <mergeCell ref="DR316:DR318"/>
    <mergeCell ref="DS316:DS318"/>
    <mergeCell ref="DT316:DT318"/>
    <mergeCell ref="DU316:DU318"/>
    <mergeCell ref="DD316:DD318"/>
    <mergeCell ref="DE316:DE318"/>
    <mergeCell ref="DF316:DF318"/>
    <mergeCell ref="DG316:DG318"/>
    <mergeCell ref="DH316:DH318"/>
    <mergeCell ref="DI316:DI318"/>
    <mergeCell ref="DJ316:DJ318"/>
    <mergeCell ref="DK316:DK318"/>
    <mergeCell ref="DL316:DL318"/>
    <mergeCell ref="CU316:CU318"/>
    <mergeCell ref="CV316:CV318"/>
    <mergeCell ref="CW316:CW318"/>
    <mergeCell ref="CX316:CX318"/>
    <mergeCell ref="CY316:CY318"/>
    <mergeCell ref="CZ316:CZ318"/>
    <mergeCell ref="DA316:DA318"/>
    <mergeCell ref="DB316:DB318"/>
    <mergeCell ref="DC316:DC318"/>
    <mergeCell ref="CL316:CL318"/>
    <mergeCell ref="CM316:CM318"/>
    <mergeCell ref="R316:R318"/>
    <mergeCell ref="S316:S318"/>
    <mergeCell ref="T316:T318"/>
    <mergeCell ref="U316:U318"/>
    <mergeCell ref="V316:V318"/>
    <mergeCell ref="W316:W318"/>
    <mergeCell ref="X316:X318"/>
    <mergeCell ref="Y316:Y318"/>
    <mergeCell ref="Z316:Z318"/>
    <mergeCell ref="CC316:CC318"/>
    <mergeCell ref="CD316:CD318"/>
    <mergeCell ref="CE316:CE318"/>
    <mergeCell ref="CF316:CF318"/>
    <mergeCell ref="CG316:CG318"/>
    <mergeCell ref="CH316:CH318"/>
    <mergeCell ref="CI316:CI318"/>
    <mergeCell ref="CJ316:CJ318"/>
    <mergeCell ref="BT316:BT318"/>
    <mergeCell ref="BU316:BU318"/>
    <mergeCell ref="BV316:BV318"/>
    <mergeCell ref="BW316:BW318"/>
    <mergeCell ref="BX316:BX318"/>
    <mergeCell ref="BY316:BY318"/>
    <mergeCell ref="BZ316:BZ318"/>
    <mergeCell ref="CA316:CA318"/>
    <mergeCell ref="CB316:CB318"/>
    <mergeCell ref="BK316:BK318"/>
    <mergeCell ref="BL316:BL318"/>
    <mergeCell ref="BM316:BM318"/>
    <mergeCell ref="BN316:BN318"/>
    <mergeCell ref="BO316:BO318"/>
    <mergeCell ref="BP316:BP318"/>
    <mergeCell ref="AJ316:AJ318"/>
    <mergeCell ref="AK316:AK318"/>
    <mergeCell ref="AL316:AL318"/>
    <mergeCell ref="AM316:AM318"/>
    <mergeCell ref="AN316:AN318"/>
    <mergeCell ref="AO316:AO318"/>
    <mergeCell ref="AP316:AP318"/>
    <mergeCell ref="AQ316:AQ318"/>
    <mergeCell ref="AR316:AR318"/>
    <mergeCell ref="AA316:AA318"/>
    <mergeCell ref="AB316:AB318"/>
    <mergeCell ref="AC316:AC318"/>
    <mergeCell ref="AD316:AD318"/>
    <mergeCell ref="AE316:AE318"/>
    <mergeCell ref="AF316:AF318"/>
    <mergeCell ref="AG316:AG318"/>
    <mergeCell ref="AH316:AH318"/>
    <mergeCell ref="AI316:AI318"/>
    <mergeCell ref="GZ313:GZ315"/>
    <mergeCell ref="HA313:HA315"/>
    <mergeCell ref="HB313:HB315"/>
    <mergeCell ref="HC313:HC315"/>
    <mergeCell ref="HD313:HD315"/>
    <mergeCell ref="HE313:HE315"/>
    <mergeCell ref="HF313:HF315"/>
    <mergeCell ref="HG313:HG315"/>
    <mergeCell ref="HH313:HH315"/>
    <mergeCell ref="GQ313:GQ315"/>
    <mergeCell ref="GR313:GR315"/>
    <mergeCell ref="GS313:GS315"/>
    <mergeCell ref="GT313:GT315"/>
    <mergeCell ref="AS316:AS318"/>
    <mergeCell ref="AT316:AT318"/>
    <mergeCell ref="AU316:AU318"/>
    <mergeCell ref="AV316:AV318"/>
    <mergeCell ref="AW316:AW318"/>
    <mergeCell ref="AX316:AX318"/>
    <mergeCell ref="AY316:AY318"/>
    <mergeCell ref="AZ316:AZ318"/>
    <mergeCell ref="BA316:BA318"/>
    <mergeCell ref="CK316:CK318"/>
    <mergeCell ref="BQ316:BQ318"/>
    <mergeCell ref="BR316:BR318"/>
    <mergeCell ref="BS316:BS318"/>
    <mergeCell ref="BB316:BB318"/>
    <mergeCell ref="BC316:BC318"/>
    <mergeCell ref="BD316:BD318"/>
    <mergeCell ref="BE316:BE318"/>
    <mergeCell ref="BF316:BF318"/>
    <mergeCell ref="BG316:BG318"/>
    <mergeCell ref="II313:II315"/>
    <mergeCell ref="HR313:HR315"/>
    <mergeCell ref="HS313:HS315"/>
    <mergeCell ref="HT313:HT315"/>
    <mergeCell ref="HU313:HU315"/>
    <mergeCell ref="HV313:HV315"/>
    <mergeCell ref="HW313:HW315"/>
    <mergeCell ref="HX313:HX315"/>
    <mergeCell ref="HY313:HY315"/>
    <mergeCell ref="HZ313:HZ315"/>
    <mergeCell ref="HI313:HI315"/>
    <mergeCell ref="HJ313:HJ315"/>
    <mergeCell ref="HK313:HK315"/>
    <mergeCell ref="HL313:HL315"/>
    <mergeCell ref="HM313:HM315"/>
    <mergeCell ref="HN313:HN315"/>
    <mergeCell ref="HO313:HO315"/>
    <mergeCell ref="HP313:HP315"/>
    <mergeCell ref="HQ313:HQ315"/>
    <mergeCell ref="IJ313:IJ315"/>
    <mergeCell ref="IK313:IK315"/>
    <mergeCell ref="IL313:IL315"/>
    <mergeCell ref="IM313:IM315"/>
    <mergeCell ref="IN313:IN315"/>
    <mergeCell ref="IO313:IO315"/>
    <mergeCell ref="IP313:IP315"/>
    <mergeCell ref="IQ313:IQ315"/>
    <mergeCell ref="A316:A318"/>
    <mergeCell ref="B316:B318"/>
    <mergeCell ref="C316:C318"/>
    <mergeCell ref="D316:D318"/>
    <mergeCell ref="E316:E318"/>
    <mergeCell ref="G316:G318"/>
    <mergeCell ref="H316:H318"/>
    <mergeCell ref="I316:I318"/>
    <mergeCell ref="J316:J318"/>
    <mergeCell ref="K316:K318"/>
    <mergeCell ref="L316:L318"/>
    <mergeCell ref="M316:M318"/>
    <mergeCell ref="N316:N318"/>
    <mergeCell ref="O316:O318"/>
    <mergeCell ref="P316:P318"/>
    <mergeCell ref="Q316:Q318"/>
    <mergeCell ref="IA313:IA315"/>
    <mergeCell ref="IB313:IB315"/>
    <mergeCell ref="IC313:IC315"/>
    <mergeCell ref="ID313:ID315"/>
    <mergeCell ref="IE313:IE315"/>
    <mergeCell ref="IF313:IF315"/>
    <mergeCell ref="IG313:IG315"/>
    <mergeCell ref="IH313:IH315"/>
    <mergeCell ref="FP313:FP315"/>
    <mergeCell ref="FQ313:FQ315"/>
    <mergeCell ref="FR313:FR315"/>
    <mergeCell ref="FS313:FS315"/>
    <mergeCell ref="FT313:FT315"/>
    <mergeCell ref="FU313:FU315"/>
    <mergeCell ref="FV313:FV315"/>
    <mergeCell ref="FW313:FW315"/>
    <mergeCell ref="FX313:FX315"/>
    <mergeCell ref="FG313:FG315"/>
    <mergeCell ref="FH313:FH315"/>
    <mergeCell ref="FI313:FI315"/>
    <mergeCell ref="FJ313:FJ315"/>
    <mergeCell ref="FK313:FK315"/>
    <mergeCell ref="FL313:FL315"/>
    <mergeCell ref="FM313:FM315"/>
    <mergeCell ref="FN313:FN315"/>
    <mergeCell ref="FO313:FO315"/>
    <mergeCell ref="GU313:GU315"/>
    <mergeCell ref="GV313:GV315"/>
    <mergeCell ref="GW313:GW315"/>
    <mergeCell ref="GX313:GX315"/>
    <mergeCell ref="GY313:GY315"/>
    <mergeCell ref="GH313:GH315"/>
    <mergeCell ref="GI313:GI315"/>
    <mergeCell ref="GJ313:GJ315"/>
    <mergeCell ref="GK313:GK315"/>
    <mergeCell ref="GL313:GL315"/>
    <mergeCell ref="GM313:GM315"/>
    <mergeCell ref="GN313:GN315"/>
    <mergeCell ref="GO313:GO315"/>
    <mergeCell ref="GP313:GP315"/>
    <mergeCell ref="FY313:FY315"/>
    <mergeCell ref="FZ313:FZ315"/>
    <mergeCell ref="GA313:GA315"/>
    <mergeCell ref="GB313:GB315"/>
    <mergeCell ref="GC313:GC315"/>
    <mergeCell ref="GD313:GD315"/>
    <mergeCell ref="GE313:GE315"/>
    <mergeCell ref="GF313:GF315"/>
    <mergeCell ref="GG313:GG315"/>
    <mergeCell ref="EF313:EF315"/>
    <mergeCell ref="EG313:EG315"/>
    <mergeCell ref="EH313:EH315"/>
    <mergeCell ref="EI313:EI315"/>
    <mergeCell ref="EJ313:EJ315"/>
    <mergeCell ref="EK313:EK315"/>
    <mergeCell ref="EL313:EL315"/>
    <mergeCell ref="EM313:EM315"/>
    <mergeCell ref="EN313:EN315"/>
    <mergeCell ref="DW313:DW315"/>
    <mergeCell ref="DX313:DX315"/>
    <mergeCell ref="DY313:DY315"/>
    <mergeCell ref="DZ313:DZ315"/>
    <mergeCell ref="EA313:EA315"/>
    <mergeCell ref="EB313:EB315"/>
    <mergeCell ref="EC313:EC315"/>
    <mergeCell ref="ED313:ED315"/>
    <mergeCell ref="EE313:EE315"/>
    <mergeCell ref="EX313:EX315"/>
    <mergeCell ref="EY313:EY315"/>
    <mergeCell ref="EZ313:EZ315"/>
    <mergeCell ref="FA313:FA315"/>
    <mergeCell ref="FB313:FB315"/>
    <mergeCell ref="FC313:FC315"/>
    <mergeCell ref="FD313:FD315"/>
    <mergeCell ref="FE313:FE315"/>
    <mergeCell ref="FF313:FF315"/>
    <mergeCell ref="EO313:EO315"/>
    <mergeCell ref="EP313:EP315"/>
    <mergeCell ref="EQ313:EQ315"/>
    <mergeCell ref="ER313:ER315"/>
    <mergeCell ref="ES313:ES315"/>
    <mergeCell ref="ET313:ET315"/>
    <mergeCell ref="EU313:EU315"/>
    <mergeCell ref="EV313:EV315"/>
    <mergeCell ref="EW313:EW315"/>
    <mergeCell ref="CV313:CV315"/>
    <mergeCell ref="CW313:CW315"/>
    <mergeCell ref="CX313:CX315"/>
    <mergeCell ref="CY313:CY315"/>
    <mergeCell ref="CZ313:CZ315"/>
    <mergeCell ref="DA313:DA315"/>
    <mergeCell ref="DB313:DB315"/>
    <mergeCell ref="DC313:DC315"/>
    <mergeCell ref="DD313:DD315"/>
    <mergeCell ref="CM313:CM315"/>
    <mergeCell ref="CN313:CN315"/>
    <mergeCell ref="CO313:CO315"/>
    <mergeCell ref="CP313:CP315"/>
    <mergeCell ref="CQ313:CQ315"/>
    <mergeCell ref="CR313:CR315"/>
    <mergeCell ref="CS313:CS315"/>
    <mergeCell ref="CT313:CT315"/>
    <mergeCell ref="CU313:CU315"/>
    <mergeCell ref="DN313:DN315"/>
    <mergeCell ref="DO313:DO315"/>
    <mergeCell ref="DP313:DP315"/>
    <mergeCell ref="DQ313:DQ315"/>
    <mergeCell ref="DR313:DR315"/>
    <mergeCell ref="DS313:DS315"/>
    <mergeCell ref="DT313:DT315"/>
    <mergeCell ref="DU313:DU315"/>
    <mergeCell ref="DV313:DV315"/>
    <mergeCell ref="DE313:DE315"/>
    <mergeCell ref="DF313:DF315"/>
    <mergeCell ref="DG313:DG315"/>
    <mergeCell ref="DH313:DH315"/>
    <mergeCell ref="DI313:DI315"/>
    <mergeCell ref="DJ313:DJ315"/>
    <mergeCell ref="DK313:DK315"/>
    <mergeCell ref="DL313:DL315"/>
    <mergeCell ref="DM313:DM315"/>
    <mergeCell ref="BL313:BL315"/>
    <mergeCell ref="BM313:BM315"/>
    <mergeCell ref="BN313:BN315"/>
    <mergeCell ref="BO313:BO315"/>
    <mergeCell ref="BP313:BP315"/>
    <mergeCell ref="BQ313:BQ315"/>
    <mergeCell ref="BR313:BR315"/>
    <mergeCell ref="BS313:BS315"/>
    <mergeCell ref="BT313:BT315"/>
    <mergeCell ref="BC313:BC315"/>
    <mergeCell ref="BD313:BD315"/>
    <mergeCell ref="BE313:BE315"/>
    <mergeCell ref="BF313:BF315"/>
    <mergeCell ref="BG313:BG315"/>
    <mergeCell ref="BH313:BH315"/>
    <mergeCell ref="BI313:BI315"/>
    <mergeCell ref="BJ313:BJ315"/>
    <mergeCell ref="BK313:BK315"/>
    <mergeCell ref="CD313:CD315"/>
    <mergeCell ref="CE313:CE315"/>
    <mergeCell ref="CF313:CF315"/>
    <mergeCell ref="CG313:CG315"/>
    <mergeCell ref="CH313:CH315"/>
    <mergeCell ref="CI313:CI315"/>
    <mergeCell ref="CJ313:CJ315"/>
    <mergeCell ref="CK313:CK315"/>
    <mergeCell ref="CL313:CL315"/>
    <mergeCell ref="BU313:BU315"/>
    <mergeCell ref="BV313:BV315"/>
    <mergeCell ref="BW313:BW315"/>
    <mergeCell ref="BX313:BX315"/>
    <mergeCell ref="BY313:BY315"/>
    <mergeCell ref="BZ313:BZ315"/>
    <mergeCell ref="CA313:CA315"/>
    <mergeCell ref="CB313:CB315"/>
    <mergeCell ref="CC313:CC315"/>
    <mergeCell ref="AY313:AY315"/>
    <mergeCell ref="AZ313:AZ315"/>
    <mergeCell ref="BA313:BA315"/>
    <mergeCell ref="BB313:BB315"/>
    <mergeCell ref="AK313:AK315"/>
    <mergeCell ref="AL313:AL315"/>
    <mergeCell ref="AM313:AM315"/>
    <mergeCell ref="AN313:AN315"/>
    <mergeCell ref="AO313:AO315"/>
    <mergeCell ref="AP313:AP315"/>
    <mergeCell ref="AQ313:AQ315"/>
    <mergeCell ref="AR313:AR315"/>
    <mergeCell ref="AS313:AS315"/>
    <mergeCell ref="AB313:AB315"/>
    <mergeCell ref="AC313:AC315"/>
    <mergeCell ref="AD313:AD315"/>
    <mergeCell ref="AE313:AE315"/>
    <mergeCell ref="AF313:AF315"/>
    <mergeCell ref="AG313:AG315"/>
    <mergeCell ref="AH313:AH315"/>
    <mergeCell ref="AI313:AI315"/>
    <mergeCell ref="AJ313:AJ315"/>
    <mergeCell ref="G313:G315"/>
    <mergeCell ref="H313:H315"/>
    <mergeCell ref="I313:I315"/>
    <mergeCell ref="J313:J315"/>
    <mergeCell ref="K313:K315"/>
    <mergeCell ref="L313:L315"/>
    <mergeCell ref="M313:M315"/>
    <mergeCell ref="N313:N315"/>
    <mergeCell ref="O313:O315"/>
    <mergeCell ref="P313:P315"/>
    <mergeCell ref="Q313:Q315"/>
    <mergeCell ref="R313:R315"/>
    <mergeCell ref="AT313:AT315"/>
    <mergeCell ref="AU313:AU315"/>
    <mergeCell ref="AV313:AV315"/>
    <mergeCell ref="AW313:AW315"/>
    <mergeCell ref="AX313:AX315"/>
    <mergeCell ref="S313:S315"/>
    <mergeCell ref="T313:T315"/>
    <mergeCell ref="U313:U315"/>
    <mergeCell ref="V313:V315"/>
    <mergeCell ref="W313:W315"/>
    <mergeCell ref="X313:X315"/>
    <mergeCell ref="Y313:Y315"/>
    <mergeCell ref="Z313:Z315"/>
    <mergeCell ref="AA313:AA315"/>
    <mergeCell ref="A208:A210"/>
    <mergeCell ref="B208:B210"/>
    <mergeCell ref="C208:C210"/>
    <mergeCell ref="D208:D210"/>
    <mergeCell ref="E208:E210"/>
    <mergeCell ref="A216:A218"/>
    <mergeCell ref="B216:B218"/>
    <mergeCell ref="C216:C218"/>
    <mergeCell ref="D216:D218"/>
    <mergeCell ref="E216:E218"/>
    <mergeCell ref="A213:A215"/>
    <mergeCell ref="B213:B215"/>
    <mergeCell ref="C213:C215"/>
    <mergeCell ref="D213:D215"/>
    <mergeCell ref="E213:E215"/>
    <mergeCell ref="A313:A315"/>
    <mergeCell ref="B313:B315"/>
    <mergeCell ref="C313:C315"/>
    <mergeCell ref="D313:D315"/>
    <mergeCell ref="E313:E315"/>
    <mergeCell ref="A289:A291"/>
    <mergeCell ref="B289:B291"/>
    <mergeCell ref="C289:C291"/>
    <mergeCell ref="D289:D291"/>
    <mergeCell ref="E289:E291"/>
    <mergeCell ref="A245:A247"/>
    <mergeCell ref="B245:B247"/>
    <mergeCell ref="C245:C247"/>
    <mergeCell ref="D245:D247"/>
    <mergeCell ref="E245:E247"/>
    <mergeCell ref="C248:C250"/>
    <mergeCell ref="D248:D250"/>
    <mergeCell ref="A197:A199"/>
    <mergeCell ref="B197:B199"/>
    <mergeCell ref="C197:C199"/>
    <mergeCell ref="D197:D199"/>
    <mergeCell ref="E197:E199"/>
    <mergeCell ref="A189:A191"/>
    <mergeCell ref="B189:B191"/>
    <mergeCell ref="C189:C191"/>
    <mergeCell ref="D189:D191"/>
    <mergeCell ref="E189:E191"/>
    <mergeCell ref="A192:A194"/>
    <mergeCell ref="B192:B194"/>
    <mergeCell ref="C192:C194"/>
    <mergeCell ref="A205:A207"/>
    <mergeCell ref="B205:B207"/>
    <mergeCell ref="C205:C207"/>
    <mergeCell ref="D205:D207"/>
    <mergeCell ref="E205:E207"/>
    <mergeCell ref="A200:A202"/>
    <mergeCell ref="B200:B202"/>
    <mergeCell ref="C200:C202"/>
    <mergeCell ref="D200:D202"/>
    <mergeCell ref="E200:E202"/>
    <mergeCell ref="E248:E250"/>
    <mergeCell ref="A300:A302"/>
    <mergeCell ref="B300:B302"/>
    <mergeCell ref="C300:C302"/>
    <mergeCell ref="D300:D302"/>
    <mergeCell ref="E300:E302"/>
    <mergeCell ref="A297:A299"/>
    <mergeCell ref="B297:B299"/>
    <mergeCell ref="C297:C299"/>
    <mergeCell ref="D297:D299"/>
    <mergeCell ref="E297:E299"/>
    <mergeCell ref="A224:A226"/>
    <mergeCell ref="B224:B226"/>
    <mergeCell ref="C224:C226"/>
    <mergeCell ref="D224:D226"/>
    <mergeCell ref="E224:E226"/>
    <mergeCell ref="A221:A223"/>
    <mergeCell ref="B221:B223"/>
    <mergeCell ref="C221:C223"/>
    <mergeCell ref="D221:D223"/>
    <mergeCell ref="E221:E223"/>
    <mergeCell ref="A232:A234"/>
    <mergeCell ref="B232:B234"/>
    <mergeCell ref="C232:C234"/>
    <mergeCell ref="D232:D234"/>
    <mergeCell ref="E232:E234"/>
    <mergeCell ref="A229:A231"/>
    <mergeCell ref="B229:B231"/>
    <mergeCell ref="C229:C231"/>
    <mergeCell ref="D229:D231"/>
    <mergeCell ref="E229:E231"/>
    <mergeCell ref="A248:A250"/>
    <mergeCell ref="B248:B250"/>
    <mergeCell ref="A305:A307"/>
    <mergeCell ref="B305:B307"/>
    <mergeCell ref="C305:C307"/>
    <mergeCell ref="D305:D307"/>
    <mergeCell ref="E305:E307"/>
    <mergeCell ref="D273:D275"/>
    <mergeCell ref="E273:E275"/>
    <mergeCell ref="B260:B262"/>
    <mergeCell ref="C260:C262"/>
    <mergeCell ref="D260:D262"/>
    <mergeCell ref="E260:E262"/>
    <mergeCell ref="A265:A267"/>
    <mergeCell ref="B265:B267"/>
    <mergeCell ref="C265:C267"/>
    <mergeCell ref="D265:D267"/>
    <mergeCell ref="E265:E267"/>
    <mergeCell ref="A268:A270"/>
    <mergeCell ref="B268:B270"/>
    <mergeCell ref="C268:C270"/>
    <mergeCell ref="D268:D270"/>
    <mergeCell ref="E268:E270"/>
    <mergeCell ref="A281:A283"/>
    <mergeCell ref="B281:B283"/>
    <mergeCell ref="C281:C283"/>
    <mergeCell ref="D281:D283"/>
    <mergeCell ref="E281:E283"/>
    <mergeCell ref="A276:A278"/>
    <mergeCell ref="B276:B278"/>
    <mergeCell ref="C276:C278"/>
    <mergeCell ref="D276:D278"/>
    <mergeCell ref="E276:E278"/>
    <mergeCell ref="A531:A533"/>
    <mergeCell ref="B531:B533"/>
    <mergeCell ref="C531:C533"/>
    <mergeCell ref="D531:D533"/>
    <mergeCell ref="E531:E533"/>
    <mergeCell ref="A534:A536"/>
    <mergeCell ref="B534:B536"/>
    <mergeCell ref="C534:C536"/>
    <mergeCell ref="D534:D536"/>
    <mergeCell ref="E534:E536"/>
    <mergeCell ref="A308:A310"/>
    <mergeCell ref="B308:B310"/>
    <mergeCell ref="C308:C310"/>
    <mergeCell ref="D308:D310"/>
    <mergeCell ref="E308:E310"/>
    <mergeCell ref="A284:A286"/>
    <mergeCell ref="B284:B286"/>
    <mergeCell ref="C284:C286"/>
    <mergeCell ref="D284:D286"/>
    <mergeCell ref="E284:E286"/>
    <mergeCell ref="A324:A326"/>
    <mergeCell ref="B324:B326"/>
    <mergeCell ref="C324:C326"/>
    <mergeCell ref="A329:A331"/>
    <mergeCell ref="B329:B331"/>
    <mergeCell ref="C329:C331"/>
    <mergeCell ref="D329:D331"/>
    <mergeCell ref="E329:E331"/>
    <mergeCell ref="C337:C339"/>
    <mergeCell ref="D337:D339"/>
    <mergeCell ref="E337:E339"/>
    <mergeCell ref="A353:A355"/>
    <mergeCell ref="D324:D326"/>
    <mergeCell ref="E324:E326"/>
    <mergeCell ref="A321:A323"/>
    <mergeCell ref="B321:B323"/>
    <mergeCell ref="C321:C323"/>
    <mergeCell ref="D321:D323"/>
    <mergeCell ref="E321:E323"/>
    <mergeCell ref="A337:A339"/>
    <mergeCell ref="B337:B339"/>
    <mergeCell ref="A273:A275"/>
    <mergeCell ref="B273:B275"/>
    <mergeCell ref="C273:C275"/>
    <mergeCell ref="A257:A259"/>
    <mergeCell ref="B257:B259"/>
    <mergeCell ref="C257:C259"/>
    <mergeCell ref="D257:D259"/>
    <mergeCell ref="E257:E259"/>
    <mergeCell ref="A260:A262"/>
  </mergeCells>
  <conditionalFormatting sqref="A2:A3 A5:A10 B73:B78 B80:B86 B88:B91 B139:B140">
    <cfRule type="cellIs" dxfId="517" priority="1001" stopIfTrue="1" operator="equal">
      <formula>"R"</formula>
    </cfRule>
    <cfRule type="cellIs" dxfId="516" priority="1000" stopIfTrue="1" operator="equal">
      <formula>"N"</formula>
    </cfRule>
  </conditionalFormatting>
  <conditionalFormatting sqref="B25">
    <cfRule type="cellIs" dxfId="515" priority="986" stopIfTrue="1" operator="equal">
      <formula>"R"</formula>
    </cfRule>
    <cfRule type="cellIs" dxfId="514" priority="985" stopIfTrue="1" operator="equal">
      <formula>"N"</formula>
    </cfRule>
  </conditionalFormatting>
  <conditionalFormatting sqref="B39:B40">
    <cfRule type="cellIs" dxfId="513" priority="977" stopIfTrue="1" operator="equal">
      <formula>"N"</formula>
    </cfRule>
    <cfRule type="cellIs" dxfId="512" priority="978" stopIfTrue="1" operator="equal">
      <formula>"R"</formula>
    </cfRule>
  </conditionalFormatting>
  <conditionalFormatting sqref="B60:B61">
    <cfRule type="cellIs" dxfId="511" priority="994" stopIfTrue="1" operator="equal">
      <formula>"R"</formula>
    </cfRule>
    <cfRule type="cellIs" dxfId="510" priority="993" stopIfTrue="1" operator="equal">
      <formula>"N"</formula>
    </cfRule>
  </conditionalFormatting>
  <conditionalFormatting sqref="B106:B110">
    <cfRule type="cellIs" dxfId="509" priority="875" stopIfTrue="1" operator="equal">
      <formula>"N"</formula>
    </cfRule>
    <cfRule type="cellIs" dxfId="508" priority="876" stopIfTrue="1" operator="equal">
      <formula>"R"</formula>
    </cfRule>
  </conditionalFormatting>
  <conditionalFormatting sqref="B121">
    <cfRule type="cellIs" dxfId="507" priority="921" stopIfTrue="1" operator="equal">
      <formula>"R"</formula>
    </cfRule>
    <cfRule type="cellIs" dxfId="506" priority="920" stopIfTrue="1" operator="equal">
      <formula>"N"</formula>
    </cfRule>
  </conditionalFormatting>
  <conditionalFormatting sqref="B126:B127">
    <cfRule type="cellIs" dxfId="505" priority="871" stopIfTrue="1" operator="equal">
      <formula>"R"</formula>
    </cfRule>
    <cfRule type="cellIs" dxfId="504" priority="870" stopIfTrue="1" operator="equal">
      <formula>"N"</formula>
    </cfRule>
  </conditionalFormatting>
  <conditionalFormatting sqref="B136:B137">
    <cfRule type="cellIs" dxfId="503" priority="909" stopIfTrue="1" operator="equal">
      <formula>"N"</formula>
    </cfRule>
    <cfRule type="cellIs" dxfId="502" priority="910" stopIfTrue="1" operator="equal">
      <formula>"R"</formula>
    </cfRule>
  </conditionalFormatting>
  <conditionalFormatting sqref="B144:B146">
    <cfRule type="cellIs" dxfId="501" priority="866" stopIfTrue="1" operator="equal">
      <formula>"R"</formula>
    </cfRule>
    <cfRule type="cellIs" dxfId="500" priority="865" stopIfTrue="1" operator="equal">
      <formula>"N"</formula>
    </cfRule>
  </conditionalFormatting>
  <conditionalFormatting sqref="B152:B155">
    <cfRule type="cellIs" dxfId="499" priority="890" stopIfTrue="1" operator="equal">
      <formula>"R"</formula>
    </cfRule>
    <cfRule type="cellIs" dxfId="498" priority="889" stopIfTrue="1" operator="equal">
      <formula>"N"</formula>
    </cfRule>
  </conditionalFormatting>
  <conditionalFormatting sqref="B157:B159">
    <cfRule type="cellIs" dxfId="497" priority="861" stopIfTrue="1" operator="equal">
      <formula>"R"</formula>
    </cfRule>
    <cfRule type="cellIs" dxfId="496" priority="860" stopIfTrue="1" operator="equal">
      <formula>"N"</formula>
    </cfRule>
  </conditionalFormatting>
  <conditionalFormatting sqref="B173">
    <cfRule type="cellIs" dxfId="495" priority="771" stopIfTrue="1" operator="equal">
      <formula>"R"</formula>
    </cfRule>
    <cfRule type="cellIs" dxfId="494" priority="770" stopIfTrue="1" operator="equal">
      <formula>"N"</formula>
    </cfRule>
  </conditionalFormatting>
  <conditionalFormatting sqref="B186:B187">
    <cfRule type="cellIs" dxfId="493" priority="765" stopIfTrue="1" operator="equal">
      <formula>"N"</formula>
    </cfRule>
    <cfRule type="cellIs" dxfId="492" priority="766" stopIfTrue="1" operator="equal">
      <formula>"R"</formula>
    </cfRule>
  </conditionalFormatting>
  <conditionalFormatting sqref="C36 F36:G38 H42:H54 F43:G44 G45 F113:G113 G114">
    <cfRule type="cellIs" dxfId="491" priority="964" stopIfTrue="1" operator="equal">
      <formula>"rw"</formula>
    </cfRule>
    <cfRule type="cellIs" dxfId="490" priority="963" stopIfTrue="1" operator="equal">
      <formula>"R"</formula>
    </cfRule>
  </conditionalFormatting>
  <conditionalFormatting sqref="C51:C55 H76 F77:H78 G79:H79 F80:H83 H84 F85:H86 G87:H87 F14:G19 F13">
    <cfRule type="cellIs" dxfId="489" priority="999" stopIfTrue="1" operator="equal">
      <formula>"rw"</formula>
    </cfRule>
  </conditionalFormatting>
  <conditionalFormatting sqref="C51:C55">
    <cfRule type="cellIs" dxfId="488" priority="930" stopIfTrue="1" operator="equal">
      <formula>"W"</formula>
    </cfRule>
  </conditionalFormatting>
  <conditionalFormatting sqref="C118 F176:G176 G177 F178:G187">
    <cfRule type="cellIs" dxfId="487" priority="918" stopIfTrue="1" operator="equal">
      <formula>"R"</formula>
    </cfRule>
    <cfRule type="cellIs" dxfId="486" priority="919" stopIfTrue="1" operator="equal">
      <formula>"rw"</formula>
    </cfRule>
  </conditionalFormatting>
  <conditionalFormatting sqref="C137">
    <cfRule type="cellIs" dxfId="485" priority="908" stopIfTrue="1" operator="equal">
      <formula>"rw"</formula>
    </cfRule>
    <cfRule type="cellIs" dxfId="484" priority="907" stopIfTrue="1" operator="equal">
      <formula>"R"</formula>
    </cfRule>
    <cfRule type="cellIs" dxfId="483" priority="906" stopIfTrue="1" operator="equal">
      <formula>"W"</formula>
    </cfRule>
  </conditionalFormatting>
  <conditionalFormatting sqref="C153">
    <cfRule type="cellIs" dxfId="482" priority="888" stopIfTrue="1" operator="equal">
      <formula>"rw"</formula>
    </cfRule>
    <cfRule type="cellIs" dxfId="481" priority="887" stopIfTrue="1" operator="equal">
      <formula>"R"</formula>
    </cfRule>
    <cfRule type="cellIs" dxfId="480" priority="886" stopIfTrue="1" operator="equal">
      <formula>"W"</formula>
    </cfRule>
  </conditionalFormatting>
  <conditionalFormatting sqref="C155">
    <cfRule type="cellIs" dxfId="479" priority="878" stopIfTrue="1" operator="equal">
      <formula>"R"</formula>
    </cfRule>
    <cfRule type="cellIs" dxfId="478" priority="877" stopIfTrue="1" operator="equal">
      <formula>"W"</formula>
    </cfRule>
    <cfRule type="cellIs" dxfId="477" priority="879" stopIfTrue="1" operator="equal">
      <formula>"rw"</formula>
    </cfRule>
  </conditionalFormatting>
  <conditionalFormatting sqref="F13 F14:G19 F28:G29 G30 F31:G34 F64:G65 G66 F67:G69 F95:G95 G96 F149:G149 G150">
    <cfRule type="cellIs" dxfId="476" priority="937" stopIfTrue="1" operator="equal">
      <formula>"R"</formula>
    </cfRule>
  </conditionalFormatting>
  <conditionalFormatting sqref="F30">
    <cfRule type="cellIs" dxfId="475" priority="360" stopIfTrue="1" operator="equal">
      <formula>"R"</formula>
    </cfRule>
    <cfRule type="cellIs" dxfId="474" priority="359" stopIfTrue="1" operator="equal">
      <formula>"W"</formula>
    </cfRule>
    <cfRule type="cellIs" dxfId="473" priority="357" stopIfTrue="1" operator="equal">
      <formula>"rw"</formula>
    </cfRule>
    <cfRule type="cellIs" dxfId="472" priority="356" stopIfTrue="1" operator="equal">
      <formula>"R"</formula>
    </cfRule>
    <cfRule type="cellIs" dxfId="471" priority="355" stopIfTrue="1" operator="equal">
      <formula>"W"</formula>
    </cfRule>
  </conditionalFormatting>
  <conditionalFormatting sqref="F35">
    <cfRule type="cellIs" dxfId="470" priority="740" stopIfTrue="1" operator="equal">
      <formula>"R"</formula>
    </cfRule>
    <cfRule type="cellIs" dxfId="469" priority="739" stopIfTrue="1" operator="equal">
      <formula>"W"</formula>
    </cfRule>
  </conditionalFormatting>
  <conditionalFormatting sqref="F45">
    <cfRule type="cellIs" dxfId="468" priority="363" stopIfTrue="1" operator="equal">
      <formula>"rw"</formula>
    </cfRule>
    <cfRule type="cellIs" dxfId="467" priority="362" stopIfTrue="1" operator="equal">
      <formula>"R"</formula>
    </cfRule>
    <cfRule type="cellIs" dxfId="466" priority="361" stopIfTrue="1" operator="equal">
      <formula>"W"</formula>
    </cfRule>
  </conditionalFormatting>
  <conditionalFormatting sqref="F66">
    <cfRule type="cellIs" dxfId="465" priority="723" stopIfTrue="1" operator="equal">
      <formula>"rw"</formula>
    </cfRule>
    <cfRule type="cellIs" dxfId="464" priority="722" stopIfTrue="1" operator="equal">
      <formula>"R"</formula>
    </cfRule>
    <cfRule type="cellIs" dxfId="463" priority="721" stopIfTrue="1" operator="equal">
      <formula>"W"</formula>
    </cfRule>
  </conditionalFormatting>
  <conditionalFormatting sqref="F79">
    <cfRule type="cellIs" dxfId="462" priority="349" stopIfTrue="1" operator="equal">
      <formula>"W"</formula>
    </cfRule>
    <cfRule type="cellIs" dxfId="461" priority="351" stopIfTrue="1" operator="equal">
      <formula>"rw"</formula>
    </cfRule>
    <cfRule type="cellIs" dxfId="460" priority="350" stopIfTrue="1" operator="equal">
      <formula>"R"</formula>
    </cfRule>
  </conditionalFormatting>
  <conditionalFormatting sqref="F87">
    <cfRule type="cellIs" dxfId="459" priority="343" stopIfTrue="1" operator="equal">
      <formula>"W"</formula>
    </cfRule>
    <cfRule type="cellIs" dxfId="458" priority="345" stopIfTrue="1" operator="equal">
      <formula>"rw"</formula>
    </cfRule>
    <cfRule type="cellIs" dxfId="457" priority="344" stopIfTrue="1" operator="equal">
      <formula>"R"</formula>
    </cfRule>
  </conditionalFormatting>
  <conditionalFormatting sqref="F96">
    <cfRule type="cellIs" dxfId="456" priority="339" stopIfTrue="1" operator="equal">
      <formula>"rw"</formula>
    </cfRule>
    <cfRule type="cellIs" dxfId="455" priority="338" stopIfTrue="1" operator="equal">
      <formula>"R"</formula>
    </cfRule>
    <cfRule type="cellIs" dxfId="454" priority="337" stopIfTrue="1" operator="equal">
      <formula>"W"</formula>
    </cfRule>
  </conditionalFormatting>
  <conditionalFormatting sqref="F114">
    <cfRule type="cellIs" dxfId="453" priority="333" stopIfTrue="1" operator="equal">
      <formula>"rw"</formula>
    </cfRule>
    <cfRule type="cellIs" dxfId="452" priority="332" stopIfTrue="1" operator="equal">
      <formula>"R"</formula>
    </cfRule>
    <cfRule type="cellIs" dxfId="451" priority="331" stopIfTrue="1" operator="equal">
      <formula>"W"</formula>
    </cfRule>
  </conditionalFormatting>
  <conditionalFormatting sqref="F131">
    <cfRule type="cellIs" dxfId="450" priority="327" stopIfTrue="1" operator="equal">
      <formula>"rw"</formula>
    </cfRule>
    <cfRule type="cellIs" dxfId="449" priority="326" stopIfTrue="1" operator="equal">
      <formula>"R"</formula>
    </cfRule>
    <cfRule type="cellIs" dxfId="448" priority="325" stopIfTrue="1" operator="equal">
      <formula>"W"</formula>
    </cfRule>
  </conditionalFormatting>
  <conditionalFormatting sqref="F150">
    <cfRule type="cellIs" dxfId="447" priority="321" stopIfTrue="1" operator="equal">
      <formula>"rw"</formula>
    </cfRule>
    <cfRule type="cellIs" dxfId="446" priority="320" stopIfTrue="1" operator="equal">
      <formula>"R"</formula>
    </cfRule>
    <cfRule type="cellIs" dxfId="445" priority="319" stopIfTrue="1" operator="equal">
      <formula>"W"</formula>
    </cfRule>
  </conditionalFormatting>
  <conditionalFormatting sqref="F163">
    <cfRule type="cellIs" dxfId="444" priority="315" stopIfTrue="1" operator="equal">
      <formula>"rw"</formula>
    </cfRule>
    <cfRule type="cellIs" dxfId="443" priority="314" stopIfTrue="1" operator="equal">
      <formula>"R"</formula>
    </cfRule>
    <cfRule type="cellIs" dxfId="442" priority="313" stopIfTrue="1" operator="equal">
      <formula>"W"</formula>
    </cfRule>
  </conditionalFormatting>
  <conditionalFormatting sqref="F177">
    <cfRule type="cellIs" dxfId="441" priority="307" stopIfTrue="1" operator="equal">
      <formula>"W"</formula>
    </cfRule>
    <cfRule type="cellIs" dxfId="440" priority="309" stopIfTrue="1" operator="equal">
      <formula>"rw"</formula>
    </cfRule>
    <cfRule type="cellIs" dxfId="439" priority="308" stopIfTrue="1" operator="equal">
      <formula>"R"</formula>
    </cfRule>
  </conditionalFormatting>
  <conditionalFormatting sqref="F195">
    <cfRule type="cellIs" dxfId="438" priority="301" stopIfTrue="1" operator="equal">
      <formula>"W"</formula>
    </cfRule>
    <cfRule type="cellIs" dxfId="437" priority="305" stopIfTrue="1" operator="equal">
      <formula>"W"</formula>
    </cfRule>
    <cfRule type="cellIs" dxfId="436" priority="306" stopIfTrue="1" operator="equal">
      <formula>"R"</formula>
    </cfRule>
    <cfRule type="cellIs" dxfId="435" priority="303" stopIfTrue="1" operator="equal">
      <formula>"rw"</formula>
    </cfRule>
    <cfRule type="cellIs" dxfId="434" priority="302" stopIfTrue="1" operator="equal">
      <formula>"R"</formula>
    </cfRule>
  </conditionalFormatting>
  <conditionalFormatting sqref="F203">
    <cfRule type="cellIs" dxfId="433" priority="300" stopIfTrue="1" operator="equal">
      <formula>"R"</formula>
    </cfRule>
    <cfRule type="cellIs" dxfId="432" priority="299" stopIfTrue="1" operator="equal">
      <formula>"W"</formula>
    </cfRule>
    <cfRule type="cellIs" dxfId="431" priority="297" stopIfTrue="1" operator="equal">
      <formula>"rw"</formula>
    </cfRule>
    <cfRule type="cellIs" dxfId="430" priority="296" stopIfTrue="1" operator="equal">
      <formula>"R"</formula>
    </cfRule>
    <cfRule type="cellIs" dxfId="429" priority="295" stopIfTrue="1" operator="equal">
      <formula>"W"</formula>
    </cfRule>
  </conditionalFormatting>
  <conditionalFormatting sqref="F211">
    <cfRule type="cellIs" dxfId="428" priority="289" stopIfTrue="1" operator="equal">
      <formula>"W"</formula>
    </cfRule>
    <cfRule type="cellIs" dxfId="427" priority="294" stopIfTrue="1" operator="equal">
      <formula>"R"</formula>
    </cfRule>
    <cfRule type="cellIs" dxfId="426" priority="293" stopIfTrue="1" operator="equal">
      <formula>"W"</formula>
    </cfRule>
    <cfRule type="cellIs" dxfId="425" priority="291" stopIfTrue="1" operator="equal">
      <formula>"rw"</formula>
    </cfRule>
    <cfRule type="cellIs" dxfId="424" priority="290" stopIfTrue="1" operator="equal">
      <formula>"R"</formula>
    </cfRule>
  </conditionalFormatting>
  <conditionalFormatting sqref="F219">
    <cfRule type="cellIs" dxfId="423" priority="283" stopIfTrue="1" operator="equal">
      <formula>"W"</formula>
    </cfRule>
    <cfRule type="cellIs" dxfId="422" priority="288" stopIfTrue="1" operator="equal">
      <formula>"R"</formula>
    </cfRule>
    <cfRule type="cellIs" dxfId="421" priority="287" stopIfTrue="1" operator="equal">
      <formula>"W"</formula>
    </cfRule>
    <cfRule type="cellIs" dxfId="420" priority="285" stopIfTrue="1" operator="equal">
      <formula>"rw"</formula>
    </cfRule>
    <cfRule type="cellIs" dxfId="419" priority="284" stopIfTrue="1" operator="equal">
      <formula>"R"</formula>
    </cfRule>
  </conditionalFormatting>
  <conditionalFormatting sqref="F227">
    <cfRule type="cellIs" dxfId="418" priority="277" stopIfTrue="1" operator="equal">
      <formula>"W"</formula>
    </cfRule>
    <cfRule type="cellIs" dxfId="417" priority="282" stopIfTrue="1" operator="equal">
      <formula>"R"</formula>
    </cfRule>
    <cfRule type="cellIs" dxfId="416" priority="281" stopIfTrue="1" operator="equal">
      <formula>"W"</formula>
    </cfRule>
    <cfRule type="cellIs" dxfId="415" priority="279" stopIfTrue="1" operator="equal">
      <formula>"rw"</formula>
    </cfRule>
    <cfRule type="cellIs" dxfId="414" priority="278" stopIfTrue="1" operator="equal">
      <formula>"R"</formula>
    </cfRule>
  </conditionalFormatting>
  <conditionalFormatting sqref="F235">
    <cfRule type="cellIs" dxfId="413" priority="276" stopIfTrue="1" operator="equal">
      <formula>"R"</formula>
    </cfRule>
    <cfRule type="cellIs" dxfId="412" priority="275" stopIfTrue="1" operator="equal">
      <formula>"W"</formula>
    </cfRule>
    <cfRule type="cellIs" dxfId="411" priority="273" stopIfTrue="1" operator="equal">
      <formula>"rw"</formula>
    </cfRule>
    <cfRule type="cellIs" dxfId="410" priority="272" stopIfTrue="1" operator="equal">
      <formula>"R"</formula>
    </cfRule>
    <cfRule type="cellIs" dxfId="409" priority="271" stopIfTrue="1" operator="equal">
      <formula>"W"</formula>
    </cfRule>
  </conditionalFormatting>
  <conditionalFormatting sqref="F243">
    <cfRule type="cellIs" dxfId="408" priority="270" stopIfTrue="1" operator="equal">
      <formula>"R"</formula>
    </cfRule>
    <cfRule type="cellIs" dxfId="407" priority="269" stopIfTrue="1" operator="equal">
      <formula>"W"</formula>
    </cfRule>
    <cfRule type="cellIs" dxfId="406" priority="267" stopIfTrue="1" operator="equal">
      <formula>"rw"</formula>
    </cfRule>
    <cfRule type="cellIs" dxfId="405" priority="266" stopIfTrue="1" operator="equal">
      <formula>"R"</formula>
    </cfRule>
    <cfRule type="cellIs" dxfId="404" priority="265" stopIfTrue="1" operator="equal">
      <formula>"W"</formula>
    </cfRule>
  </conditionalFormatting>
  <conditionalFormatting sqref="F251">
    <cfRule type="cellIs" dxfId="403" priority="264" stopIfTrue="1" operator="equal">
      <formula>"R"</formula>
    </cfRule>
    <cfRule type="cellIs" dxfId="402" priority="263" stopIfTrue="1" operator="equal">
      <formula>"W"</formula>
    </cfRule>
    <cfRule type="cellIs" dxfId="401" priority="261" stopIfTrue="1" operator="equal">
      <formula>"rw"</formula>
    </cfRule>
    <cfRule type="cellIs" dxfId="400" priority="260" stopIfTrue="1" operator="equal">
      <formula>"R"</formula>
    </cfRule>
    <cfRule type="cellIs" dxfId="399" priority="259" stopIfTrue="1" operator="equal">
      <formula>"W"</formula>
    </cfRule>
  </conditionalFormatting>
  <conditionalFormatting sqref="F255">
    <cfRule type="cellIs" dxfId="398" priority="254" stopIfTrue="1" operator="equal">
      <formula>"R"</formula>
    </cfRule>
    <cfRule type="cellIs" dxfId="397" priority="258" stopIfTrue="1" operator="equal">
      <formula>"R"</formula>
    </cfRule>
    <cfRule type="cellIs" dxfId="396" priority="257" stopIfTrue="1" operator="equal">
      <formula>"W"</formula>
    </cfRule>
    <cfRule type="cellIs" dxfId="395" priority="255" stopIfTrue="1" operator="equal">
      <formula>"rw"</formula>
    </cfRule>
    <cfRule type="cellIs" dxfId="394" priority="253" stopIfTrue="1" operator="equal">
      <formula>"W"</formula>
    </cfRule>
  </conditionalFormatting>
  <conditionalFormatting sqref="F263">
    <cfRule type="cellIs" dxfId="393" priority="252" stopIfTrue="1" operator="equal">
      <formula>"R"</formula>
    </cfRule>
    <cfRule type="cellIs" dxfId="392" priority="251" stopIfTrue="1" operator="equal">
      <formula>"W"</formula>
    </cfRule>
    <cfRule type="cellIs" dxfId="391" priority="249" stopIfTrue="1" operator="equal">
      <formula>"rw"</formula>
    </cfRule>
    <cfRule type="cellIs" dxfId="390" priority="248" stopIfTrue="1" operator="equal">
      <formula>"R"</formula>
    </cfRule>
    <cfRule type="cellIs" dxfId="389" priority="247" stopIfTrue="1" operator="equal">
      <formula>"W"</formula>
    </cfRule>
  </conditionalFormatting>
  <conditionalFormatting sqref="F271">
    <cfRule type="cellIs" dxfId="388" priority="246" stopIfTrue="1" operator="equal">
      <formula>"R"</formula>
    </cfRule>
    <cfRule type="cellIs" dxfId="387" priority="245" stopIfTrue="1" operator="equal">
      <formula>"W"</formula>
    </cfRule>
    <cfRule type="cellIs" dxfId="386" priority="243" stopIfTrue="1" operator="equal">
      <formula>"rw"</formula>
    </cfRule>
    <cfRule type="cellIs" dxfId="385" priority="242" stopIfTrue="1" operator="equal">
      <formula>"R"</formula>
    </cfRule>
    <cfRule type="cellIs" dxfId="384" priority="241" stopIfTrue="1" operator="equal">
      <formula>"W"</formula>
    </cfRule>
  </conditionalFormatting>
  <conditionalFormatting sqref="F279">
    <cfRule type="cellIs" dxfId="383" priority="240" stopIfTrue="1" operator="equal">
      <formula>"R"</formula>
    </cfRule>
    <cfRule type="cellIs" dxfId="382" priority="239" stopIfTrue="1" operator="equal">
      <formula>"W"</formula>
    </cfRule>
    <cfRule type="cellIs" dxfId="381" priority="237" stopIfTrue="1" operator="equal">
      <formula>"rw"</formula>
    </cfRule>
    <cfRule type="cellIs" dxfId="380" priority="236" stopIfTrue="1" operator="equal">
      <formula>"R"</formula>
    </cfRule>
    <cfRule type="cellIs" dxfId="379" priority="235" stopIfTrue="1" operator="equal">
      <formula>"W"</formula>
    </cfRule>
  </conditionalFormatting>
  <conditionalFormatting sqref="F287">
    <cfRule type="cellIs" dxfId="378" priority="234" stopIfTrue="1" operator="equal">
      <formula>"R"</formula>
    </cfRule>
    <cfRule type="cellIs" dxfId="377" priority="233" stopIfTrue="1" operator="equal">
      <formula>"W"</formula>
    </cfRule>
    <cfRule type="cellIs" dxfId="376" priority="231" stopIfTrue="1" operator="equal">
      <formula>"rw"</formula>
    </cfRule>
    <cfRule type="cellIs" dxfId="375" priority="230" stopIfTrue="1" operator="equal">
      <formula>"R"</formula>
    </cfRule>
    <cfRule type="cellIs" dxfId="374" priority="229" stopIfTrue="1" operator="equal">
      <formula>"W"</formula>
    </cfRule>
  </conditionalFormatting>
  <conditionalFormatting sqref="F295">
    <cfRule type="cellIs" dxfId="373" priority="227" stopIfTrue="1" operator="equal">
      <formula>"W"</formula>
    </cfRule>
    <cfRule type="cellIs" dxfId="372" priority="228" stopIfTrue="1" operator="equal">
      <formula>"R"</formula>
    </cfRule>
    <cfRule type="cellIs" dxfId="371" priority="225" stopIfTrue="1" operator="equal">
      <formula>"rw"</formula>
    </cfRule>
    <cfRule type="cellIs" dxfId="370" priority="224" stopIfTrue="1" operator="equal">
      <formula>"R"</formula>
    </cfRule>
    <cfRule type="cellIs" dxfId="369" priority="223" stopIfTrue="1" operator="equal">
      <formula>"W"</formula>
    </cfRule>
  </conditionalFormatting>
  <conditionalFormatting sqref="F303">
    <cfRule type="cellIs" dxfId="368" priority="222" stopIfTrue="1" operator="equal">
      <formula>"R"</formula>
    </cfRule>
    <cfRule type="cellIs" dxfId="367" priority="221" stopIfTrue="1" operator="equal">
      <formula>"W"</formula>
    </cfRule>
    <cfRule type="cellIs" dxfId="366" priority="219" stopIfTrue="1" operator="equal">
      <formula>"rw"</formula>
    </cfRule>
    <cfRule type="cellIs" dxfId="365" priority="218" stopIfTrue="1" operator="equal">
      <formula>"R"</formula>
    </cfRule>
    <cfRule type="cellIs" dxfId="364" priority="217" stopIfTrue="1" operator="equal">
      <formula>"W"</formula>
    </cfRule>
  </conditionalFormatting>
  <conditionalFormatting sqref="F311">
    <cfRule type="cellIs" dxfId="363" priority="216" stopIfTrue="1" operator="equal">
      <formula>"R"</formula>
    </cfRule>
    <cfRule type="cellIs" dxfId="362" priority="215" stopIfTrue="1" operator="equal">
      <formula>"W"</formula>
    </cfRule>
    <cfRule type="cellIs" dxfId="361" priority="213" stopIfTrue="1" operator="equal">
      <formula>"rw"</formula>
    </cfRule>
    <cfRule type="cellIs" dxfId="360" priority="212" stopIfTrue="1" operator="equal">
      <formula>"R"</formula>
    </cfRule>
    <cfRule type="cellIs" dxfId="359" priority="211" stopIfTrue="1" operator="equal">
      <formula>"W"</formula>
    </cfRule>
  </conditionalFormatting>
  <conditionalFormatting sqref="F319">
    <cfRule type="cellIs" dxfId="358" priority="205" stopIfTrue="1" operator="equal">
      <formula>"W"</formula>
    </cfRule>
    <cfRule type="cellIs" dxfId="357" priority="210" stopIfTrue="1" operator="equal">
      <formula>"R"</formula>
    </cfRule>
    <cfRule type="cellIs" dxfId="356" priority="209" stopIfTrue="1" operator="equal">
      <formula>"W"</formula>
    </cfRule>
    <cfRule type="cellIs" dxfId="355" priority="207" stopIfTrue="1" operator="equal">
      <formula>"rw"</formula>
    </cfRule>
    <cfRule type="cellIs" dxfId="354" priority="206" stopIfTrue="1" operator="equal">
      <formula>"R"</formula>
    </cfRule>
  </conditionalFormatting>
  <conditionalFormatting sqref="F327">
    <cfRule type="cellIs" dxfId="353" priority="204" stopIfTrue="1" operator="equal">
      <formula>"R"</formula>
    </cfRule>
    <cfRule type="cellIs" dxfId="352" priority="199" stopIfTrue="1" operator="equal">
      <formula>"W"</formula>
    </cfRule>
    <cfRule type="cellIs" dxfId="351" priority="200" stopIfTrue="1" operator="equal">
      <formula>"R"</formula>
    </cfRule>
    <cfRule type="cellIs" dxfId="350" priority="201" stopIfTrue="1" operator="equal">
      <formula>"rw"</formula>
    </cfRule>
    <cfRule type="cellIs" dxfId="349" priority="203" stopIfTrue="1" operator="equal">
      <formula>"W"</formula>
    </cfRule>
  </conditionalFormatting>
  <conditionalFormatting sqref="F335">
    <cfRule type="cellIs" dxfId="348" priority="198" stopIfTrue="1" operator="equal">
      <formula>"R"</formula>
    </cfRule>
    <cfRule type="cellIs" dxfId="347" priority="197" stopIfTrue="1" operator="equal">
      <formula>"W"</formula>
    </cfRule>
    <cfRule type="cellIs" dxfId="346" priority="195" stopIfTrue="1" operator="equal">
      <formula>"rw"</formula>
    </cfRule>
    <cfRule type="cellIs" dxfId="345" priority="194" stopIfTrue="1" operator="equal">
      <formula>"R"</formula>
    </cfRule>
    <cfRule type="cellIs" dxfId="344" priority="193" stopIfTrue="1" operator="equal">
      <formula>"W"</formula>
    </cfRule>
  </conditionalFormatting>
  <conditionalFormatting sqref="F343">
    <cfRule type="cellIs" dxfId="343" priority="187" stopIfTrue="1" operator="equal">
      <formula>"W"</formula>
    </cfRule>
    <cfRule type="cellIs" dxfId="342" priority="192" stopIfTrue="1" operator="equal">
      <formula>"R"</formula>
    </cfRule>
    <cfRule type="cellIs" dxfId="341" priority="191" stopIfTrue="1" operator="equal">
      <formula>"W"</formula>
    </cfRule>
    <cfRule type="cellIs" dxfId="340" priority="189" stopIfTrue="1" operator="equal">
      <formula>"rw"</formula>
    </cfRule>
    <cfRule type="cellIs" dxfId="339" priority="188" stopIfTrue="1" operator="equal">
      <formula>"R"</formula>
    </cfRule>
  </conditionalFormatting>
  <conditionalFormatting sqref="F351">
    <cfRule type="cellIs" dxfId="338" priority="186" stopIfTrue="1" operator="equal">
      <formula>"R"</formula>
    </cfRule>
    <cfRule type="cellIs" dxfId="337" priority="185" stopIfTrue="1" operator="equal">
      <formula>"W"</formula>
    </cfRule>
    <cfRule type="cellIs" dxfId="336" priority="183" stopIfTrue="1" operator="equal">
      <formula>"rw"</formula>
    </cfRule>
    <cfRule type="cellIs" dxfId="335" priority="182" stopIfTrue="1" operator="equal">
      <formula>"R"</formula>
    </cfRule>
    <cfRule type="cellIs" dxfId="334" priority="181" stopIfTrue="1" operator="equal">
      <formula>"W"</formula>
    </cfRule>
  </conditionalFormatting>
  <conditionalFormatting sqref="F359">
    <cfRule type="cellIs" dxfId="333" priority="175" stopIfTrue="1" operator="equal">
      <formula>"W"</formula>
    </cfRule>
    <cfRule type="cellIs" dxfId="332" priority="180" stopIfTrue="1" operator="equal">
      <formula>"R"</formula>
    </cfRule>
    <cfRule type="cellIs" dxfId="331" priority="179" stopIfTrue="1" operator="equal">
      <formula>"W"</formula>
    </cfRule>
    <cfRule type="cellIs" dxfId="330" priority="177" stopIfTrue="1" operator="equal">
      <formula>"rw"</formula>
    </cfRule>
    <cfRule type="cellIs" dxfId="329" priority="176" stopIfTrue="1" operator="equal">
      <formula>"R"</formula>
    </cfRule>
  </conditionalFormatting>
  <conditionalFormatting sqref="F367">
    <cfRule type="cellIs" dxfId="328" priority="174" stopIfTrue="1" operator="equal">
      <formula>"R"</formula>
    </cfRule>
    <cfRule type="cellIs" dxfId="327" priority="173" stopIfTrue="1" operator="equal">
      <formula>"W"</formula>
    </cfRule>
    <cfRule type="cellIs" dxfId="326" priority="171" stopIfTrue="1" operator="equal">
      <formula>"rw"</formula>
    </cfRule>
    <cfRule type="cellIs" dxfId="325" priority="170" stopIfTrue="1" operator="equal">
      <formula>"R"</formula>
    </cfRule>
    <cfRule type="cellIs" dxfId="324" priority="169" stopIfTrue="1" operator="equal">
      <formula>"W"</formula>
    </cfRule>
  </conditionalFormatting>
  <conditionalFormatting sqref="F375">
    <cfRule type="cellIs" dxfId="323" priority="168" stopIfTrue="1" operator="equal">
      <formula>"R"</formula>
    </cfRule>
    <cfRule type="cellIs" dxfId="322" priority="167" stopIfTrue="1" operator="equal">
      <formula>"W"</formula>
    </cfRule>
    <cfRule type="cellIs" dxfId="321" priority="165" stopIfTrue="1" operator="equal">
      <formula>"rw"</formula>
    </cfRule>
    <cfRule type="cellIs" dxfId="320" priority="164" stopIfTrue="1" operator="equal">
      <formula>"R"</formula>
    </cfRule>
    <cfRule type="cellIs" dxfId="319" priority="163" stopIfTrue="1" operator="equal">
      <formula>"W"</formula>
    </cfRule>
  </conditionalFormatting>
  <conditionalFormatting sqref="F383">
    <cfRule type="cellIs" dxfId="318" priority="162" stopIfTrue="1" operator="equal">
      <formula>"R"</formula>
    </cfRule>
    <cfRule type="cellIs" dxfId="317" priority="161" stopIfTrue="1" operator="equal">
      <formula>"W"</formula>
    </cfRule>
    <cfRule type="cellIs" dxfId="316" priority="159" stopIfTrue="1" operator="equal">
      <formula>"rw"</formula>
    </cfRule>
    <cfRule type="cellIs" dxfId="315" priority="158" stopIfTrue="1" operator="equal">
      <formula>"R"</formula>
    </cfRule>
    <cfRule type="cellIs" dxfId="314" priority="157" stopIfTrue="1" operator="equal">
      <formula>"W"</formula>
    </cfRule>
  </conditionalFormatting>
  <conditionalFormatting sqref="F391">
    <cfRule type="cellIs" dxfId="313" priority="155" stopIfTrue="1" operator="equal">
      <formula>"W"</formula>
    </cfRule>
    <cfRule type="cellIs" dxfId="312" priority="156" stopIfTrue="1" operator="equal">
      <formula>"R"</formula>
    </cfRule>
    <cfRule type="cellIs" dxfId="311" priority="153" stopIfTrue="1" operator="equal">
      <formula>"rw"</formula>
    </cfRule>
    <cfRule type="cellIs" dxfId="310" priority="152" stopIfTrue="1" operator="equal">
      <formula>"R"</formula>
    </cfRule>
    <cfRule type="cellIs" dxfId="309" priority="151" stopIfTrue="1" operator="equal">
      <formula>"W"</formula>
    </cfRule>
  </conditionalFormatting>
  <conditionalFormatting sqref="F399">
    <cfRule type="cellIs" dxfId="308" priority="150" stopIfTrue="1" operator="equal">
      <formula>"R"</formula>
    </cfRule>
    <cfRule type="cellIs" dxfId="307" priority="149" stopIfTrue="1" operator="equal">
      <formula>"W"</formula>
    </cfRule>
    <cfRule type="cellIs" dxfId="306" priority="147" stopIfTrue="1" operator="equal">
      <formula>"rw"</formula>
    </cfRule>
    <cfRule type="cellIs" dxfId="305" priority="146" stopIfTrue="1" operator="equal">
      <formula>"R"</formula>
    </cfRule>
    <cfRule type="cellIs" dxfId="304" priority="145" stopIfTrue="1" operator="equal">
      <formula>"W"</formula>
    </cfRule>
  </conditionalFormatting>
  <conditionalFormatting sqref="F407">
    <cfRule type="cellIs" dxfId="303" priority="144" stopIfTrue="1" operator="equal">
      <formula>"R"</formula>
    </cfRule>
    <cfRule type="cellIs" dxfId="302" priority="143" stopIfTrue="1" operator="equal">
      <formula>"W"</formula>
    </cfRule>
    <cfRule type="cellIs" dxfId="301" priority="141" stopIfTrue="1" operator="equal">
      <formula>"rw"</formula>
    </cfRule>
    <cfRule type="cellIs" dxfId="300" priority="140" stopIfTrue="1" operator="equal">
      <formula>"R"</formula>
    </cfRule>
    <cfRule type="cellIs" dxfId="299" priority="139" stopIfTrue="1" operator="equal">
      <formula>"W"</formula>
    </cfRule>
  </conditionalFormatting>
  <conditionalFormatting sqref="F415">
    <cfRule type="cellIs" dxfId="298" priority="138" stopIfTrue="1" operator="equal">
      <formula>"R"</formula>
    </cfRule>
    <cfRule type="cellIs" dxfId="297" priority="137" stopIfTrue="1" operator="equal">
      <formula>"W"</formula>
    </cfRule>
    <cfRule type="cellIs" dxfId="296" priority="135" stopIfTrue="1" operator="equal">
      <formula>"rw"</formula>
    </cfRule>
    <cfRule type="cellIs" dxfId="295" priority="134" stopIfTrue="1" operator="equal">
      <formula>"R"</formula>
    </cfRule>
    <cfRule type="cellIs" dxfId="294" priority="133" stopIfTrue="1" operator="equal">
      <formula>"W"</formula>
    </cfRule>
  </conditionalFormatting>
  <conditionalFormatting sqref="F423">
    <cfRule type="cellIs" dxfId="293" priority="132" stopIfTrue="1" operator="equal">
      <formula>"R"</formula>
    </cfRule>
    <cfRule type="cellIs" dxfId="292" priority="131" stopIfTrue="1" operator="equal">
      <formula>"W"</formula>
    </cfRule>
    <cfRule type="cellIs" dxfId="291" priority="129" stopIfTrue="1" operator="equal">
      <formula>"rw"</formula>
    </cfRule>
    <cfRule type="cellIs" dxfId="290" priority="128" stopIfTrue="1" operator="equal">
      <formula>"R"</formula>
    </cfRule>
    <cfRule type="cellIs" dxfId="289" priority="127" stopIfTrue="1" operator="equal">
      <formula>"W"</formula>
    </cfRule>
  </conditionalFormatting>
  <conditionalFormatting sqref="F431">
    <cfRule type="cellIs" dxfId="288" priority="125" stopIfTrue="1" operator="equal">
      <formula>"W"</formula>
    </cfRule>
    <cfRule type="cellIs" dxfId="287" priority="126" stopIfTrue="1" operator="equal">
      <formula>"R"</formula>
    </cfRule>
    <cfRule type="cellIs" dxfId="286" priority="123" stopIfTrue="1" operator="equal">
      <formula>"rw"</formula>
    </cfRule>
    <cfRule type="cellIs" dxfId="285" priority="122" stopIfTrue="1" operator="equal">
      <formula>"R"</formula>
    </cfRule>
    <cfRule type="cellIs" dxfId="284" priority="121" stopIfTrue="1" operator="equal">
      <formula>"W"</formula>
    </cfRule>
  </conditionalFormatting>
  <conditionalFormatting sqref="F439">
    <cfRule type="cellIs" dxfId="283" priority="120" stopIfTrue="1" operator="equal">
      <formula>"R"</formula>
    </cfRule>
    <cfRule type="cellIs" dxfId="282" priority="119" stopIfTrue="1" operator="equal">
      <formula>"W"</formula>
    </cfRule>
    <cfRule type="cellIs" dxfId="281" priority="117" stopIfTrue="1" operator="equal">
      <formula>"rw"</formula>
    </cfRule>
    <cfRule type="cellIs" dxfId="280" priority="116" stopIfTrue="1" operator="equal">
      <formula>"R"</formula>
    </cfRule>
    <cfRule type="cellIs" dxfId="279" priority="115" stopIfTrue="1" operator="equal">
      <formula>"W"</formula>
    </cfRule>
  </conditionalFormatting>
  <conditionalFormatting sqref="F447">
    <cfRule type="cellIs" dxfId="278" priority="114" stopIfTrue="1" operator="equal">
      <formula>"R"</formula>
    </cfRule>
    <cfRule type="cellIs" dxfId="277" priority="113" stopIfTrue="1" operator="equal">
      <formula>"W"</formula>
    </cfRule>
    <cfRule type="cellIs" dxfId="276" priority="111" stopIfTrue="1" operator="equal">
      <formula>"rw"</formula>
    </cfRule>
    <cfRule type="cellIs" dxfId="275" priority="110" stopIfTrue="1" operator="equal">
      <formula>"R"</formula>
    </cfRule>
    <cfRule type="cellIs" dxfId="274" priority="109" stopIfTrue="1" operator="equal">
      <formula>"W"</formula>
    </cfRule>
  </conditionalFormatting>
  <conditionalFormatting sqref="F455">
    <cfRule type="cellIs" dxfId="273" priority="103" stopIfTrue="1" operator="equal">
      <formula>"W"</formula>
    </cfRule>
    <cfRule type="cellIs" dxfId="272" priority="108" stopIfTrue="1" operator="equal">
      <formula>"R"</formula>
    </cfRule>
    <cfRule type="cellIs" dxfId="271" priority="107" stopIfTrue="1" operator="equal">
      <formula>"W"</formula>
    </cfRule>
    <cfRule type="cellIs" dxfId="270" priority="105" stopIfTrue="1" operator="equal">
      <formula>"rw"</formula>
    </cfRule>
    <cfRule type="cellIs" dxfId="269" priority="104" stopIfTrue="1" operator="equal">
      <formula>"R"</formula>
    </cfRule>
  </conditionalFormatting>
  <conditionalFormatting sqref="F463">
    <cfRule type="cellIs" dxfId="268" priority="97" stopIfTrue="1" operator="equal">
      <formula>"W"</formula>
    </cfRule>
    <cfRule type="cellIs" dxfId="267" priority="102" stopIfTrue="1" operator="equal">
      <formula>"R"</formula>
    </cfRule>
    <cfRule type="cellIs" dxfId="266" priority="101" stopIfTrue="1" operator="equal">
      <formula>"W"</formula>
    </cfRule>
    <cfRule type="cellIs" dxfId="265" priority="99" stopIfTrue="1" operator="equal">
      <formula>"rw"</formula>
    </cfRule>
    <cfRule type="cellIs" dxfId="264" priority="98" stopIfTrue="1" operator="equal">
      <formula>"R"</formula>
    </cfRule>
  </conditionalFormatting>
  <conditionalFormatting sqref="F471">
    <cfRule type="cellIs" dxfId="263" priority="96" stopIfTrue="1" operator="equal">
      <formula>"R"</formula>
    </cfRule>
    <cfRule type="cellIs" dxfId="262" priority="95" stopIfTrue="1" operator="equal">
      <formula>"W"</formula>
    </cfRule>
    <cfRule type="cellIs" dxfId="261" priority="93" stopIfTrue="1" operator="equal">
      <formula>"rw"</formula>
    </cfRule>
    <cfRule type="cellIs" dxfId="260" priority="92" stopIfTrue="1" operator="equal">
      <formula>"R"</formula>
    </cfRule>
    <cfRule type="cellIs" dxfId="259" priority="91" stopIfTrue="1" operator="equal">
      <formula>"W"</formula>
    </cfRule>
  </conditionalFormatting>
  <conditionalFormatting sqref="F479">
    <cfRule type="cellIs" dxfId="258" priority="85" stopIfTrue="1" operator="equal">
      <formula>"W"</formula>
    </cfRule>
    <cfRule type="cellIs" dxfId="257" priority="90" stopIfTrue="1" operator="equal">
      <formula>"R"</formula>
    </cfRule>
    <cfRule type="cellIs" dxfId="256" priority="89" stopIfTrue="1" operator="equal">
      <formula>"W"</formula>
    </cfRule>
    <cfRule type="cellIs" dxfId="255" priority="87" stopIfTrue="1" operator="equal">
      <formula>"rw"</formula>
    </cfRule>
    <cfRule type="cellIs" dxfId="254" priority="86" stopIfTrue="1" operator="equal">
      <formula>"R"</formula>
    </cfRule>
  </conditionalFormatting>
  <conditionalFormatting sqref="F487">
    <cfRule type="cellIs" dxfId="253" priority="79" stopIfTrue="1" operator="equal">
      <formula>"W"</formula>
    </cfRule>
    <cfRule type="cellIs" dxfId="252" priority="84" stopIfTrue="1" operator="equal">
      <formula>"R"</formula>
    </cfRule>
    <cfRule type="cellIs" dxfId="251" priority="83" stopIfTrue="1" operator="equal">
      <formula>"W"</formula>
    </cfRule>
    <cfRule type="cellIs" dxfId="250" priority="81" stopIfTrue="1" operator="equal">
      <formula>"rw"</formula>
    </cfRule>
    <cfRule type="cellIs" dxfId="249" priority="80" stopIfTrue="1" operator="equal">
      <formula>"R"</formula>
    </cfRule>
  </conditionalFormatting>
  <conditionalFormatting sqref="F495">
    <cfRule type="cellIs" dxfId="248" priority="73" stopIfTrue="1" operator="equal">
      <formula>"W"</formula>
    </cfRule>
    <cfRule type="cellIs" dxfId="247" priority="78" stopIfTrue="1" operator="equal">
      <formula>"R"</formula>
    </cfRule>
    <cfRule type="cellIs" dxfId="246" priority="77" stopIfTrue="1" operator="equal">
      <formula>"W"</formula>
    </cfRule>
    <cfRule type="cellIs" dxfId="245" priority="75" stopIfTrue="1" operator="equal">
      <formula>"rw"</formula>
    </cfRule>
    <cfRule type="cellIs" dxfId="244" priority="74" stopIfTrue="1" operator="equal">
      <formula>"R"</formula>
    </cfRule>
  </conditionalFormatting>
  <conditionalFormatting sqref="F503">
    <cfRule type="cellIs" dxfId="243" priority="72" stopIfTrue="1" operator="equal">
      <formula>"R"</formula>
    </cfRule>
    <cfRule type="cellIs" dxfId="242" priority="71" stopIfTrue="1" operator="equal">
      <formula>"W"</formula>
    </cfRule>
    <cfRule type="cellIs" dxfId="241" priority="69" stopIfTrue="1" operator="equal">
      <formula>"rw"</formula>
    </cfRule>
    <cfRule type="cellIs" dxfId="240" priority="68" stopIfTrue="1" operator="equal">
      <formula>"R"</formula>
    </cfRule>
    <cfRule type="cellIs" dxfId="239" priority="67" stopIfTrue="1" operator="equal">
      <formula>"W"</formula>
    </cfRule>
  </conditionalFormatting>
  <conditionalFormatting sqref="F511">
    <cfRule type="cellIs" dxfId="238" priority="66" stopIfTrue="1" operator="equal">
      <formula>"R"</formula>
    </cfRule>
    <cfRule type="cellIs" dxfId="237" priority="65" stopIfTrue="1" operator="equal">
      <formula>"W"</formula>
    </cfRule>
    <cfRule type="cellIs" dxfId="236" priority="63" stopIfTrue="1" operator="equal">
      <formula>"rw"</formula>
    </cfRule>
    <cfRule type="cellIs" dxfId="235" priority="62" stopIfTrue="1" operator="equal">
      <formula>"R"</formula>
    </cfRule>
    <cfRule type="cellIs" dxfId="234" priority="61" stopIfTrue="1" operator="equal">
      <formula>"W"</formula>
    </cfRule>
  </conditionalFormatting>
  <conditionalFormatting sqref="F521">
    <cfRule type="cellIs" dxfId="233" priority="55" stopIfTrue="1" operator="equal">
      <formula>"W"</formula>
    </cfRule>
    <cfRule type="cellIs" dxfId="232" priority="60" stopIfTrue="1" operator="equal">
      <formula>"R"</formula>
    </cfRule>
    <cfRule type="cellIs" dxfId="231" priority="59" stopIfTrue="1" operator="equal">
      <formula>"W"</formula>
    </cfRule>
    <cfRule type="cellIs" dxfId="230" priority="57" stopIfTrue="1" operator="equal">
      <formula>"rw"</formula>
    </cfRule>
    <cfRule type="cellIs" dxfId="229" priority="56" stopIfTrue="1" operator="equal">
      <formula>"R"</formula>
    </cfRule>
  </conditionalFormatting>
  <conditionalFormatting sqref="F529">
    <cfRule type="cellIs" dxfId="228" priority="51" stopIfTrue="1" operator="equal">
      <formula>"rw"</formula>
    </cfRule>
    <cfRule type="cellIs" dxfId="227" priority="53" stopIfTrue="1" operator="equal">
      <formula>"W"</formula>
    </cfRule>
    <cfRule type="cellIs" dxfId="226" priority="50" stopIfTrue="1" operator="equal">
      <formula>"R"</formula>
    </cfRule>
    <cfRule type="cellIs" dxfId="225" priority="49" stopIfTrue="1" operator="equal">
      <formula>"W"</formula>
    </cfRule>
    <cfRule type="cellIs" dxfId="224" priority="54" stopIfTrue="1" operator="equal">
      <formula>"R"</formula>
    </cfRule>
  </conditionalFormatting>
  <conditionalFormatting sqref="F537">
    <cfRule type="cellIs" dxfId="223" priority="47" stopIfTrue="1" operator="equal">
      <formula>"W"</formula>
    </cfRule>
    <cfRule type="cellIs" dxfId="222" priority="48" stopIfTrue="1" operator="equal">
      <formula>"R"</formula>
    </cfRule>
    <cfRule type="cellIs" dxfId="221" priority="45" stopIfTrue="1" operator="equal">
      <formula>"rw"</formula>
    </cfRule>
    <cfRule type="cellIs" dxfId="220" priority="44" stopIfTrue="1" operator="equal">
      <formula>"R"</formula>
    </cfRule>
    <cfRule type="cellIs" dxfId="219" priority="43" stopIfTrue="1" operator="equal">
      <formula>"W"</formula>
    </cfRule>
  </conditionalFormatting>
  <conditionalFormatting sqref="F545">
    <cfRule type="cellIs" dxfId="218" priority="41" stopIfTrue="1" operator="equal">
      <formula>"W"</formula>
    </cfRule>
    <cfRule type="cellIs" dxfId="217" priority="42" stopIfTrue="1" operator="equal">
      <formula>"R"</formula>
    </cfRule>
    <cfRule type="cellIs" dxfId="216" priority="39" stopIfTrue="1" operator="equal">
      <formula>"rw"</formula>
    </cfRule>
    <cfRule type="cellIs" dxfId="215" priority="38" stopIfTrue="1" operator="equal">
      <formula>"R"</formula>
    </cfRule>
    <cfRule type="cellIs" dxfId="214" priority="37" stopIfTrue="1" operator="equal">
      <formula>"W"</formula>
    </cfRule>
  </conditionalFormatting>
  <conditionalFormatting sqref="F553">
    <cfRule type="cellIs" dxfId="213" priority="35" stopIfTrue="1" operator="equal">
      <formula>"W"</formula>
    </cfRule>
    <cfRule type="cellIs" dxfId="212" priority="33" stopIfTrue="1" operator="equal">
      <formula>"rw"</formula>
    </cfRule>
    <cfRule type="cellIs" dxfId="211" priority="32" stopIfTrue="1" operator="equal">
      <formula>"R"</formula>
    </cfRule>
    <cfRule type="cellIs" dxfId="210" priority="31" stopIfTrue="1" operator="equal">
      <formula>"W"</formula>
    </cfRule>
    <cfRule type="cellIs" dxfId="209" priority="36" stopIfTrue="1" operator="equal">
      <formula>"R"</formula>
    </cfRule>
  </conditionalFormatting>
  <conditionalFormatting sqref="F561">
    <cfRule type="cellIs" dxfId="208" priority="29" stopIfTrue="1" operator="equal">
      <formula>"W"</formula>
    </cfRule>
    <cfRule type="cellIs" dxfId="207" priority="27" stopIfTrue="1" operator="equal">
      <formula>"rw"</formula>
    </cfRule>
    <cfRule type="cellIs" dxfId="206" priority="26" stopIfTrue="1" operator="equal">
      <formula>"R"</formula>
    </cfRule>
    <cfRule type="cellIs" dxfId="205" priority="25" stopIfTrue="1" operator="equal">
      <formula>"W"</formula>
    </cfRule>
    <cfRule type="cellIs" dxfId="204" priority="30" stopIfTrue="1" operator="equal">
      <formula>"R"</formula>
    </cfRule>
  </conditionalFormatting>
  <conditionalFormatting sqref="F569">
    <cfRule type="cellIs" dxfId="203" priority="24" stopIfTrue="1" operator="equal">
      <formula>"R"</formula>
    </cfRule>
    <cfRule type="cellIs" dxfId="202" priority="23" stopIfTrue="1" operator="equal">
      <formula>"W"</formula>
    </cfRule>
    <cfRule type="cellIs" dxfId="201" priority="21" stopIfTrue="1" operator="equal">
      <formula>"rw"</formula>
    </cfRule>
    <cfRule type="cellIs" dxfId="200" priority="20" stopIfTrue="1" operator="equal">
      <formula>"R"</formula>
    </cfRule>
    <cfRule type="cellIs" dxfId="199" priority="19" stopIfTrue="1" operator="equal">
      <formula>"W"</formula>
    </cfRule>
  </conditionalFormatting>
  <conditionalFormatting sqref="F577">
    <cfRule type="cellIs" dxfId="198" priority="18" stopIfTrue="1" operator="equal">
      <formula>"R"</formula>
    </cfRule>
    <cfRule type="cellIs" dxfId="197" priority="17" stopIfTrue="1" operator="equal">
      <formula>"W"</formula>
    </cfRule>
    <cfRule type="cellIs" dxfId="196" priority="15" stopIfTrue="1" operator="equal">
      <formula>"rw"</formula>
    </cfRule>
    <cfRule type="cellIs" dxfId="195" priority="14" stopIfTrue="1" operator="equal">
      <formula>"R"</formula>
    </cfRule>
    <cfRule type="cellIs" dxfId="194" priority="13" stopIfTrue="1" operator="equal">
      <formula>"W"</formula>
    </cfRule>
  </conditionalFormatting>
  <conditionalFormatting sqref="F585">
    <cfRule type="cellIs" dxfId="193" priority="12" stopIfTrue="1" operator="equal">
      <formula>"R"</formula>
    </cfRule>
    <cfRule type="cellIs" dxfId="192" priority="11" stopIfTrue="1" operator="equal">
      <formula>"W"</formula>
    </cfRule>
    <cfRule type="cellIs" dxfId="191" priority="9" stopIfTrue="1" operator="equal">
      <formula>"rw"</formula>
    </cfRule>
    <cfRule type="cellIs" dxfId="190" priority="8" stopIfTrue="1" operator="equal">
      <formula>"R"</formula>
    </cfRule>
    <cfRule type="cellIs" dxfId="189" priority="7" stopIfTrue="1" operator="equal">
      <formula>"W"</formula>
    </cfRule>
  </conditionalFormatting>
  <conditionalFormatting sqref="F593">
    <cfRule type="cellIs" dxfId="188" priority="1" stopIfTrue="1" operator="equal">
      <formula>"W"</formula>
    </cfRule>
    <cfRule type="cellIs" dxfId="187" priority="6" stopIfTrue="1" operator="equal">
      <formula>"R"</formula>
    </cfRule>
    <cfRule type="cellIs" dxfId="186" priority="5" stopIfTrue="1" operator="equal">
      <formula>"W"</formula>
    </cfRule>
    <cfRule type="cellIs" dxfId="185" priority="3" stopIfTrue="1" operator="equal">
      <formula>"rw"</formula>
    </cfRule>
    <cfRule type="cellIs" dxfId="184" priority="2" stopIfTrue="1" operator="equal">
      <formula>"R"</formula>
    </cfRule>
  </conditionalFormatting>
  <conditionalFormatting sqref="F2:G2">
    <cfRule type="cellIs" dxfId="183" priority="1003" stopIfTrue="1" operator="equal">
      <formula>"R"</formula>
    </cfRule>
    <cfRule type="cellIs" dxfId="182" priority="1002" stopIfTrue="1" operator="equal">
      <formula>"N"</formula>
    </cfRule>
  </conditionalFormatting>
  <conditionalFormatting sqref="F5:G10">
    <cfRule type="cellIs" dxfId="181" priority="737" stopIfTrue="1" operator="equal">
      <formula>"N"</formula>
    </cfRule>
    <cfRule type="cellIs" dxfId="180" priority="738" stopIfTrue="1" operator="equal">
      <formula>"R"</formula>
    </cfRule>
  </conditionalFormatting>
  <conditionalFormatting sqref="F14:G15">
    <cfRule type="cellIs" dxfId="179" priority="934" stopIfTrue="1" operator="equal">
      <formula>"R"</formula>
    </cfRule>
    <cfRule type="cellIs" dxfId="178" priority="935" stopIfTrue="1" operator="equal">
      <formula>"rw"</formula>
    </cfRule>
    <cfRule type="cellIs" dxfId="177" priority="933" stopIfTrue="1" operator="equal">
      <formula>"W"</formula>
    </cfRule>
  </conditionalFormatting>
  <conditionalFormatting sqref="F14:G19 F113:G113 G114 F149:G149 G150 F28:G29 F31:G34 F95:G95 G96 F64:G65 G66 F67:G69 G30 F13">
    <cfRule type="cellIs" dxfId="176" priority="936" stopIfTrue="1" operator="equal">
      <formula>"W"</formula>
    </cfRule>
  </conditionalFormatting>
  <conditionalFormatting sqref="F21:G25">
    <cfRule type="cellIs" dxfId="175" priority="827" stopIfTrue="1" operator="equal">
      <formula>"W"</formula>
    </cfRule>
    <cfRule type="cellIs" dxfId="174" priority="828" stopIfTrue="1" operator="equal">
      <formula>"R"</formula>
    </cfRule>
    <cfRule type="cellIs" dxfId="173" priority="829" stopIfTrue="1" operator="equal">
      <formula>"rw"</formula>
    </cfRule>
  </conditionalFormatting>
  <conditionalFormatting sqref="F28:G29 G30 F31:G34 F64:G65 G66 F67:G69 F95:G95 G96 F149:G149 G150 F151:G158">
    <cfRule type="cellIs" dxfId="172" priority="938" stopIfTrue="1" operator="equal">
      <formula>"rw"</formula>
    </cfRule>
  </conditionalFormatting>
  <conditionalFormatting sqref="F29:G29 F31:G33">
    <cfRule type="cellIs" dxfId="171" priority="850" stopIfTrue="1" operator="equal">
      <formula>"rw"</formula>
    </cfRule>
    <cfRule type="cellIs" dxfId="170" priority="849" stopIfTrue="1" operator="equal">
      <formula>"R"</formula>
    </cfRule>
  </conditionalFormatting>
  <conditionalFormatting sqref="F31:G33 F29:G29">
    <cfRule type="cellIs" dxfId="169" priority="848" stopIfTrue="1" operator="equal">
      <formula>"W"</formula>
    </cfRule>
  </conditionalFormatting>
  <conditionalFormatting sqref="F35:G36">
    <cfRule type="cellIs" dxfId="168" priority="741" stopIfTrue="1" operator="equal">
      <formula>"W"</formula>
    </cfRule>
    <cfRule type="cellIs" dxfId="167" priority="742" stopIfTrue="1" operator="equal">
      <formula>"R"</formula>
    </cfRule>
    <cfRule type="cellIs" dxfId="166" priority="743" stopIfTrue="1" operator="equal">
      <formula>"rw"</formula>
    </cfRule>
  </conditionalFormatting>
  <conditionalFormatting sqref="F36:G36">
    <cfRule type="cellIs" dxfId="165" priority="944" stopIfTrue="1" operator="equal">
      <formula>"rw"</formula>
    </cfRule>
    <cfRule type="cellIs" dxfId="164" priority="942" stopIfTrue="1" operator="equal">
      <formula>"W"</formula>
    </cfRule>
    <cfRule type="cellIs" dxfId="163" priority="943" stopIfTrue="1" operator="equal">
      <formula>"R"</formula>
    </cfRule>
  </conditionalFormatting>
  <conditionalFormatting sqref="F36:G38 F43:G44 G45 C36 H42:H54">
    <cfRule type="cellIs" dxfId="162" priority="962" stopIfTrue="1" operator="equal">
      <formula>"W"</formula>
    </cfRule>
  </conditionalFormatting>
  <conditionalFormatting sqref="F44:G48">
    <cfRule type="cellIs" dxfId="161" priority="366" stopIfTrue="1" operator="equal">
      <formula>"R"</formula>
    </cfRule>
    <cfRule type="cellIs" dxfId="160" priority="365" stopIfTrue="1" operator="equal">
      <formula>"W"</formula>
    </cfRule>
  </conditionalFormatting>
  <conditionalFormatting sqref="F46:G48">
    <cfRule type="cellIs" dxfId="159" priority="841" stopIfTrue="1" operator="equal">
      <formula>"rw"</formula>
    </cfRule>
  </conditionalFormatting>
  <conditionalFormatting sqref="F46:G55 F44:G44 G45">
    <cfRule type="cellIs" dxfId="158" priority="844" stopIfTrue="1" operator="equal">
      <formula>"rw"</formula>
    </cfRule>
  </conditionalFormatting>
  <conditionalFormatting sqref="F46:G55">
    <cfRule type="cellIs" dxfId="157" priority="843" stopIfTrue="1" operator="equal">
      <formula>"R"</formula>
    </cfRule>
    <cfRule type="cellIs" dxfId="156" priority="842" stopIfTrue="1" operator="equal">
      <formula>"W"</formula>
    </cfRule>
  </conditionalFormatting>
  <conditionalFormatting sqref="F56:G59">
    <cfRule type="cellIs" dxfId="155" priority="823" stopIfTrue="1" operator="equal">
      <formula>"rw"</formula>
    </cfRule>
    <cfRule type="cellIs" dxfId="154" priority="821" stopIfTrue="1" operator="equal">
      <formula>"W"</formula>
    </cfRule>
    <cfRule type="cellIs" dxfId="153" priority="822" stopIfTrue="1" operator="equal">
      <formula>"R"</formula>
    </cfRule>
  </conditionalFormatting>
  <conditionalFormatting sqref="F65:G65 G66 F67:G74">
    <cfRule type="cellIs" dxfId="152" priority="781" stopIfTrue="1" operator="equal">
      <formula>"rw"</formula>
    </cfRule>
  </conditionalFormatting>
  <conditionalFormatting sqref="F65:G74">
    <cfRule type="cellIs" dxfId="151" priority="725" stopIfTrue="1" operator="equal">
      <formula>"W"</formula>
    </cfRule>
    <cfRule type="cellIs" dxfId="150" priority="726" stopIfTrue="1" operator="equal">
      <formula>"R"</formula>
    </cfRule>
  </conditionalFormatting>
  <conditionalFormatting sqref="F77:G78 G79">
    <cfRule type="cellIs" dxfId="149" priority="997" stopIfTrue="1" operator="equal">
      <formula>"rw"</formula>
    </cfRule>
  </conditionalFormatting>
  <conditionalFormatting sqref="F77:G79">
    <cfRule type="cellIs" dxfId="148" priority="354" stopIfTrue="1" operator="equal">
      <formula>"R"</formula>
    </cfRule>
  </conditionalFormatting>
  <conditionalFormatting sqref="F85:G86 G87">
    <cfRule type="cellIs" dxfId="147" priority="954" stopIfTrue="1" operator="equal">
      <formula>"R"</formula>
    </cfRule>
    <cfRule type="cellIs" dxfId="146" priority="953" stopIfTrue="1" operator="equal">
      <formula>"W"</formula>
    </cfRule>
    <cfRule type="cellIs" dxfId="145" priority="955" stopIfTrue="1" operator="equal">
      <formula>"rw"</formula>
    </cfRule>
  </conditionalFormatting>
  <conditionalFormatting sqref="F86:G86 G87">
    <cfRule type="cellIs" dxfId="144" priority="932" stopIfTrue="1" operator="equal">
      <formula>"rw"</formula>
    </cfRule>
  </conditionalFormatting>
  <conditionalFormatting sqref="F86:G87">
    <cfRule type="cellIs" dxfId="143" priority="348" stopIfTrue="1" operator="equal">
      <formula>"R"</formula>
    </cfRule>
  </conditionalFormatting>
  <conditionalFormatting sqref="F95:G96">
    <cfRule type="cellIs" dxfId="142" priority="342" stopIfTrue="1" operator="equal">
      <formula>"R"</formula>
    </cfRule>
    <cfRule type="cellIs" dxfId="141" priority="341" stopIfTrue="1" operator="equal">
      <formula>"W"</formula>
    </cfRule>
  </conditionalFormatting>
  <conditionalFormatting sqref="F97:G97 F95:G95 G96">
    <cfRule type="cellIs" dxfId="140" priority="814" stopIfTrue="1" operator="equal">
      <formula>"rw"</formula>
    </cfRule>
  </conditionalFormatting>
  <conditionalFormatting sqref="F97:G97">
    <cfRule type="cellIs" dxfId="139" priority="812" stopIfTrue="1" operator="equal">
      <formula>"W"</formula>
    </cfRule>
    <cfRule type="cellIs" dxfId="138" priority="813" stopIfTrue="1" operator="equal">
      <formula>"R"</formula>
    </cfRule>
  </conditionalFormatting>
  <conditionalFormatting sqref="F99:G109">
    <cfRule type="cellIs" dxfId="137" priority="800" stopIfTrue="1" operator="equal">
      <formula>"W"</formula>
    </cfRule>
    <cfRule type="cellIs" dxfId="136" priority="801" stopIfTrue="1" operator="equal">
      <formula>"R"</formula>
    </cfRule>
    <cfRule type="cellIs" dxfId="135" priority="802" stopIfTrue="1" operator="equal">
      <formula>"rw"</formula>
    </cfRule>
  </conditionalFormatting>
  <conditionalFormatting sqref="F112:G112">
    <cfRule type="cellIs" dxfId="134" priority="913" stopIfTrue="1" operator="equal">
      <formula>"rw"</formula>
    </cfRule>
    <cfRule type="cellIs" dxfId="133" priority="912" stopIfTrue="1" operator="equal">
      <formula>"R"</formula>
    </cfRule>
    <cfRule type="cellIs" dxfId="132" priority="911" stopIfTrue="1" operator="equal">
      <formula>"W"</formula>
    </cfRule>
  </conditionalFormatting>
  <conditionalFormatting sqref="F112:G113 G114">
    <cfRule type="cellIs" dxfId="131" priority="916" stopIfTrue="1" operator="equal">
      <formula>"rw"</formula>
    </cfRule>
  </conditionalFormatting>
  <conditionalFormatting sqref="F112:G113">
    <cfRule type="cellIs" dxfId="130" priority="915" stopIfTrue="1" operator="equal">
      <formula>"R"</formula>
    </cfRule>
    <cfRule type="cellIs" dxfId="129" priority="914" stopIfTrue="1" operator="equal">
      <formula>"W"</formula>
    </cfRule>
  </conditionalFormatting>
  <conditionalFormatting sqref="F114:G126">
    <cfRule type="cellIs" dxfId="128" priority="336" stopIfTrue="1" operator="equal">
      <formula>"R"</formula>
    </cfRule>
    <cfRule type="cellIs" dxfId="127" priority="335" stopIfTrue="1" operator="equal">
      <formula>"W"</formula>
    </cfRule>
  </conditionalFormatting>
  <conditionalFormatting sqref="F115:G126">
    <cfRule type="cellIs" dxfId="126" priority="799" stopIfTrue="1" operator="equal">
      <formula>"rw"</formula>
    </cfRule>
  </conditionalFormatting>
  <conditionalFormatting sqref="F129:G129">
    <cfRule type="cellIs" dxfId="125" priority="901" stopIfTrue="1" operator="equal">
      <formula>"R"</formula>
    </cfRule>
    <cfRule type="cellIs" dxfId="124" priority="902" stopIfTrue="1" operator="equal">
      <formula>"rw"</formula>
    </cfRule>
    <cfRule type="cellIs" dxfId="123" priority="900" stopIfTrue="1" operator="equal">
      <formula>"W"</formula>
    </cfRule>
  </conditionalFormatting>
  <conditionalFormatting sqref="F129:G130 G131">
    <cfRule type="cellIs" dxfId="122" priority="905" stopIfTrue="1" operator="equal">
      <formula>"rw"</formula>
    </cfRule>
  </conditionalFormatting>
  <conditionalFormatting sqref="F129:G130">
    <cfRule type="cellIs" dxfId="121" priority="903" stopIfTrue="1" operator="equal">
      <formula>"W"</formula>
    </cfRule>
    <cfRule type="cellIs" dxfId="120" priority="904" stopIfTrue="1" operator="equal">
      <formula>"R"</formula>
    </cfRule>
  </conditionalFormatting>
  <conditionalFormatting sqref="F130:G130 G131 H92 F137:H137">
    <cfRule type="cellIs" dxfId="119" priority="971" stopIfTrue="1" operator="equal">
      <formula>"W"</formula>
    </cfRule>
  </conditionalFormatting>
  <conditionalFormatting sqref="F131:G131">
    <cfRule type="cellIs" dxfId="118" priority="329" stopIfTrue="1" operator="equal">
      <formula>"W"</formula>
    </cfRule>
    <cfRule type="cellIs" dxfId="117" priority="330" stopIfTrue="1" operator="equal">
      <formula>"R"</formula>
    </cfRule>
  </conditionalFormatting>
  <conditionalFormatting sqref="F132:G136">
    <cfRule type="cellIs" dxfId="116" priority="838" stopIfTrue="1" operator="equal">
      <formula>"rw"</formula>
    </cfRule>
    <cfRule type="cellIs" dxfId="115" priority="836" stopIfTrue="1" operator="equal">
      <formula>"W"</formula>
    </cfRule>
    <cfRule type="cellIs" dxfId="114" priority="837" stopIfTrue="1" operator="equal">
      <formula>"R"</formula>
    </cfRule>
  </conditionalFormatting>
  <conditionalFormatting sqref="F133:G135">
    <cfRule type="cellIs" dxfId="113" priority="833" stopIfTrue="1" operator="equal">
      <formula>"W"</formula>
    </cfRule>
    <cfRule type="cellIs" dxfId="112" priority="834" stopIfTrue="1" operator="equal">
      <formula>"R"</formula>
    </cfRule>
    <cfRule type="cellIs" dxfId="111" priority="835" stopIfTrue="1" operator="equal">
      <formula>"rw"</formula>
    </cfRule>
  </conditionalFormatting>
  <conditionalFormatting sqref="F138:G145">
    <cfRule type="cellIs" dxfId="110" priority="794" stopIfTrue="1" operator="equal">
      <formula>"W"</formula>
    </cfRule>
    <cfRule type="cellIs" dxfId="109" priority="795" stopIfTrue="1" operator="equal">
      <formula>"R"</formula>
    </cfRule>
    <cfRule type="cellIs" dxfId="108" priority="796" stopIfTrue="1" operator="equal">
      <formula>"rw"</formula>
    </cfRule>
  </conditionalFormatting>
  <conditionalFormatting sqref="F148:G148">
    <cfRule type="cellIs" dxfId="107" priority="881" stopIfTrue="1" operator="equal">
      <formula>"R"</formula>
    </cfRule>
    <cfRule type="cellIs" dxfId="106" priority="882" stopIfTrue="1" operator="equal">
      <formula>"rw"</formula>
    </cfRule>
    <cfRule type="cellIs" dxfId="105" priority="880" stopIfTrue="1" operator="equal">
      <formula>"W"</formula>
    </cfRule>
  </conditionalFormatting>
  <conditionalFormatting sqref="F148:G149 G150">
    <cfRule type="cellIs" dxfId="104" priority="885" stopIfTrue="1" operator="equal">
      <formula>"rw"</formula>
    </cfRule>
  </conditionalFormatting>
  <conditionalFormatting sqref="F148:G149">
    <cfRule type="cellIs" dxfId="103" priority="883" stopIfTrue="1" operator="equal">
      <formula>"W"</formula>
    </cfRule>
    <cfRule type="cellIs" dxfId="102" priority="884" stopIfTrue="1" operator="equal">
      <formula>"R"</formula>
    </cfRule>
  </conditionalFormatting>
  <conditionalFormatting sqref="F150:G158">
    <cfRule type="cellIs" dxfId="101" priority="323" stopIfTrue="1" operator="equal">
      <formula>"W"</formula>
    </cfRule>
    <cfRule type="cellIs" dxfId="100" priority="324" stopIfTrue="1" operator="equal">
      <formula>"R"</formula>
    </cfRule>
  </conditionalFormatting>
  <conditionalFormatting sqref="F161:G162 G163">
    <cfRule type="cellIs" dxfId="99" priority="847" stopIfTrue="1" operator="equal">
      <formula>"rw"</formula>
    </cfRule>
    <cfRule type="cellIs" dxfId="98" priority="845" stopIfTrue="1" operator="equal">
      <formula>"W"</formula>
    </cfRule>
    <cfRule type="cellIs" dxfId="97" priority="846" stopIfTrue="1" operator="equal">
      <formula>"R"</formula>
    </cfRule>
  </conditionalFormatting>
  <conditionalFormatting sqref="F162:G172">
    <cfRule type="cellIs" dxfId="96" priority="318" stopIfTrue="1" operator="equal">
      <formula>"R"</formula>
    </cfRule>
    <cfRule type="cellIs" dxfId="95" priority="317" stopIfTrue="1" operator="equal">
      <formula>"W"</formula>
    </cfRule>
  </conditionalFormatting>
  <conditionalFormatting sqref="F164:G166 F162:G162 G163">
    <cfRule type="cellIs" dxfId="94" priority="832" stopIfTrue="1" operator="equal">
      <formula>"rw"</formula>
    </cfRule>
  </conditionalFormatting>
  <conditionalFormatting sqref="F164:G166">
    <cfRule type="cellIs" dxfId="93" priority="831" stopIfTrue="1" operator="equal">
      <formula>"R"</formula>
    </cfRule>
    <cfRule type="cellIs" dxfId="92" priority="830" stopIfTrue="1" operator="equal">
      <formula>"W"</formula>
    </cfRule>
  </conditionalFormatting>
  <conditionalFormatting sqref="F164:G172">
    <cfRule type="cellIs" dxfId="91" priority="793" stopIfTrue="1" operator="equal">
      <formula>"rw"</formula>
    </cfRule>
  </conditionalFormatting>
  <conditionalFormatting sqref="F175:G176 G177 F178:G180">
    <cfRule type="cellIs" dxfId="90" priority="758" stopIfTrue="1" operator="equal">
      <formula>"rw"</formula>
    </cfRule>
  </conditionalFormatting>
  <conditionalFormatting sqref="F175:G180">
    <cfRule type="cellIs" dxfId="89" priority="311" stopIfTrue="1" operator="equal">
      <formula>"W"</formula>
    </cfRule>
    <cfRule type="cellIs" dxfId="88" priority="312" stopIfTrue="1" operator="equal">
      <formula>"R"</formula>
    </cfRule>
  </conditionalFormatting>
  <conditionalFormatting sqref="F176:G176 G177 F178:G187 C118">
    <cfRule type="cellIs" dxfId="87" priority="917" stopIfTrue="1" operator="equal">
      <formula>"W"</formula>
    </cfRule>
  </conditionalFormatting>
  <conditionalFormatting sqref="F16:H19">
    <cfRule type="cellIs" dxfId="86" priority="987" stopIfTrue="1" operator="equal">
      <formula>"W"</formula>
    </cfRule>
    <cfRule type="cellIs" dxfId="85" priority="989" stopIfTrue="1" operator="equal">
      <formula>"rw"</formula>
    </cfRule>
    <cfRule type="cellIs" dxfId="84" priority="988" stopIfTrue="1" operator="equal">
      <formula>"R"</formula>
    </cfRule>
  </conditionalFormatting>
  <conditionalFormatting sqref="F36:H36">
    <cfRule type="cellIs" dxfId="83" priority="950" stopIfTrue="1" operator="equal">
      <formula>"rw"</formula>
    </cfRule>
    <cfRule type="cellIs" dxfId="82" priority="947" stopIfTrue="1" operator="equal">
      <formula>"rw"</formula>
    </cfRule>
    <cfRule type="cellIs" dxfId="81" priority="946" stopIfTrue="1" operator="equal">
      <formula>"R"</formula>
    </cfRule>
    <cfRule type="cellIs" dxfId="80" priority="945" stopIfTrue="1" operator="equal">
      <formula>"W"</formula>
    </cfRule>
    <cfRule type="cellIs" dxfId="79" priority="948" stopIfTrue="1" operator="equal">
      <formula>"W"</formula>
    </cfRule>
    <cfRule type="cellIs" dxfId="78" priority="949" stopIfTrue="1" operator="equal">
      <formula>"R"</formula>
    </cfRule>
  </conditionalFormatting>
  <conditionalFormatting sqref="F39:H40">
    <cfRule type="cellIs" dxfId="77" priority="778" stopIfTrue="1" operator="equal">
      <formula>"rw"</formula>
    </cfRule>
    <cfRule type="cellIs" dxfId="76" priority="776" stopIfTrue="1" operator="equal">
      <formula>"W"</formula>
    </cfRule>
    <cfRule type="cellIs" dxfId="75" priority="777" stopIfTrue="1" operator="equal">
      <formula>"R"</formula>
    </cfRule>
  </conditionalFormatting>
  <conditionalFormatting sqref="F60:H61">
    <cfRule type="cellIs" dxfId="74" priority="824" stopIfTrue="1" operator="equal">
      <formula>"W"</formula>
    </cfRule>
    <cfRule type="cellIs" dxfId="73" priority="825" stopIfTrue="1" operator="equal">
      <formula>"R"</formula>
    </cfRule>
    <cfRule type="cellIs" dxfId="72" priority="826" stopIfTrue="1" operator="equal">
      <formula>"rw"</formula>
    </cfRule>
  </conditionalFormatting>
  <conditionalFormatting sqref="F77:H78 G79:H79 H84 F85:H86 G87:H87 C51:C55 H76 F80:H83">
    <cfRule type="cellIs" dxfId="71" priority="998" stopIfTrue="1" operator="equal">
      <formula>"R"</formula>
    </cfRule>
  </conditionalFormatting>
  <conditionalFormatting sqref="F77:H83">
    <cfRule type="cellIs" dxfId="70" priority="353" stopIfTrue="1" operator="equal">
      <formula>"W"</formula>
    </cfRule>
  </conditionalFormatting>
  <conditionalFormatting sqref="F85:H91">
    <cfRule type="cellIs" dxfId="69" priority="347" stopIfTrue="1" operator="equal">
      <formula>"W"</formula>
    </cfRule>
  </conditionalFormatting>
  <conditionalFormatting sqref="F88:H91">
    <cfRule type="cellIs" dxfId="68" priority="951" stopIfTrue="1" operator="equal">
      <formula>"R"</formula>
    </cfRule>
    <cfRule type="cellIs" dxfId="67" priority="952" stopIfTrue="1" operator="equal">
      <formula>"rw"</formula>
    </cfRule>
  </conditionalFormatting>
  <conditionalFormatting sqref="F97:H100">
    <cfRule type="cellIs" dxfId="66" priority="786" stopIfTrue="1" operator="equal">
      <formula>"R"</formula>
    </cfRule>
    <cfRule type="cellIs" dxfId="65" priority="785" stopIfTrue="1" operator="equal">
      <formula>"W"</formula>
    </cfRule>
    <cfRule type="cellIs" dxfId="64" priority="787" stopIfTrue="1" operator="equal">
      <formula>"rw"</formula>
    </cfRule>
  </conditionalFormatting>
  <conditionalFormatting sqref="F127:H127">
    <cfRule type="cellIs" dxfId="63" priority="867" stopIfTrue="1" operator="equal">
      <formula>"W"</formula>
    </cfRule>
    <cfRule type="cellIs" dxfId="62" priority="868" stopIfTrue="1" operator="equal">
      <formula>"R"</formula>
    </cfRule>
    <cfRule type="cellIs" dxfId="61" priority="869" stopIfTrue="1" operator="equal">
      <formula>"rw"</formula>
    </cfRule>
  </conditionalFormatting>
  <conditionalFormatting sqref="F146:H146">
    <cfRule type="cellIs" dxfId="60" priority="862" stopIfTrue="1" operator="equal">
      <formula>"W"</formula>
    </cfRule>
    <cfRule type="cellIs" dxfId="59" priority="864" stopIfTrue="1" operator="equal">
      <formula>"rw"</formula>
    </cfRule>
    <cfRule type="cellIs" dxfId="58" priority="863" stopIfTrue="1" operator="equal">
      <formula>"R"</formula>
    </cfRule>
  </conditionalFormatting>
  <conditionalFormatting sqref="F159:H159">
    <cfRule type="cellIs" dxfId="57" priority="859" stopIfTrue="1" operator="equal">
      <formula>"rw"</formula>
    </cfRule>
    <cfRule type="cellIs" dxfId="56" priority="857" stopIfTrue="1" operator="equal">
      <formula>"W"</formula>
    </cfRule>
    <cfRule type="cellIs" dxfId="55" priority="858" stopIfTrue="1" operator="equal">
      <formula>"R"</formula>
    </cfRule>
  </conditionalFormatting>
  <conditionalFormatting sqref="F173:H173">
    <cfRule type="cellIs" dxfId="54" priority="767" stopIfTrue="1" operator="equal">
      <formula>"W"</formula>
    </cfRule>
    <cfRule type="cellIs" dxfId="53" priority="768" stopIfTrue="1" operator="equal">
      <formula>"R"</formula>
    </cfRule>
    <cfRule type="cellIs" dxfId="52" priority="769" stopIfTrue="1" operator="equal">
      <formula>"rw"</formula>
    </cfRule>
  </conditionalFormatting>
  <conditionalFormatting sqref="G30:G33">
    <cfRule type="cellIs" dxfId="51" priority="772" stopIfTrue="1" operator="equal">
      <formula>"W"</formula>
    </cfRule>
    <cfRule type="cellIs" dxfId="50" priority="773" stopIfTrue="1" operator="equal">
      <formula>"R"</formula>
    </cfRule>
    <cfRule type="cellIs" dxfId="49" priority="774" stopIfTrue="1" operator="equal">
      <formula>"rw"</formula>
    </cfRule>
  </conditionalFormatting>
  <conditionalFormatting sqref="H12:H20">
    <cfRule type="cellIs" dxfId="48" priority="960" stopIfTrue="1" operator="equal">
      <formula>"R"</formula>
    </cfRule>
    <cfRule type="cellIs" dxfId="47" priority="959" stopIfTrue="1" operator="equal">
      <formula>"W"</formula>
    </cfRule>
    <cfRule type="cellIs" dxfId="46" priority="961" stopIfTrue="1" operator="equal">
      <formula>"rw"</formula>
    </cfRule>
  </conditionalFormatting>
  <conditionalFormatting sqref="H22 H24:H25">
    <cfRule type="cellIs" dxfId="45" priority="982" stopIfTrue="1" operator="equal">
      <formula>"W"</formula>
    </cfRule>
    <cfRule type="cellIs" dxfId="44" priority="984" stopIfTrue="1" operator="equal">
      <formula>"rw"</formula>
    </cfRule>
    <cfRule type="cellIs" dxfId="43" priority="983" stopIfTrue="1" operator="equal">
      <formula>"R"</formula>
    </cfRule>
  </conditionalFormatting>
  <conditionalFormatting sqref="H27:H33">
    <cfRule type="cellIs" dxfId="42" priority="980" stopIfTrue="1" operator="equal">
      <formula>"R"</formula>
    </cfRule>
    <cfRule type="cellIs" dxfId="41" priority="979" stopIfTrue="1" operator="equal">
      <formula>"W"</formula>
    </cfRule>
    <cfRule type="cellIs" dxfId="40" priority="981" stopIfTrue="1" operator="equal">
      <formula>"rw"</formula>
    </cfRule>
  </conditionalFormatting>
  <conditionalFormatting sqref="H37">
    <cfRule type="cellIs" dxfId="39" priority="974" stopIfTrue="1" operator="equal">
      <formula>"W"</formula>
    </cfRule>
    <cfRule type="cellIs" dxfId="38" priority="975" stopIfTrue="1" operator="equal">
      <formula>"R"</formula>
    </cfRule>
    <cfRule type="cellIs" dxfId="37" priority="976" stopIfTrue="1" operator="equal">
      <formula>"rw"</formula>
    </cfRule>
  </conditionalFormatting>
  <conditionalFormatting sqref="H57:H58">
    <cfRule type="cellIs" dxfId="36" priority="991" stopIfTrue="1" operator="equal">
      <formula>"R"</formula>
    </cfRule>
    <cfRule type="cellIs" dxfId="35" priority="992" stopIfTrue="1" operator="equal">
      <formula>"rw"</formula>
    </cfRule>
    <cfRule type="cellIs" dxfId="34" priority="990" stopIfTrue="1" operator="equal">
      <formula>"W"</formula>
    </cfRule>
  </conditionalFormatting>
  <conditionalFormatting sqref="H63:H68">
    <cfRule type="cellIs" dxfId="33" priority="965" stopIfTrue="1" operator="equal">
      <formula>"W"</formula>
    </cfRule>
    <cfRule type="cellIs" dxfId="32" priority="966" stopIfTrue="1" operator="equal">
      <formula>"R"</formula>
    </cfRule>
    <cfRule type="cellIs" dxfId="31" priority="967" stopIfTrue="1" operator="equal">
      <formula>"rw"</formula>
    </cfRule>
  </conditionalFormatting>
  <conditionalFormatting sqref="H71">
    <cfRule type="cellIs" dxfId="30" priority="968" stopIfTrue="1" operator="equal">
      <formula>"W"</formula>
    </cfRule>
    <cfRule type="cellIs" dxfId="29" priority="969" stopIfTrue="1" operator="equal">
      <formula>"R"</formula>
    </cfRule>
    <cfRule type="cellIs" dxfId="28" priority="970" stopIfTrue="1" operator="equal">
      <formula>"rw"</formula>
    </cfRule>
  </conditionalFormatting>
  <conditionalFormatting sqref="H73:H74 F75:H75 H76 H84">
    <cfRule type="cellIs" dxfId="27" priority="818" stopIfTrue="1" operator="equal">
      <formula>"W"</formula>
    </cfRule>
  </conditionalFormatting>
  <conditionalFormatting sqref="H73:H74 F75:H75">
    <cfRule type="cellIs" dxfId="26" priority="820" stopIfTrue="1" operator="equal">
      <formula>"rw"</formula>
    </cfRule>
    <cfRule type="cellIs" dxfId="25" priority="819" stopIfTrue="1" operator="equal">
      <formula>"R"</formula>
    </cfRule>
  </conditionalFormatting>
  <conditionalFormatting sqref="H84">
    <cfRule type="cellIs" dxfId="24" priority="958" stopIfTrue="1" operator="equal">
      <formula>"rw"</formula>
    </cfRule>
    <cfRule type="cellIs" dxfId="23" priority="957" stopIfTrue="1" operator="equal">
      <formula>"R"</formula>
    </cfRule>
  </conditionalFormatting>
  <conditionalFormatting sqref="H92 F130:G130 G131 F137:H137">
    <cfRule type="cellIs" dxfId="22" priority="972" stopIfTrue="1" operator="equal">
      <formula>"R"</formula>
    </cfRule>
    <cfRule type="cellIs" dxfId="21" priority="973" stopIfTrue="1" operator="equal">
      <formula>"rw"</formula>
    </cfRule>
  </conditionalFormatting>
  <conditionalFormatting sqref="H94:H97">
    <cfRule type="cellIs" dxfId="20" priority="893" stopIfTrue="1" operator="equal">
      <formula>"rw"</formula>
    </cfRule>
    <cfRule type="cellIs" dxfId="19" priority="892" stopIfTrue="1" operator="equal">
      <formula>"R"</formula>
    </cfRule>
    <cfRule type="cellIs" dxfId="18" priority="891" stopIfTrue="1" operator="equal">
      <formula>"W"</formula>
    </cfRule>
  </conditionalFormatting>
  <conditionalFormatting sqref="H106:H109 F110:H110">
    <cfRule type="cellIs" dxfId="17" priority="872" stopIfTrue="1" operator="equal">
      <formula>"W"</formula>
    </cfRule>
    <cfRule type="cellIs" dxfId="16" priority="874" stopIfTrue="1" operator="equal">
      <formula>"rw"</formula>
    </cfRule>
    <cfRule type="cellIs" dxfId="15" priority="873" stopIfTrue="1" operator="equal">
      <formula>"R"</formula>
    </cfRule>
  </conditionalFormatting>
  <conditionalFormatting sqref="H160:H165">
    <cfRule type="cellIs" dxfId="14" priority="853" stopIfTrue="1" operator="equal">
      <formula>"rw"</formula>
    </cfRule>
    <cfRule type="cellIs" dxfId="13" priority="852" stopIfTrue="1" operator="equal">
      <formula>"R"</formula>
    </cfRule>
    <cfRule type="cellIs" dxfId="12" priority="851" stopIfTrue="1" operator="equal">
      <formula>"W"</formula>
    </cfRule>
  </conditionalFormatting>
  <conditionalFormatting sqref="H169 H171:H172">
    <cfRule type="cellIs" dxfId="11" priority="855" stopIfTrue="1" operator="equal">
      <formula>"R"</formula>
    </cfRule>
    <cfRule type="cellIs" dxfId="10" priority="856" stopIfTrue="1" operator="equal">
      <formula>"rw"</formula>
    </cfRule>
    <cfRule type="cellIs" dxfId="9" priority="854" stopIfTrue="1" operator="equal">
      <formula>"W"</formula>
    </cfRule>
  </conditionalFormatting>
  <conditionalFormatting sqref="H174:H179">
    <cfRule type="cellIs" dxfId="8" priority="759" stopIfTrue="1" operator="equal">
      <formula>"W"</formula>
    </cfRule>
    <cfRule type="cellIs" dxfId="7" priority="760" stopIfTrue="1" operator="equal">
      <formula>"R"</formula>
    </cfRule>
    <cfRule type="cellIs" dxfId="6" priority="761" stopIfTrue="1" operator="equal">
      <formula>"rw"</formula>
    </cfRule>
  </conditionalFormatting>
  <conditionalFormatting sqref="H184">
    <cfRule type="cellIs" dxfId="5" priority="762" stopIfTrue="1" operator="equal">
      <formula>"W"</formula>
    </cfRule>
    <cfRule type="cellIs" dxfId="4" priority="763" stopIfTrue="1" operator="equal">
      <formula>"R"</formula>
    </cfRule>
    <cfRule type="cellIs" dxfId="3" priority="764" stopIfTrue="1" operator="equal">
      <formula>"rw"</formula>
    </cfRule>
  </conditionalFormatting>
  <conditionalFormatting sqref="H186:H187">
    <cfRule type="cellIs" dxfId="2" priority="753" stopIfTrue="1" operator="equal">
      <formula>"W"</formula>
    </cfRule>
    <cfRule type="cellIs" dxfId="1" priority="754" stopIfTrue="1" operator="equal">
      <formula>"R"</formula>
    </cfRule>
    <cfRule type="cellIs" dxfId="0" priority="755" stopIfTrue="1" operator="equal">
      <formula>"rw"</formula>
    </cfRule>
  </conditionalFormatting>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CA26B-2EAF-47D0-9595-A73F54893052}">
  <dimension ref="B3:P17"/>
  <sheetViews>
    <sheetView workbookViewId="0">
      <selection activeCell="H30" sqref="H30"/>
    </sheetView>
  </sheetViews>
  <sheetFormatPr defaultRowHeight="14.5" x14ac:dyDescent="0.35"/>
  <cols>
    <col min="2" max="2" width="17.81640625" bestFit="1" customWidth="1"/>
    <col min="3" max="3" width="7.453125" style="77" bestFit="1" customWidth="1"/>
    <col min="4" max="4" width="4.81640625" style="77" bestFit="1" customWidth="1"/>
    <col min="5" max="5" width="10.453125" style="77" customWidth="1"/>
    <col min="6" max="6" width="4" style="77" bestFit="1" customWidth="1"/>
    <col min="7" max="7" width="9" style="77" bestFit="1" customWidth="1"/>
    <col min="8" max="8" width="9.54296875" style="77" bestFit="1" customWidth="1"/>
    <col min="9" max="14" width="6.26953125" style="77" bestFit="1" customWidth="1"/>
    <col min="15" max="15" width="8.1796875" style="77" bestFit="1" customWidth="1"/>
    <col min="16" max="16" width="9.1796875" style="80"/>
  </cols>
  <sheetData>
    <row r="3" spans="2:16" s="42" customFormat="1" ht="39" x14ac:dyDescent="0.35">
      <c r="B3" s="79" t="s">
        <v>308</v>
      </c>
      <c r="C3" s="79" t="s">
        <v>309</v>
      </c>
      <c r="D3" s="79" t="s">
        <v>310</v>
      </c>
      <c r="E3" s="79" t="s">
        <v>311</v>
      </c>
      <c r="F3" s="79" t="s">
        <v>312</v>
      </c>
      <c r="G3" s="79" t="s">
        <v>313</v>
      </c>
      <c r="H3" s="79" t="s">
        <v>314</v>
      </c>
      <c r="I3" s="79" t="s">
        <v>315</v>
      </c>
      <c r="J3" s="79" t="s">
        <v>316</v>
      </c>
      <c r="K3" s="79" t="s">
        <v>317</v>
      </c>
      <c r="L3" s="79" t="s">
        <v>318</v>
      </c>
      <c r="M3" s="79" t="s">
        <v>319</v>
      </c>
      <c r="N3" s="79" t="s">
        <v>320</v>
      </c>
      <c r="O3" s="79" t="s">
        <v>321</v>
      </c>
    </row>
    <row r="4" spans="2:16" x14ac:dyDescent="0.35">
      <c r="B4" s="9" t="s">
        <v>322</v>
      </c>
      <c r="C4" s="78">
        <f>'EZ1 Inbound'!U7</f>
        <v>34</v>
      </c>
      <c r="D4" s="78">
        <f>'EZ2 ASRS'!U7</f>
        <v>38</v>
      </c>
      <c r="E4" s="78">
        <f>'EZ17 OB to Man Unwrapping'!U7</f>
        <v>30</v>
      </c>
      <c r="F4" s="78">
        <f>'EZ10 GTP'!U7</f>
        <v>21</v>
      </c>
      <c r="G4" s="78">
        <f>'EZ3 Outbound'!U7</f>
        <v>31</v>
      </c>
      <c r="H4" s="78">
        <f>'EZ4 Flammable'!U7</f>
        <v>5</v>
      </c>
      <c r="I4" s="78">
        <f>'EZ5 Prod G AMB'!U7</f>
        <v>36</v>
      </c>
      <c r="J4" s="78">
        <f>'EZ7 Prod G Cold'!U7</f>
        <v>42</v>
      </c>
      <c r="K4" s="78">
        <f>'EZ6 Prod G floor'!U7</f>
        <v>10</v>
      </c>
      <c r="L4" s="78">
        <f>'EZ8 Prod G+1&amp;2 AMB'!U7</f>
        <v>49</v>
      </c>
      <c r="M4" s="78">
        <f>'EZ9 Prod G+1&amp;2 Cold'!U7</f>
        <v>47</v>
      </c>
      <c r="N4" s="78">
        <f>'EZ15 Prod G 10M AMB'!U7</f>
        <v>21</v>
      </c>
      <c r="O4" s="78">
        <f>'EZ16 Prod G+1 10M AMB'!U7</f>
        <v>35</v>
      </c>
      <c r="P4" s="80">
        <f>SUM(C4:O4)</f>
        <v>399</v>
      </c>
    </row>
    <row r="5" spans="2:16" x14ac:dyDescent="0.35">
      <c r="B5" s="9" t="s">
        <v>323</v>
      </c>
      <c r="C5" s="78">
        <f>'EZ1 Inbound'!U8</f>
        <v>8</v>
      </c>
      <c r="D5" s="78">
        <f>'EZ2 ASRS'!U8</f>
        <v>12</v>
      </c>
      <c r="E5" s="78">
        <f>'EZ17 OB to Man Unwrapping'!U8</f>
        <v>5</v>
      </c>
      <c r="F5" s="78">
        <f>'EZ10 GTP'!U8</f>
        <v>7</v>
      </c>
      <c r="G5" s="78">
        <f>'EZ3 Outbound'!U8</f>
        <v>9</v>
      </c>
      <c r="H5" s="78">
        <f>'EZ4 Flammable'!U8</f>
        <v>1</v>
      </c>
      <c r="I5" s="78">
        <f>'EZ5 Prod G AMB'!U8</f>
        <v>10</v>
      </c>
      <c r="J5" s="78">
        <f>'EZ7 Prod G Cold'!U8</f>
        <v>6</v>
      </c>
      <c r="K5" s="78">
        <f>'EZ6 Prod G floor'!U8</f>
        <v>6</v>
      </c>
      <c r="L5" s="78">
        <f>'EZ8 Prod G+1&amp;2 AMB'!U8</f>
        <v>14</v>
      </c>
      <c r="M5" s="78">
        <f>'EZ9 Prod G+1&amp;2 Cold'!U8</f>
        <v>15</v>
      </c>
      <c r="N5" s="78">
        <f>'EZ15 Prod G 10M AMB'!U8</f>
        <v>6</v>
      </c>
      <c r="O5" s="78">
        <f>'EZ16 Prod G+1 10M AMB'!U8</f>
        <v>7</v>
      </c>
      <c r="P5" s="80">
        <f t="shared" ref="P5:P17" si="0">SUM(C5:O5)</f>
        <v>106</v>
      </c>
    </row>
    <row r="6" spans="2:16" x14ac:dyDescent="0.35">
      <c r="B6" s="9" t="s">
        <v>324</v>
      </c>
      <c r="C6" s="78">
        <f>'EZ1 Inbound'!U9</f>
        <v>8</v>
      </c>
      <c r="D6" s="78">
        <f>'EZ2 ASRS'!U9</f>
        <v>12</v>
      </c>
      <c r="E6" s="78">
        <f>'EZ17 OB to Man Unwrapping'!U9</f>
        <v>4</v>
      </c>
      <c r="F6" s="78">
        <f>'EZ10 GTP'!U9</f>
        <v>5</v>
      </c>
      <c r="G6" s="78">
        <f>'EZ3 Outbound'!U9</f>
        <v>9</v>
      </c>
      <c r="H6" s="78" t="e">
        <f>'EZ4 Flammable'!#REF!</f>
        <v>#REF!</v>
      </c>
      <c r="I6" s="78">
        <f>'EZ5 Prod G AMB'!U9</f>
        <v>9</v>
      </c>
      <c r="J6" s="78">
        <f>'EZ7 Prod G Cold'!U9</f>
        <v>6</v>
      </c>
      <c r="K6" s="78">
        <f>'EZ6 Prod G floor'!U9</f>
        <v>3</v>
      </c>
      <c r="L6" s="78">
        <f>'EZ8 Prod G+1&amp;2 AMB'!U9</f>
        <v>15</v>
      </c>
      <c r="M6" s="78">
        <f>'EZ9 Prod G+1&amp;2 Cold'!U9</f>
        <v>21</v>
      </c>
      <c r="N6" s="78">
        <f>'EZ15 Prod G 10M AMB'!U9</f>
        <v>6</v>
      </c>
      <c r="O6" s="78">
        <f>'EZ16 Prod G+1 10M AMB'!U9</f>
        <v>11</v>
      </c>
      <c r="P6" s="80" t="e">
        <f t="shared" si="0"/>
        <v>#REF!</v>
      </c>
    </row>
    <row r="7" spans="2:16" x14ac:dyDescent="0.35">
      <c r="B7" s="9" t="s">
        <v>325</v>
      </c>
      <c r="C7" s="78">
        <f>'EZ1 Inbound'!U10</f>
        <v>5</v>
      </c>
      <c r="D7" s="78">
        <f>'EZ2 ASRS'!U10</f>
        <v>4</v>
      </c>
      <c r="E7" s="78">
        <f>'EZ17 OB to Man Unwrapping'!U10</f>
        <v>0</v>
      </c>
      <c r="F7" s="78">
        <f>'EZ10 GTP'!U10</f>
        <v>2</v>
      </c>
      <c r="G7" s="78">
        <f>'EZ3 Outbound'!U10</f>
        <v>9</v>
      </c>
      <c r="H7" s="78">
        <f>'EZ4 Flammable'!U9</f>
        <v>1</v>
      </c>
      <c r="I7" s="78">
        <f>'EZ5 Prod G AMB'!U10</f>
        <v>2</v>
      </c>
      <c r="J7" s="78">
        <f>'EZ7 Prod G Cold'!U10</f>
        <v>23</v>
      </c>
      <c r="K7" s="78">
        <f>'EZ6 Prod G floor'!U10</f>
        <v>2</v>
      </c>
      <c r="L7" s="78">
        <f>'EZ8 Prod G+1&amp;2 AMB'!U10</f>
        <v>4</v>
      </c>
      <c r="M7" s="78">
        <f>'EZ9 Prod G+1&amp;2 Cold'!U10</f>
        <v>4</v>
      </c>
      <c r="N7" s="78">
        <f>'EZ15 Prod G 10M AMB'!U10</f>
        <v>2</v>
      </c>
      <c r="O7" s="78">
        <f>'EZ16 Prod G+1 10M AMB'!U10</f>
        <v>2</v>
      </c>
      <c r="P7" s="80">
        <f t="shared" si="0"/>
        <v>60</v>
      </c>
    </row>
    <row r="8" spans="2:16" x14ac:dyDescent="0.35">
      <c r="B8" s="9" t="s">
        <v>326</v>
      </c>
      <c r="C8" s="78">
        <f>'EZ1 Inbound'!U11</f>
        <v>5</v>
      </c>
      <c r="D8" s="78">
        <f>'EZ2 ASRS'!U11</f>
        <v>5</v>
      </c>
      <c r="E8" s="78">
        <f>'EZ17 OB to Man Unwrapping'!U11</f>
        <v>3</v>
      </c>
      <c r="F8" s="78">
        <f>'EZ10 GTP'!U11</f>
        <v>3</v>
      </c>
      <c r="G8" s="78">
        <f>'EZ3 Outbound'!U11</f>
        <v>11</v>
      </c>
      <c r="H8" s="78">
        <f>'EZ4 Flammable'!U10</f>
        <v>1</v>
      </c>
      <c r="I8" s="78">
        <f>'EZ5 Prod G AMB'!U11</f>
        <v>3</v>
      </c>
      <c r="J8" s="78">
        <f>'EZ7 Prod G Cold'!U11</f>
        <v>22</v>
      </c>
      <c r="K8" s="78">
        <f>'EZ6 Prod G floor'!U11</f>
        <v>2</v>
      </c>
      <c r="L8" s="78">
        <f>'EZ8 Prod G+1&amp;2 AMB'!U11</f>
        <v>6</v>
      </c>
      <c r="M8" s="78">
        <f>'EZ9 Prod G+1&amp;2 Cold'!U11</f>
        <v>4</v>
      </c>
      <c r="N8" s="78">
        <f>'EZ15 Prod G 10M AMB'!U11</f>
        <v>1</v>
      </c>
      <c r="O8" s="78">
        <f>'EZ16 Prod G+1 10M AMB'!U11</f>
        <v>1</v>
      </c>
      <c r="P8" s="80">
        <f t="shared" si="0"/>
        <v>67</v>
      </c>
    </row>
    <row r="9" spans="2:16" x14ac:dyDescent="0.35">
      <c r="B9" s="9" t="s">
        <v>327</v>
      </c>
      <c r="C9" s="78">
        <f>'EZ1 Inbound'!U12</f>
        <v>4</v>
      </c>
      <c r="D9" s="78">
        <f>'EZ2 ASRS'!U12</f>
        <v>0</v>
      </c>
      <c r="E9" s="78">
        <f>'EZ17 OB to Man Unwrapping'!U12</f>
        <v>0</v>
      </c>
      <c r="F9" s="78">
        <f>'EZ10 GTP'!U12</f>
        <v>3</v>
      </c>
      <c r="G9" s="78">
        <f>'EZ3 Outbound'!U12</f>
        <v>4</v>
      </c>
      <c r="H9" s="78">
        <f>'EZ4 Flammable'!U11</f>
        <v>0</v>
      </c>
      <c r="I9" s="78">
        <f>'EZ5 Prod G AMB'!U12</f>
        <v>4</v>
      </c>
      <c r="J9" s="78">
        <f>'EZ7 Prod G Cold'!U12</f>
        <v>2</v>
      </c>
      <c r="K9" s="78">
        <f>'EZ6 Prod G floor'!U12</f>
        <v>1</v>
      </c>
      <c r="L9" s="78">
        <f>'EZ8 Prod G+1&amp;2 AMB'!U12</f>
        <v>2</v>
      </c>
      <c r="M9" s="78">
        <f>'EZ9 Prod G+1&amp;2 Cold'!U12</f>
        <v>2</v>
      </c>
      <c r="N9" s="78">
        <f>'EZ15 Prod G 10M AMB'!U12</f>
        <v>2</v>
      </c>
      <c r="O9" s="78">
        <f>'EZ16 Prod G+1 10M AMB'!U12</f>
        <v>1</v>
      </c>
      <c r="P9" s="80">
        <f t="shared" si="0"/>
        <v>25</v>
      </c>
    </row>
    <row r="10" spans="2:16" x14ac:dyDescent="0.35">
      <c r="B10" s="9" t="s">
        <v>328</v>
      </c>
      <c r="C10" s="78">
        <f>'EZ1 Inbound'!U13</f>
        <v>1</v>
      </c>
      <c r="D10" s="78">
        <f>'EZ2 ASRS'!U13</f>
        <v>0</v>
      </c>
      <c r="E10" s="78">
        <f>'EZ17 OB to Man Unwrapping'!U13</f>
        <v>0</v>
      </c>
      <c r="F10" s="78">
        <f>'EZ10 GTP'!U13</f>
        <v>0</v>
      </c>
      <c r="G10" s="78">
        <f>'EZ3 Outbound'!U13</f>
        <v>1</v>
      </c>
      <c r="H10" s="78">
        <f>'EZ4 Flammable'!U12</f>
        <v>0</v>
      </c>
      <c r="I10" s="78">
        <f>'EZ5 Prod G AMB'!U13</f>
        <v>2</v>
      </c>
      <c r="J10" s="78">
        <f>'EZ7 Prod G Cold'!U13</f>
        <v>2</v>
      </c>
      <c r="K10" s="78">
        <f>'EZ6 Prod G floor'!U13</f>
        <v>1</v>
      </c>
      <c r="L10" s="78">
        <f>'EZ8 Prod G+1&amp;2 AMB'!U13</f>
        <v>2</v>
      </c>
      <c r="M10" s="78">
        <f>'EZ9 Prod G+1&amp;2 Cold'!U13</f>
        <v>2</v>
      </c>
      <c r="N10" s="78">
        <f>'EZ15 Prod G 10M AMB'!U13</f>
        <v>2</v>
      </c>
      <c r="O10" s="78">
        <f>'EZ16 Prod G+1 10M AMB'!U13</f>
        <v>1</v>
      </c>
      <c r="P10" s="80">
        <f t="shared" si="0"/>
        <v>14</v>
      </c>
    </row>
    <row r="11" spans="2:16" x14ac:dyDescent="0.35">
      <c r="B11" s="9" t="s">
        <v>329</v>
      </c>
      <c r="C11" s="78">
        <f>'EZ1 Inbound'!U14</f>
        <v>0</v>
      </c>
      <c r="D11" s="78">
        <f>'EZ2 ASRS'!U14</f>
        <v>0</v>
      </c>
      <c r="E11" s="78">
        <f>'EZ17 OB to Man Unwrapping'!U14</f>
        <v>2</v>
      </c>
      <c r="F11" s="78">
        <f>'EZ10 GTP'!U14</f>
        <v>0</v>
      </c>
      <c r="G11" s="78">
        <f>'EZ3 Outbound'!U14</f>
        <v>0</v>
      </c>
      <c r="H11" s="78">
        <f>'EZ4 Flammable'!U13</f>
        <v>0</v>
      </c>
      <c r="I11" s="78">
        <f>'EZ5 Prod G AMB'!U14</f>
        <v>0</v>
      </c>
      <c r="J11" s="78">
        <f>'EZ7 Prod G Cold'!U14</f>
        <v>0</v>
      </c>
      <c r="K11" s="78">
        <f>'EZ6 Prod G floor'!U14</f>
        <v>0</v>
      </c>
      <c r="L11" s="78">
        <f>'EZ8 Prod G+1&amp;2 AMB'!U14</f>
        <v>0</v>
      </c>
      <c r="M11" s="78">
        <f>'EZ9 Prod G+1&amp;2 Cold'!U14</f>
        <v>0</v>
      </c>
      <c r="N11" s="78">
        <f>'EZ15 Prod G 10M AMB'!U14</f>
        <v>0</v>
      </c>
      <c r="O11" s="78">
        <f>'EZ16 Prod G+1 10M AMB'!U14</f>
        <v>1</v>
      </c>
      <c r="P11" s="80">
        <f t="shared" si="0"/>
        <v>3</v>
      </c>
    </row>
    <row r="12" spans="2:16" x14ac:dyDescent="0.35">
      <c r="B12" s="9" t="s">
        <v>185</v>
      </c>
      <c r="C12" s="78">
        <f>'EZ1 Inbound'!U15</f>
        <v>1</v>
      </c>
      <c r="D12" s="78">
        <f>'EZ2 ASRS'!U15</f>
        <v>0</v>
      </c>
      <c r="E12" s="78">
        <f>'EZ17 OB to Man Unwrapping'!U15</f>
        <v>0</v>
      </c>
      <c r="F12" s="78">
        <f>'EZ10 GTP'!U15</f>
        <v>0</v>
      </c>
      <c r="G12" s="78">
        <f>'EZ3 Outbound'!U15</f>
        <v>1</v>
      </c>
      <c r="H12" s="78">
        <f>'EZ4 Flammable'!U10</f>
        <v>1</v>
      </c>
      <c r="I12" s="78">
        <f>'EZ5 Prod G AMB'!U15</f>
        <v>0</v>
      </c>
      <c r="J12" s="78">
        <f>'EZ7 Prod G Cold'!U15</f>
        <v>0</v>
      </c>
      <c r="K12" s="78">
        <f>'EZ6 Prod G floor'!U15</f>
        <v>0</v>
      </c>
      <c r="L12" s="78">
        <f>'EZ8 Prod G+1&amp;2 AMB'!U15</f>
        <v>0</v>
      </c>
      <c r="M12" s="78">
        <f>'EZ9 Prod G+1&amp;2 Cold'!U15</f>
        <v>0</v>
      </c>
      <c r="N12" s="78">
        <f>'EZ15 Prod G 10M AMB'!U15</f>
        <v>0</v>
      </c>
      <c r="O12" s="78">
        <f>'EZ16 Prod G+1 10M AMB'!U15</f>
        <v>0</v>
      </c>
      <c r="P12" s="80">
        <f t="shared" si="0"/>
        <v>3</v>
      </c>
    </row>
    <row r="13" spans="2:16" x14ac:dyDescent="0.35">
      <c r="B13" s="9" t="s">
        <v>330</v>
      </c>
      <c r="C13" s="78">
        <f>'EZ1 Inbound'!U16</f>
        <v>1</v>
      </c>
      <c r="D13" s="78">
        <f>'EZ2 ASRS'!U16</f>
        <v>0</v>
      </c>
      <c r="E13" s="78">
        <f>'EZ17 OB to Man Unwrapping'!U16</f>
        <v>0</v>
      </c>
      <c r="F13" s="78">
        <f>'EZ10 GTP'!U16</f>
        <v>0</v>
      </c>
      <c r="G13" s="78">
        <f>'EZ3 Outbound'!U16</f>
        <v>1</v>
      </c>
      <c r="H13" s="78">
        <f>'EZ4 Flammable'!U11</f>
        <v>0</v>
      </c>
      <c r="I13" s="78">
        <f>'EZ5 Prod G AMB'!U16</f>
        <v>0</v>
      </c>
      <c r="J13" s="78">
        <f>'EZ7 Prod G Cold'!U16</f>
        <v>0</v>
      </c>
      <c r="K13" s="78">
        <f>'EZ6 Prod G floor'!U16</f>
        <v>0</v>
      </c>
      <c r="L13" s="78">
        <f>'EZ8 Prod G+1&amp;2 AMB'!U16</f>
        <v>1</v>
      </c>
      <c r="M13" s="78">
        <f>'EZ9 Prod G+1&amp;2 Cold'!U16</f>
        <v>0</v>
      </c>
      <c r="N13" s="78">
        <f>'EZ15 Prod G 10M AMB'!U16</f>
        <v>0</v>
      </c>
      <c r="O13" s="78">
        <f>'EZ16 Prod G+1 10M AMB'!U16</f>
        <v>1</v>
      </c>
      <c r="P13" s="80">
        <f t="shared" si="0"/>
        <v>4</v>
      </c>
    </row>
    <row r="14" spans="2:16" x14ac:dyDescent="0.35">
      <c r="B14" s="9" t="s">
        <v>331</v>
      </c>
      <c r="C14" s="78">
        <f>'EZ1 Inbound'!U17</f>
        <v>0</v>
      </c>
      <c r="D14" s="78">
        <f>'EZ2 ASRS'!U17</f>
        <v>0</v>
      </c>
      <c r="E14" s="78">
        <f>'EZ17 OB to Man Unwrapping'!U17</f>
        <v>0</v>
      </c>
      <c r="F14" s="78">
        <f>'EZ10 GTP'!U17</f>
        <v>1</v>
      </c>
      <c r="G14" s="78">
        <f>'EZ3 Outbound'!U17</f>
        <v>4</v>
      </c>
      <c r="H14" s="78">
        <f>'EZ4 Flammable'!U12</f>
        <v>0</v>
      </c>
      <c r="I14" s="78">
        <f>'EZ5 Prod G AMB'!U17</f>
        <v>0</v>
      </c>
      <c r="J14" s="78">
        <f>'EZ7 Prod G Cold'!U17</f>
        <v>21</v>
      </c>
      <c r="K14" s="78">
        <f>'EZ6 Prod G floor'!U17</f>
        <v>3</v>
      </c>
      <c r="L14" s="78">
        <f>'EZ8 Prod G+1&amp;2 AMB'!U17</f>
        <v>2</v>
      </c>
      <c r="M14" s="78">
        <f>'EZ9 Prod G+1&amp;2 Cold'!U17</f>
        <v>2</v>
      </c>
      <c r="N14" s="78">
        <f>'EZ15 Prod G 10M AMB'!U17</f>
        <v>0</v>
      </c>
      <c r="O14" s="78">
        <f>'EZ16 Prod G+1 10M AMB'!U17</f>
        <v>1</v>
      </c>
      <c r="P14" s="80">
        <f t="shared" si="0"/>
        <v>34</v>
      </c>
    </row>
    <row r="15" spans="2:16" x14ac:dyDescent="0.35">
      <c r="B15" s="69" t="s">
        <v>201</v>
      </c>
      <c r="C15" s="78">
        <f>'EZ1 Inbound'!U18</f>
        <v>0</v>
      </c>
      <c r="D15" s="78">
        <f>'EZ2 ASRS'!U18</f>
        <v>0</v>
      </c>
      <c r="E15" s="78">
        <f>'EZ17 OB to Man Unwrapping'!U18</f>
        <v>0</v>
      </c>
      <c r="F15" s="78">
        <f>'EZ10 GTP'!U18</f>
        <v>2</v>
      </c>
      <c r="G15" s="78">
        <f>'EZ3 Outbound'!U18</f>
        <v>0</v>
      </c>
      <c r="H15" s="78">
        <f>'EZ4 Flammable'!U13</f>
        <v>0</v>
      </c>
      <c r="I15" s="78">
        <f>'EZ5 Prod G AMB'!U18</f>
        <v>5</v>
      </c>
      <c r="J15" s="78">
        <f>'EZ7 Prod G Cold'!U18</f>
        <v>3</v>
      </c>
      <c r="K15" s="78">
        <f>'EZ6 Prod G floor'!V18</f>
        <v>0</v>
      </c>
      <c r="L15" s="78">
        <f>'EZ8 Prod G+1&amp;2 AMB'!U18</f>
        <v>0</v>
      </c>
      <c r="M15" s="78">
        <f>'EZ9 Prod G+1&amp;2 Cold'!U18</f>
        <v>0</v>
      </c>
      <c r="N15" s="78">
        <f>'EZ15 Prod G 10M AMB'!U18</f>
        <v>3</v>
      </c>
      <c r="O15" s="78">
        <f>'EZ16 Prod G+1 10M AMB'!U18</f>
        <v>1</v>
      </c>
      <c r="P15" s="80">
        <f t="shared" si="0"/>
        <v>14</v>
      </c>
    </row>
    <row r="16" spans="2:16" x14ac:dyDescent="0.35">
      <c r="B16" s="69" t="s">
        <v>332</v>
      </c>
      <c r="C16" s="78">
        <f>'EZ1 Inbound'!U19</f>
        <v>0</v>
      </c>
      <c r="D16" s="78">
        <f>'EZ2 ASRS'!U19</f>
        <v>0</v>
      </c>
      <c r="E16" s="78">
        <f>'EZ17 OB to Man Unwrapping'!U19</f>
        <v>0</v>
      </c>
      <c r="F16" s="78">
        <f>'EZ10 GTP'!U19</f>
        <v>0</v>
      </c>
      <c r="G16" s="78">
        <f>'EZ3 Outbound'!U19</f>
        <v>0</v>
      </c>
      <c r="H16" s="78">
        <f>'EZ4 Flammable'!V14</f>
        <v>0</v>
      </c>
      <c r="I16" s="78">
        <f>'EZ5 Prod G AMB'!U19</f>
        <v>0</v>
      </c>
      <c r="J16" s="78">
        <f>'EZ7 Prod G Cold'!U19</f>
        <v>0</v>
      </c>
      <c r="K16" s="78">
        <f>'EZ6 Prod G floor'!V19</f>
        <v>2</v>
      </c>
      <c r="L16" s="78">
        <f>'EZ8 Prod G+1&amp;2 AMB'!U19</f>
        <v>0</v>
      </c>
      <c r="M16" s="78">
        <f>'EZ9 Prod G+1&amp;2 Cold'!U19</f>
        <v>2</v>
      </c>
      <c r="N16" s="78">
        <f>'EZ15 Prod G 10M AMB'!U19</f>
        <v>0</v>
      </c>
      <c r="O16" s="78">
        <f>'EZ16 Prod G+1 10M AMB'!U19</f>
        <v>0</v>
      </c>
      <c r="P16" s="80">
        <f t="shared" si="0"/>
        <v>4</v>
      </c>
    </row>
    <row r="17" spans="2:16" x14ac:dyDescent="0.35">
      <c r="B17" s="82" t="s">
        <v>333</v>
      </c>
      <c r="C17" s="78">
        <v>0</v>
      </c>
      <c r="D17" s="78">
        <v>0</v>
      </c>
      <c r="E17" s="78">
        <v>0</v>
      </c>
      <c r="F17" s="78">
        <f>'EZ10 GTP'!U18</f>
        <v>2</v>
      </c>
      <c r="G17" s="78">
        <v>0</v>
      </c>
      <c r="H17" s="78">
        <v>0</v>
      </c>
      <c r="I17" s="78">
        <v>0</v>
      </c>
      <c r="J17" s="78">
        <v>0</v>
      </c>
      <c r="K17" s="78">
        <v>0</v>
      </c>
      <c r="L17" s="78">
        <v>0</v>
      </c>
      <c r="M17" s="78">
        <v>0</v>
      </c>
      <c r="N17" s="78">
        <v>0</v>
      </c>
      <c r="O17" s="78">
        <v>0</v>
      </c>
      <c r="P17" s="80">
        <f t="shared" si="0"/>
        <v>2</v>
      </c>
    </row>
  </sheetData>
  <pageMargins left="0.7" right="0.7" top="0.75" bottom="0.75" header="0.3" footer="0.3"/>
  <ignoredErrors>
    <ignoredError sqref="F16"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0B5A3-70DE-41B4-8E92-0D9C0F755D6E}">
  <dimension ref="A1:AA48"/>
  <sheetViews>
    <sheetView zoomScale="120" zoomScaleNormal="100" workbookViewId="0">
      <selection activeCell="F5" sqref="F5"/>
    </sheetView>
  </sheetViews>
  <sheetFormatPr defaultColWidth="10.54296875" defaultRowHeight="14.5" x14ac:dyDescent="0.35"/>
  <cols>
    <col min="1" max="1" width="7.1796875" style="30" bestFit="1" customWidth="1"/>
    <col min="2" max="2" width="10.26953125" style="30" bestFit="1" customWidth="1"/>
    <col min="3" max="3" width="10.453125" style="30" bestFit="1" customWidth="1"/>
    <col min="4" max="4" width="11.453125" style="30" bestFit="1" customWidth="1"/>
    <col min="5" max="5" width="31.81640625" style="31" bestFit="1" customWidth="1"/>
    <col min="6" max="6" width="19" style="31" bestFit="1" customWidth="1"/>
    <col min="7" max="7" width="19.7265625" style="31" customWidth="1"/>
    <col min="8" max="8" width="14.7265625" style="31" customWidth="1"/>
    <col min="9" max="9" width="18.81640625" customWidth="1"/>
    <col min="10" max="10" width="27.1796875" style="89" bestFit="1" customWidth="1"/>
    <col min="11" max="11" width="16.453125" style="31" bestFit="1" customWidth="1"/>
    <col min="12" max="12" width="17.1796875" style="30" customWidth="1"/>
    <col min="13" max="14" width="15.7265625" style="30" bestFit="1" customWidth="1"/>
    <col min="15" max="15" width="12.26953125" style="30" bestFit="1" customWidth="1"/>
    <col min="16" max="16" width="24.26953125" style="6" customWidth="1"/>
    <col min="17" max="17" width="17.81640625" bestFit="1" customWidth="1"/>
    <col min="18" max="18" width="4.453125" bestFit="1" customWidth="1"/>
    <col min="19" max="19" width="4.7265625" bestFit="1" customWidth="1"/>
    <col min="20" max="20" width="11.26953125" bestFit="1" customWidth="1"/>
    <col min="21" max="21" width="11.54296875" bestFit="1" customWidth="1"/>
    <col min="22" max="22" width="12.26953125" bestFit="1" customWidth="1"/>
    <col min="28" max="16384" width="10.54296875" style="6"/>
  </cols>
  <sheetData>
    <row r="1" spans="1:27" ht="39" x14ac:dyDescent="0.35">
      <c r="A1" s="1" t="s">
        <v>334</v>
      </c>
      <c r="B1" s="2" t="s">
        <v>308</v>
      </c>
      <c r="C1" s="2" t="s">
        <v>335</v>
      </c>
      <c r="D1" s="2" t="s">
        <v>336</v>
      </c>
      <c r="E1" s="3" t="s">
        <v>337</v>
      </c>
      <c r="F1" s="3" t="s">
        <v>338</v>
      </c>
      <c r="G1" s="3" t="s">
        <v>339</v>
      </c>
      <c r="H1" s="3" t="s">
        <v>340</v>
      </c>
      <c r="I1" s="3" t="s">
        <v>341</v>
      </c>
      <c r="J1" s="3" t="s">
        <v>342</v>
      </c>
      <c r="K1" s="4" t="s">
        <v>343</v>
      </c>
      <c r="L1" s="4" t="s">
        <v>344</v>
      </c>
      <c r="M1" s="4" t="s">
        <v>345</v>
      </c>
      <c r="N1" s="5" t="s">
        <v>346</v>
      </c>
      <c r="O1" s="6"/>
      <c r="P1"/>
      <c r="AA1" s="6"/>
    </row>
    <row r="2" spans="1:27" x14ac:dyDescent="0.35">
      <c r="A2" s="7" t="str">
        <f>IF(ISNUMBER(SEARCH("CT",B2)),"1"&amp;MID(B2,2,FIND("CT",B2)-2)&amp;RIGHT(B2,1),MID(B2,2,FIND("C",B2)-2)&amp;RIGHT(B2,1))</f>
        <v>31</v>
      </c>
      <c r="B2" s="8" t="s">
        <v>347</v>
      </c>
      <c r="C2" s="8" t="s">
        <v>309</v>
      </c>
      <c r="D2" s="8">
        <v>1</v>
      </c>
      <c r="E2" s="9" t="str">
        <f>IF(ISNUMBER(SEARCH("CT",B2)),
   "CrossTransferStation[" &amp; (Q$3 + COUNTIF($B$2:B2,"*CT*")-1) &amp; "]",
   IF(AND(ISNUMBER(SEARCH("C",B2)),NOT(ISNUMBER(SEARCH("CT",B2)))),
      "ConveyorStation[" &amp; (Q$2 + COUNTIF($B$2:B2,"*C*") - COUNTIF($B$2:B2,"*CT*")-1) &amp; "]",
      ""))</f>
        <v>ConveyorStation[1]</v>
      </c>
      <c r="F2" s="9" t="s">
        <v>348</v>
      </c>
      <c r="G2" s="9"/>
      <c r="H2" s="9"/>
      <c r="I2" s="9"/>
      <c r="J2" s="9" t="s">
        <v>349</v>
      </c>
      <c r="K2" s="10" t="s">
        <v>350</v>
      </c>
      <c r="L2" s="10" t="s">
        <v>351</v>
      </c>
      <c r="M2" s="10" t="s">
        <v>350</v>
      </c>
      <c r="N2" s="11"/>
      <c r="O2" s="6"/>
      <c r="P2" s="59" t="s">
        <v>352</v>
      </c>
      <c r="Q2" s="56">
        <v>1</v>
      </c>
      <c r="AA2" s="6"/>
    </row>
    <row r="3" spans="1:27" ht="39" x14ac:dyDescent="0.35">
      <c r="A3" s="7" t="str">
        <f t="shared" ref="A3:A43" si="0">IF(ISNUMBER(SEARCH("CT",B3)),"1"&amp;MID(B3,2,FIND("CT",B3)-2)&amp;RIGHT(B3,1),MID(B3,2,FIND("C",B3)-2)&amp;RIGHT(B3,1))</f>
        <v>32</v>
      </c>
      <c r="B3" s="8" t="s">
        <v>353</v>
      </c>
      <c r="C3" s="8" t="s">
        <v>309</v>
      </c>
      <c r="D3" s="8">
        <v>1</v>
      </c>
      <c r="E3" s="9" t="str">
        <f>IF(ISNUMBER(SEARCH("CT",B3)),
   "CrossTransferStation[" &amp; (Q$3 + COUNTIF($B$2:B3,"*CT*")-1) &amp; "]",
   IF(AND(ISNUMBER(SEARCH("C",B3)),NOT(ISNUMBER(SEARCH("CT",B3)))),
      "ConveyorStation[" &amp; (Q$2 + COUNTIF($B$2:B3,"*C*") - COUNTIF($B$2:B3,"*CT*")-1) &amp; "]",
      ""))</f>
        <v>ConveyorStation[2]</v>
      </c>
      <c r="F3" s="9" t="s">
        <v>354</v>
      </c>
      <c r="G3" s="9"/>
      <c r="H3" s="9"/>
      <c r="I3" s="9"/>
      <c r="J3" s="9" t="s">
        <v>355</v>
      </c>
      <c r="K3" s="10" t="s">
        <v>350</v>
      </c>
      <c r="L3" s="10" t="s">
        <v>351</v>
      </c>
      <c r="M3" s="146" t="s">
        <v>351</v>
      </c>
      <c r="N3" s="11"/>
      <c r="O3" s="6"/>
      <c r="P3" s="59" t="s">
        <v>356</v>
      </c>
      <c r="Q3" s="56">
        <v>1</v>
      </c>
      <c r="AA3" s="6"/>
    </row>
    <row r="4" spans="1:27" x14ac:dyDescent="0.35">
      <c r="A4" s="7" t="str">
        <f t="shared" si="0"/>
        <v>33</v>
      </c>
      <c r="B4" s="8" t="s">
        <v>357</v>
      </c>
      <c r="C4" s="8" t="s">
        <v>309</v>
      </c>
      <c r="D4" s="8">
        <v>1</v>
      </c>
      <c r="E4" s="9" t="str">
        <f>IF(ISNUMBER(SEARCH("CT",B4)),
   "CrossTransferStation[" &amp; (Q$3 + COUNTIF($B$2:B4,"*CT*")-1) &amp; "]",
   IF(AND(ISNUMBER(SEARCH("C",B4)),NOT(ISNUMBER(SEARCH("CT",B4)))),
      "ConveyorStation[" &amp; (Q$2 + COUNTIF($B$2:B4,"*C*") - COUNTIF($B$2:B4,"*CT*")-1) &amp; "]",
      ""))</f>
        <v>ConveyorStation[3]</v>
      </c>
      <c r="F4" s="9"/>
      <c r="G4" s="9"/>
      <c r="H4" s="9"/>
      <c r="I4" s="9"/>
      <c r="J4" s="9" t="s">
        <v>358</v>
      </c>
      <c r="K4" s="10" t="s">
        <v>350</v>
      </c>
      <c r="L4" s="10" t="s">
        <v>350</v>
      </c>
      <c r="M4" s="10" t="s">
        <v>350</v>
      </c>
      <c r="N4" s="11"/>
      <c r="O4" s="6"/>
      <c r="P4" s="59"/>
      <c r="Q4" s="56"/>
      <c r="AA4" s="6"/>
    </row>
    <row r="5" spans="1:27" ht="39" x14ac:dyDescent="0.35">
      <c r="A5" s="7" t="str">
        <f t="shared" si="0"/>
        <v>131</v>
      </c>
      <c r="B5" s="8" t="s">
        <v>359</v>
      </c>
      <c r="C5" s="8" t="s">
        <v>309</v>
      </c>
      <c r="D5" s="8">
        <v>1</v>
      </c>
      <c r="E5" s="9" t="str">
        <f>IF(ISNUMBER(SEARCH("CT",B5)),
   "CrossTransferStation[" &amp; (Q$3 + COUNTIF($B$2:B5,"*CT*")-1) &amp; "]",
   IF(AND(ISNUMBER(SEARCH("C",B5)),NOT(ISNUMBER(SEARCH("CT",B5)))),
      "ConveyorStation[" &amp; (Q$2 + COUNTIF($B$2:B5,"*C*") - COUNTIF($B$2:B5,"*CT*")-1) &amp; "]",
      ""))</f>
        <v>CrossTransferStation[1]</v>
      </c>
      <c r="F5" s="9" t="s">
        <v>360</v>
      </c>
      <c r="G5" s="9"/>
      <c r="H5" s="9"/>
      <c r="I5" s="9"/>
      <c r="J5" s="9" t="s">
        <v>361</v>
      </c>
      <c r="K5" s="10" t="s">
        <v>351</v>
      </c>
      <c r="L5" s="10" t="s">
        <v>351</v>
      </c>
      <c r="M5" s="10" t="s">
        <v>351</v>
      </c>
      <c r="N5" s="11"/>
      <c r="O5" s="6"/>
      <c r="P5"/>
      <c r="AA5" s="6"/>
    </row>
    <row r="6" spans="1:27" x14ac:dyDescent="0.35">
      <c r="A6" s="7" t="str">
        <f t="shared" si="0"/>
        <v>41</v>
      </c>
      <c r="B6" s="8" t="s">
        <v>362</v>
      </c>
      <c r="C6" s="8" t="s">
        <v>309</v>
      </c>
      <c r="D6" s="8">
        <v>1</v>
      </c>
      <c r="E6" s="9" t="str">
        <f>IF(ISNUMBER(SEARCH("CT",B6)),
   "CrossTransferStation[" &amp; (Q$3 + COUNTIF($B$2:B6,"*CT*")-1) &amp; "]",
   IF(AND(ISNUMBER(SEARCH("C",B6)),NOT(ISNUMBER(SEARCH("CT",B6)))),
      "ConveyorStation[" &amp; (Q$2 + COUNTIF($B$2:B6,"*C*") - COUNTIF($B$2:B6,"*CT*")-1) &amp; "]",
      ""))</f>
        <v>ConveyorStation[4]</v>
      </c>
      <c r="F6" s="9" t="s">
        <v>363</v>
      </c>
      <c r="G6" s="9"/>
      <c r="H6" s="9"/>
      <c r="I6" s="9"/>
      <c r="J6" s="9" t="s">
        <v>364</v>
      </c>
      <c r="K6" s="10" t="s">
        <v>350</v>
      </c>
      <c r="L6" s="10" t="s">
        <v>351</v>
      </c>
      <c r="M6" s="10" t="s">
        <v>350</v>
      </c>
      <c r="N6" s="11"/>
      <c r="O6" s="6"/>
      <c r="P6" s="58" t="s">
        <v>308</v>
      </c>
      <c r="Q6" s="58" t="s">
        <v>365</v>
      </c>
      <c r="R6" s="58" t="s">
        <v>366</v>
      </c>
      <c r="S6" s="58" t="s">
        <v>367</v>
      </c>
      <c r="T6" s="58" t="s">
        <v>368</v>
      </c>
      <c r="AA6" s="6"/>
    </row>
    <row r="7" spans="1:27" ht="39" x14ac:dyDescent="0.35">
      <c r="A7" s="7" t="str">
        <f t="shared" si="0"/>
        <v>42</v>
      </c>
      <c r="B7" s="8" t="s">
        <v>369</v>
      </c>
      <c r="C7" s="8" t="s">
        <v>309</v>
      </c>
      <c r="D7" s="8">
        <v>1</v>
      </c>
      <c r="E7" s="9" t="str">
        <f>IF(ISNUMBER(SEARCH("CT",B7)),
   "CrossTransferStation[" &amp; (Q$3 + COUNTIF($B$2:B7,"*CT*")-1) &amp; "]",
   IF(AND(ISNUMBER(SEARCH("C",B7)),NOT(ISNUMBER(SEARCH("CT",B7)))),
      "ConveyorStation[" &amp; (Q$2 + COUNTIF($B$2:B7,"*C*") - COUNTIF($B$2:B7,"*CT*")-1) &amp; "]",
      ""))</f>
        <v>ConveyorStation[5]</v>
      </c>
      <c r="F7" s="9" t="s">
        <v>370</v>
      </c>
      <c r="G7" s="9"/>
      <c r="H7" s="9"/>
      <c r="I7" s="9"/>
      <c r="J7" s="9" t="s">
        <v>371</v>
      </c>
      <c r="K7" s="10" t="s">
        <v>350</v>
      </c>
      <c r="L7" s="10" t="s">
        <v>351</v>
      </c>
      <c r="M7" s="146" t="s">
        <v>351</v>
      </c>
      <c r="N7" s="11"/>
      <c r="O7" s="6"/>
      <c r="P7" s="9" t="s">
        <v>322</v>
      </c>
      <c r="Q7" s="57">
        <v>1</v>
      </c>
      <c r="R7" s="57">
        <v>34</v>
      </c>
      <c r="S7" s="57">
        <v>10</v>
      </c>
      <c r="T7" s="56">
        <f>SUM(R7:S7)+1</f>
        <v>45</v>
      </c>
      <c r="U7" s="42">
        <f>T7-S7-Q7</f>
        <v>34</v>
      </c>
      <c r="AA7" s="6"/>
    </row>
    <row r="8" spans="1:27" x14ac:dyDescent="0.35">
      <c r="A8" s="7" t="str">
        <f t="shared" si="0"/>
        <v>43</v>
      </c>
      <c r="B8" s="8" t="s">
        <v>372</v>
      </c>
      <c r="C8" s="8" t="s">
        <v>309</v>
      </c>
      <c r="D8" s="8">
        <v>1</v>
      </c>
      <c r="E8" s="9" t="str">
        <f>IF(ISNUMBER(SEARCH("CT",B8)),
   "CrossTransferStation[" &amp; (Q$3 + COUNTIF($B$2:B8,"*CT*")-1) &amp; "]",
   IF(AND(ISNUMBER(SEARCH("C",B8)),NOT(ISNUMBER(SEARCH("CT",B8)))),
      "ConveyorStation[" &amp; (Q$2 + COUNTIF($B$2:B8,"*C*") - COUNTIF($B$2:B8,"*CT*")-1) &amp; "]",
      ""))</f>
        <v>ConveyorStation[6]</v>
      </c>
      <c r="F8" s="9"/>
      <c r="G8" s="9"/>
      <c r="H8" s="9"/>
      <c r="I8" s="9"/>
      <c r="J8" s="9" t="s">
        <v>373</v>
      </c>
      <c r="K8" s="10" t="s">
        <v>350</v>
      </c>
      <c r="L8" s="10" t="s">
        <v>350</v>
      </c>
      <c r="M8" s="10" t="s">
        <v>350</v>
      </c>
      <c r="N8" s="11"/>
      <c r="O8" s="6"/>
      <c r="P8" s="9" t="s">
        <v>323</v>
      </c>
      <c r="Q8" s="57">
        <v>1</v>
      </c>
      <c r="R8" s="57">
        <v>8</v>
      </c>
      <c r="S8" s="57">
        <v>10</v>
      </c>
      <c r="T8" s="56">
        <f t="shared" ref="T8:T13" si="1">SUM(R8:S8)+1</f>
        <v>19</v>
      </c>
      <c r="U8" s="42">
        <f t="shared" ref="U8:U16" si="2">T8-S8-Q8</f>
        <v>8</v>
      </c>
      <c r="AA8" s="6"/>
    </row>
    <row r="9" spans="1:27" ht="39" x14ac:dyDescent="0.35">
      <c r="A9" s="7" t="str">
        <f t="shared" si="0"/>
        <v>141</v>
      </c>
      <c r="B9" s="8" t="s">
        <v>374</v>
      </c>
      <c r="C9" s="8" t="s">
        <v>309</v>
      </c>
      <c r="D9" s="8">
        <v>1</v>
      </c>
      <c r="E9" s="9" t="str">
        <f>IF(ISNUMBER(SEARCH("CT",B9)),
   "CrossTransferStation[" &amp; (Q$3 + COUNTIF($B$2:B9,"*CT*")-1) &amp; "]",
   IF(AND(ISNUMBER(SEARCH("C",B9)),NOT(ISNUMBER(SEARCH("CT",B9)))),
      "ConveyorStation[" &amp; (Q$2 + COUNTIF($B$2:B9,"*C*") - COUNTIF($B$2:B9,"*CT*")-1) &amp; "]",
      ""))</f>
        <v>CrossTransferStation[2]</v>
      </c>
      <c r="F9" s="9" t="s">
        <v>375</v>
      </c>
      <c r="G9" s="9"/>
      <c r="H9" s="9"/>
      <c r="I9" s="9"/>
      <c r="J9" s="9" t="s">
        <v>376</v>
      </c>
      <c r="K9" s="10" t="s">
        <v>351</v>
      </c>
      <c r="L9" s="10" t="s">
        <v>351</v>
      </c>
      <c r="M9" s="10" t="s">
        <v>351</v>
      </c>
      <c r="N9" s="11"/>
      <c r="O9" s="6"/>
      <c r="P9" s="9" t="s">
        <v>324</v>
      </c>
      <c r="Q9" s="57">
        <v>1</v>
      </c>
      <c r="R9" s="57">
        <v>8</v>
      </c>
      <c r="S9" s="57">
        <v>10</v>
      </c>
      <c r="T9" s="56">
        <f t="shared" si="1"/>
        <v>19</v>
      </c>
      <c r="U9" s="42">
        <f t="shared" si="2"/>
        <v>8</v>
      </c>
      <c r="AA9" s="6"/>
    </row>
    <row r="10" spans="1:27" x14ac:dyDescent="0.35">
      <c r="A10" s="7" t="str">
        <f t="shared" si="0"/>
        <v>51</v>
      </c>
      <c r="B10" s="8" t="s">
        <v>377</v>
      </c>
      <c r="C10" s="8" t="s">
        <v>309</v>
      </c>
      <c r="D10" s="8">
        <v>1</v>
      </c>
      <c r="E10" s="9" t="str">
        <f>IF(ISNUMBER(SEARCH("CT",B10)),
   "CrossTransferStation[" &amp; (Q$3 + COUNTIF($B$2:B10,"*CT*")-1) &amp; "]",
   IF(AND(ISNUMBER(SEARCH("C",B10)),NOT(ISNUMBER(SEARCH("CT",B10)))),
      "ConveyorStation[" &amp; (Q$2 + COUNTIF($B$2:B10,"*C*") - COUNTIF($B$2:B10,"*CT*")-1) &amp; "]",
      ""))</f>
        <v>ConveyorStation[7]</v>
      </c>
      <c r="F10" s="9" t="s">
        <v>378</v>
      </c>
      <c r="G10" s="9"/>
      <c r="H10" s="9"/>
      <c r="I10" s="9"/>
      <c r="J10" s="9" t="s">
        <v>379</v>
      </c>
      <c r="K10" s="10" t="s">
        <v>350</v>
      </c>
      <c r="L10" s="10" t="s">
        <v>351</v>
      </c>
      <c r="M10" s="10" t="s">
        <v>350</v>
      </c>
      <c r="N10" s="11"/>
      <c r="O10" s="6"/>
      <c r="P10" s="9" t="s">
        <v>325</v>
      </c>
      <c r="Q10" s="57">
        <v>1</v>
      </c>
      <c r="R10" s="57">
        <v>5</v>
      </c>
      <c r="S10" s="57">
        <v>10</v>
      </c>
      <c r="T10" s="56">
        <f t="shared" si="1"/>
        <v>16</v>
      </c>
      <c r="U10" s="42">
        <f t="shared" si="2"/>
        <v>5</v>
      </c>
      <c r="AA10" s="6"/>
    </row>
    <row r="11" spans="1:27" x14ac:dyDescent="0.35">
      <c r="A11" s="7" t="str">
        <f t="shared" si="0"/>
        <v>52</v>
      </c>
      <c r="B11" s="8" t="s">
        <v>380</v>
      </c>
      <c r="C11" s="8" t="s">
        <v>309</v>
      </c>
      <c r="D11" s="8">
        <v>1</v>
      </c>
      <c r="E11" s="9" t="str">
        <f>IF(ISNUMBER(SEARCH("CT",B11)),
   "CrossTransferStation[" &amp; (Q$3 + COUNTIF($B$2:B11,"*CT*")-1) &amp; "]",
   IF(AND(ISNUMBER(SEARCH("C",B11)),NOT(ISNUMBER(SEARCH("CT",B11)))),
      "ConveyorStation[" &amp; (Q$2 + COUNTIF($B$2:B11,"*C*") - COUNTIF($B$2:B11,"*CT*")-1) &amp; "]",
      ""))</f>
        <v>ConveyorStation[8]</v>
      </c>
      <c r="F11" s="9" t="s">
        <v>381</v>
      </c>
      <c r="G11" s="9"/>
      <c r="H11" s="9"/>
      <c r="I11" s="9"/>
      <c r="J11" s="9" t="s">
        <v>382</v>
      </c>
      <c r="K11" s="10" t="s">
        <v>350</v>
      </c>
      <c r="L11" s="10" t="s">
        <v>351</v>
      </c>
      <c r="M11" s="10" t="s">
        <v>350</v>
      </c>
      <c r="N11" s="11"/>
      <c r="O11" s="6"/>
      <c r="P11" s="9" t="s">
        <v>326</v>
      </c>
      <c r="Q11" s="57">
        <v>1</v>
      </c>
      <c r="R11" s="57">
        <v>5</v>
      </c>
      <c r="S11" s="57">
        <v>10</v>
      </c>
      <c r="T11" s="56">
        <f t="shared" si="1"/>
        <v>16</v>
      </c>
      <c r="U11" s="42">
        <f t="shared" si="2"/>
        <v>5</v>
      </c>
      <c r="AA11" s="6"/>
    </row>
    <row r="12" spans="1:27" x14ac:dyDescent="0.35">
      <c r="A12" s="7" t="str">
        <f t="shared" si="0"/>
        <v>53</v>
      </c>
      <c r="B12" s="8" t="s">
        <v>383</v>
      </c>
      <c r="C12" s="8" t="s">
        <v>309</v>
      </c>
      <c r="D12" s="8">
        <v>1</v>
      </c>
      <c r="E12" s="9" t="str">
        <f>IF(ISNUMBER(SEARCH("CT",B12)),
   "CrossTransferStation[" &amp; (Q$3 + COUNTIF($B$2:B12,"*CT*")-1) &amp; "]",
   IF(AND(ISNUMBER(SEARCH("C",B12)),NOT(ISNUMBER(SEARCH("CT",B12)))),
      "ConveyorStation[" &amp; (Q$2 + COUNTIF($B$2:B12,"*C*") - COUNTIF($B$2:B12,"*CT*")-1) &amp; "]",
      ""))</f>
        <v>ConveyorStation[9]</v>
      </c>
      <c r="F12" s="9"/>
      <c r="G12" s="9"/>
      <c r="H12" s="9"/>
      <c r="I12" s="9"/>
      <c r="J12" s="9" t="s">
        <v>384</v>
      </c>
      <c r="K12" s="10" t="s">
        <v>350</v>
      </c>
      <c r="L12" s="10" t="s">
        <v>350</v>
      </c>
      <c r="M12" s="10" t="s">
        <v>350</v>
      </c>
      <c r="N12" s="11"/>
      <c r="O12" s="6"/>
      <c r="P12" s="9" t="s">
        <v>327</v>
      </c>
      <c r="Q12" s="57">
        <v>1</v>
      </c>
      <c r="R12" s="57">
        <v>4</v>
      </c>
      <c r="S12" s="57">
        <v>10</v>
      </c>
      <c r="T12" s="56">
        <f t="shared" si="1"/>
        <v>15</v>
      </c>
      <c r="U12" s="42">
        <f t="shared" si="2"/>
        <v>4</v>
      </c>
      <c r="AA12" s="6"/>
    </row>
    <row r="13" spans="1:27" ht="39" x14ac:dyDescent="0.35">
      <c r="A13" s="7" t="str">
        <f t="shared" si="0"/>
        <v>151</v>
      </c>
      <c r="B13" s="8" t="s">
        <v>385</v>
      </c>
      <c r="C13" s="8" t="s">
        <v>309</v>
      </c>
      <c r="D13" s="8">
        <v>1</v>
      </c>
      <c r="E13" s="9" t="str">
        <f>IF(ISNUMBER(SEARCH("CT",B13)),
   "CrossTransferStation[" &amp; (Q$3 + COUNTIF($B$2:B13,"*CT*")-1) &amp; "]",
   IF(AND(ISNUMBER(SEARCH("C",B13)),NOT(ISNUMBER(SEARCH("CT",B13)))),
      "ConveyorStation[" &amp; (Q$2 + COUNTIF($B$2:B13,"*C*") - COUNTIF($B$2:B13,"*CT*")-1) &amp; "]",
      ""))</f>
        <v>CrossTransferStation[3]</v>
      </c>
      <c r="F13" s="9" t="s">
        <v>386</v>
      </c>
      <c r="G13" s="9"/>
      <c r="H13" s="9"/>
      <c r="I13" s="9"/>
      <c r="J13" s="9" t="s">
        <v>387</v>
      </c>
      <c r="K13" s="10" t="s">
        <v>351</v>
      </c>
      <c r="L13" s="10" t="s">
        <v>351</v>
      </c>
      <c r="M13" s="10" t="s">
        <v>351</v>
      </c>
      <c r="N13" s="11"/>
      <c r="O13" s="6"/>
      <c r="P13" s="9" t="s">
        <v>328</v>
      </c>
      <c r="Q13" s="57">
        <v>1</v>
      </c>
      <c r="R13" s="57">
        <v>1</v>
      </c>
      <c r="S13" s="57">
        <v>10</v>
      </c>
      <c r="T13" s="56">
        <f t="shared" si="1"/>
        <v>12</v>
      </c>
      <c r="U13" s="42">
        <f t="shared" si="2"/>
        <v>1</v>
      </c>
      <c r="AA13" s="6"/>
    </row>
    <row r="14" spans="1:27" x14ac:dyDescent="0.35">
      <c r="A14" s="7" t="str">
        <f t="shared" si="0"/>
        <v>61</v>
      </c>
      <c r="B14" s="8" t="s">
        <v>388</v>
      </c>
      <c r="C14" s="8" t="s">
        <v>309</v>
      </c>
      <c r="D14" s="8">
        <v>1</v>
      </c>
      <c r="E14" s="9" t="str">
        <f>IF(ISNUMBER(SEARCH("CT",B14)),
   "CrossTransferStation[" &amp; (Q$3 + COUNTIF($B$2:B14,"*CT*")-1) &amp; "]",
   IF(AND(ISNUMBER(SEARCH("C",B14)),NOT(ISNUMBER(SEARCH("CT",B14)))),
      "ConveyorStation[" &amp; (Q$2 + COUNTIF($B$2:B14,"*C*") - COUNTIF($B$2:B14,"*CT*")-1) &amp; "]",
      ""))</f>
        <v>ConveyorStation[10]</v>
      </c>
      <c r="F14" s="9" t="s">
        <v>389</v>
      </c>
      <c r="G14" s="9"/>
      <c r="H14" s="9"/>
      <c r="I14" s="9"/>
      <c r="J14" s="9" t="s">
        <v>390</v>
      </c>
      <c r="K14" s="10" t="s">
        <v>350</v>
      </c>
      <c r="L14" s="10" t="s">
        <v>351</v>
      </c>
      <c r="M14" s="10" t="s">
        <v>350</v>
      </c>
      <c r="N14" s="11"/>
      <c r="O14" s="6"/>
      <c r="P14" s="9" t="s">
        <v>329</v>
      </c>
      <c r="Q14" s="57"/>
      <c r="R14" s="57"/>
      <c r="S14" s="57"/>
      <c r="T14" s="56"/>
      <c r="U14" s="42"/>
      <c r="AA14" s="6"/>
    </row>
    <row r="15" spans="1:27" ht="39" x14ac:dyDescent="0.35">
      <c r="A15" s="7" t="str">
        <f t="shared" si="0"/>
        <v>62</v>
      </c>
      <c r="B15" s="8" t="s">
        <v>391</v>
      </c>
      <c r="C15" s="8" t="s">
        <v>309</v>
      </c>
      <c r="D15" s="8">
        <v>1</v>
      </c>
      <c r="E15" s="9" t="str">
        <f>IF(ISNUMBER(SEARCH("CT",B15)),
   "CrossTransferStation[" &amp; (Q$3 + COUNTIF($B$2:B15,"*CT*")-1) &amp; "]",
   IF(AND(ISNUMBER(SEARCH("C",B15)),NOT(ISNUMBER(SEARCH("CT",B15)))),
      "ConveyorStation[" &amp; (Q$2 + COUNTIF($B$2:B15,"*C*") - COUNTIF($B$2:B15,"*CT*")-1) &amp; "]",
      ""))</f>
        <v>ConveyorStation[11]</v>
      </c>
      <c r="F15" s="9" t="s">
        <v>392</v>
      </c>
      <c r="G15" s="9"/>
      <c r="H15" s="9"/>
      <c r="I15" s="9"/>
      <c r="J15" s="9" t="s">
        <v>1880</v>
      </c>
      <c r="K15" s="10" t="s">
        <v>351</v>
      </c>
      <c r="L15" s="24" t="s">
        <v>350</v>
      </c>
      <c r="M15" s="24" t="s">
        <v>351</v>
      </c>
      <c r="N15" s="11"/>
      <c r="O15" s="6"/>
      <c r="P15" s="9" t="s">
        <v>185</v>
      </c>
      <c r="Q15" s="56">
        <v>1</v>
      </c>
      <c r="R15" s="56">
        <v>1</v>
      </c>
      <c r="S15" s="56">
        <v>10</v>
      </c>
      <c r="T15" s="56">
        <f t="shared" ref="T15:T16" si="3">SUM(R15:S15)+1</f>
        <v>12</v>
      </c>
      <c r="U15" s="42">
        <f t="shared" si="2"/>
        <v>1</v>
      </c>
      <c r="AA15" s="6"/>
    </row>
    <row r="16" spans="1:27" x14ac:dyDescent="0.35">
      <c r="A16" s="7" t="str">
        <f t="shared" si="0"/>
        <v>63</v>
      </c>
      <c r="B16" s="8" t="s">
        <v>393</v>
      </c>
      <c r="C16" s="8" t="s">
        <v>309</v>
      </c>
      <c r="D16" s="8">
        <v>1</v>
      </c>
      <c r="E16" s="9" t="str">
        <f>IF(ISNUMBER(SEARCH("CT",B16)),
   "CrossTransferStation[" &amp; (Q$3 + COUNTIF($B$2:B16,"*CT*")-1) &amp; "]",
   IF(AND(ISNUMBER(SEARCH("C",B16)),NOT(ISNUMBER(SEARCH("CT",B16)))),
      "ConveyorStation[" &amp; (Q$2 + COUNTIF($B$2:B16,"*C*") - COUNTIF($B$2:B16,"*CT*")-1) &amp; "]",
      ""))</f>
        <v>ConveyorStation[12]</v>
      </c>
      <c r="F16" s="9" t="s">
        <v>394</v>
      </c>
      <c r="G16" s="9"/>
      <c r="H16" s="9"/>
      <c r="I16" s="9"/>
      <c r="J16" s="9" t="s">
        <v>395</v>
      </c>
      <c r="K16" s="10" t="s">
        <v>350</v>
      </c>
      <c r="L16" s="10" t="s">
        <v>350</v>
      </c>
      <c r="M16" s="10" t="s">
        <v>351</v>
      </c>
      <c r="N16" s="11"/>
      <c r="O16" s="6"/>
      <c r="P16" s="41" t="s">
        <v>330</v>
      </c>
      <c r="Q16" s="56">
        <v>1</v>
      </c>
      <c r="R16" s="56">
        <v>1</v>
      </c>
      <c r="S16" s="56">
        <v>10</v>
      </c>
      <c r="T16" s="56">
        <f t="shared" si="3"/>
        <v>12</v>
      </c>
      <c r="U16" s="42">
        <f t="shared" si="2"/>
        <v>1</v>
      </c>
      <c r="AA16" s="6"/>
    </row>
    <row r="17" spans="1:27" ht="26" x14ac:dyDescent="0.35">
      <c r="A17" s="7" t="str">
        <f t="shared" si="0"/>
        <v>161</v>
      </c>
      <c r="B17" s="8" t="s">
        <v>396</v>
      </c>
      <c r="C17" s="8" t="s">
        <v>309</v>
      </c>
      <c r="D17" s="8">
        <v>1</v>
      </c>
      <c r="E17" s="9" t="str">
        <f>IF(ISNUMBER(SEARCH("CT",B17)),
   "CrossTransferStation[" &amp; (Q$3 + COUNTIF($B$2:B17,"*CT*")-1) &amp; "]",
   IF(AND(ISNUMBER(SEARCH("C",B17)),NOT(ISNUMBER(SEARCH("CT",B17)))),
      "ConveyorStation[" &amp; (Q$2 + COUNTIF($B$2:B17,"*C*") - COUNTIF($B$2:B17,"*CT*")-1) &amp; "]",
      ""))</f>
        <v>CrossTransferStation[4]</v>
      </c>
      <c r="F17" s="9" t="s">
        <v>397</v>
      </c>
      <c r="G17" s="9"/>
      <c r="H17" s="9"/>
      <c r="I17" s="9"/>
      <c r="J17" s="9" t="s">
        <v>398</v>
      </c>
      <c r="K17" s="10" t="s">
        <v>350</v>
      </c>
      <c r="L17" s="10" t="s">
        <v>351</v>
      </c>
      <c r="M17" s="10" t="s">
        <v>350</v>
      </c>
      <c r="N17" s="11"/>
      <c r="O17" s="6"/>
      <c r="P17" s="9" t="s">
        <v>331</v>
      </c>
      <c r="Q17" s="57"/>
      <c r="R17" s="57"/>
      <c r="S17" s="55"/>
      <c r="T17" s="56"/>
      <c r="U17" s="42"/>
      <c r="AA17" s="6"/>
    </row>
    <row r="18" spans="1:27" ht="26" x14ac:dyDescent="0.35">
      <c r="A18" s="7" t="str">
        <f t="shared" si="0"/>
        <v>162</v>
      </c>
      <c r="B18" s="8" t="s">
        <v>399</v>
      </c>
      <c r="C18" s="8" t="s">
        <v>309</v>
      </c>
      <c r="D18" s="8">
        <v>1</v>
      </c>
      <c r="E18" s="9" t="str">
        <f>IF(ISNUMBER(SEARCH("CT",B18)),
   "CrossTransferStation[" &amp; (Q$3 + COUNTIF($B$2:B18,"*CT*")-1) &amp; "]",
   IF(AND(ISNUMBER(SEARCH("C",B18)),NOT(ISNUMBER(SEARCH("CT",B18)))),
      "ConveyorStation[" &amp; (Q$2 + COUNTIF($B$2:B18,"*C*") - COUNTIF($B$2:B18,"*CT*")-1) &amp; "]",
      ""))</f>
        <v>CrossTransferStation[5]</v>
      </c>
      <c r="F18" s="9" t="s">
        <v>400</v>
      </c>
      <c r="G18" s="9"/>
      <c r="H18" s="9"/>
      <c r="I18" s="9"/>
      <c r="J18" s="9" t="s">
        <v>401</v>
      </c>
      <c r="K18" s="10" t="s">
        <v>350</v>
      </c>
      <c r="L18" s="10" t="s">
        <v>350</v>
      </c>
      <c r="M18" s="10" t="s">
        <v>351</v>
      </c>
      <c r="N18" s="11"/>
      <c r="O18" s="6"/>
      <c r="P18"/>
      <c r="AA18" s="6"/>
    </row>
    <row r="19" spans="1:27" ht="39" x14ac:dyDescent="0.35">
      <c r="A19" s="7" t="str">
        <f t="shared" si="0"/>
        <v>71</v>
      </c>
      <c r="B19" s="8" t="s">
        <v>402</v>
      </c>
      <c r="C19" s="8" t="s">
        <v>309</v>
      </c>
      <c r="D19" s="8">
        <v>1</v>
      </c>
      <c r="E19" s="9" t="str">
        <f>IF(ISNUMBER(SEARCH("CT",B19)),
   "CrossTransferStation[" &amp; (Q$3 + COUNTIF($B$2:B19,"*CT*")-1) &amp; "]",
   IF(AND(ISNUMBER(SEARCH("C",B19)),NOT(ISNUMBER(SEARCH("CT",B19)))),
      "ConveyorStation[" &amp; (Q$2 + COUNTIF($B$2:B19,"*C*") - COUNTIF($B$2:B19,"*CT*")-1) &amp; "]",
      ""))</f>
        <v>ConveyorStation[13]</v>
      </c>
      <c r="F19" s="9" t="s">
        <v>403</v>
      </c>
      <c r="G19" s="9"/>
      <c r="H19" s="9"/>
      <c r="I19" s="9"/>
      <c r="J19" s="9" t="s">
        <v>1881</v>
      </c>
      <c r="K19" s="10" t="s">
        <v>351</v>
      </c>
      <c r="L19" s="24" t="s">
        <v>350</v>
      </c>
      <c r="M19" s="24" t="s">
        <v>351</v>
      </c>
      <c r="N19" s="11"/>
      <c r="O19" s="6"/>
      <c r="P19"/>
      <c r="AA19" s="6"/>
    </row>
    <row r="20" spans="1:27" x14ac:dyDescent="0.35">
      <c r="A20" s="7" t="str">
        <f t="shared" si="0"/>
        <v>72</v>
      </c>
      <c r="B20" s="8" t="s">
        <v>404</v>
      </c>
      <c r="C20" s="8" t="s">
        <v>309</v>
      </c>
      <c r="D20" s="8">
        <v>1</v>
      </c>
      <c r="E20" s="9" t="str">
        <f>IF(ISNUMBER(SEARCH("CT",B20)),
   "CrossTransferStation[" &amp; (Q$3 + COUNTIF($B$2:B20,"*CT*")-1) &amp; "]",
   IF(AND(ISNUMBER(SEARCH("C",B20)),NOT(ISNUMBER(SEARCH("CT",B20)))),
      "ConveyorStation[" &amp; (Q$2 + COUNTIF($B$2:B20,"*C*") - COUNTIF($B$2:B20,"*CT*")-1) &amp; "]",
      ""))</f>
        <v>ConveyorStation[14]</v>
      </c>
      <c r="F20" s="9" t="s">
        <v>405</v>
      </c>
      <c r="G20" s="9"/>
      <c r="H20" s="9"/>
      <c r="I20" s="9"/>
      <c r="J20" s="9" t="s">
        <v>406</v>
      </c>
      <c r="K20" s="10" t="s">
        <v>350</v>
      </c>
      <c r="L20" s="10" t="s">
        <v>350</v>
      </c>
      <c r="M20" s="10" t="s">
        <v>351</v>
      </c>
      <c r="N20" s="11"/>
      <c r="O20" s="6"/>
      <c r="P20"/>
      <c r="AA20" s="6"/>
    </row>
    <row r="21" spans="1:27" x14ac:dyDescent="0.35">
      <c r="A21" s="7" t="str">
        <f t="shared" si="0"/>
        <v>73</v>
      </c>
      <c r="B21" s="8" t="s">
        <v>407</v>
      </c>
      <c r="C21" s="8" t="s">
        <v>309</v>
      </c>
      <c r="D21" s="8">
        <v>1</v>
      </c>
      <c r="E21" s="9" t="str">
        <f>IF(ISNUMBER(SEARCH("CT",B21)),
   "CrossTransferStation[" &amp; (Q$3 + COUNTIF($B$2:B21,"*CT*")-1) &amp; "]",
   IF(AND(ISNUMBER(SEARCH("C",B21)),NOT(ISNUMBER(SEARCH("CT",B21)))),
      "ConveyorStation[" &amp; (Q$2 + COUNTIF($B$2:B21,"*C*") - COUNTIF($B$2:B21,"*CT*")-1) &amp; "]",
      ""))</f>
        <v>ConveyorStation[15]</v>
      </c>
      <c r="F21" s="9"/>
      <c r="G21" s="9"/>
      <c r="H21" s="9"/>
      <c r="I21" s="9"/>
      <c r="J21" s="9" t="s">
        <v>408</v>
      </c>
      <c r="K21" s="10" t="s">
        <v>350</v>
      </c>
      <c r="L21" s="10" t="s">
        <v>350</v>
      </c>
      <c r="M21" s="10" t="s">
        <v>350</v>
      </c>
      <c r="N21" s="11"/>
      <c r="O21" s="6"/>
      <c r="P21"/>
      <c r="AA21" s="6"/>
    </row>
    <row r="22" spans="1:27" x14ac:dyDescent="0.35">
      <c r="A22" s="7" t="str">
        <f t="shared" si="0"/>
        <v>74</v>
      </c>
      <c r="B22" s="8" t="s">
        <v>409</v>
      </c>
      <c r="C22" s="8" t="s">
        <v>309</v>
      </c>
      <c r="D22" s="8">
        <v>1</v>
      </c>
      <c r="E22" s="9" t="str">
        <f>IF(ISNUMBER(SEARCH("CT",B22)),
   "CrossTransferStation[" &amp; (Q$3 + COUNTIF($B$2:B22,"*CT*")-1) &amp; "]",
   IF(AND(ISNUMBER(SEARCH("C",B22)),NOT(ISNUMBER(SEARCH("CT",B22)))),
      "ConveyorStation[" &amp; (Q$2 + COUNTIF($B$2:B22,"*C*") - COUNTIF($B$2:B22,"*CT*")-1) &amp; "]",
      ""))</f>
        <v>ConveyorStation[16]</v>
      </c>
      <c r="F22" s="9"/>
      <c r="G22" s="9"/>
      <c r="H22" s="9"/>
      <c r="I22" s="9"/>
      <c r="J22" s="9" t="s">
        <v>410</v>
      </c>
      <c r="K22" s="10" t="s">
        <v>350</v>
      </c>
      <c r="L22" s="10" t="s">
        <v>350</v>
      </c>
      <c r="M22" s="10" t="s">
        <v>351</v>
      </c>
      <c r="N22" s="11"/>
      <c r="O22" s="6"/>
      <c r="P22"/>
      <c r="AA22" s="6"/>
    </row>
    <row r="23" spans="1:27" x14ac:dyDescent="0.35">
      <c r="A23" s="7" t="str">
        <f t="shared" si="0"/>
        <v>81</v>
      </c>
      <c r="B23" s="8" t="s">
        <v>411</v>
      </c>
      <c r="C23" s="8" t="s">
        <v>309</v>
      </c>
      <c r="D23" s="8">
        <v>1</v>
      </c>
      <c r="E23" s="9" t="str">
        <f>IF(ISNUMBER(SEARCH("CT",B23)),
   "CrossTransferStation[" &amp; (Q$3 + COUNTIF($B$2:B23,"*CT*")-1) &amp; "]",
   IF(AND(ISNUMBER(SEARCH("C",B23)),NOT(ISNUMBER(SEARCH("CT",B23)))),
      "ConveyorStation[" &amp; (Q$2 + COUNTIF($B$2:B23,"*C*") - COUNTIF($B$2:B23,"*CT*")-1) &amp; "]",
      ""))</f>
        <v>ConveyorStation[17]</v>
      </c>
      <c r="F23" s="9" t="s">
        <v>412</v>
      </c>
      <c r="G23" s="9"/>
      <c r="H23" s="9"/>
      <c r="I23" s="9"/>
      <c r="J23" s="9" t="s">
        <v>413</v>
      </c>
      <c r="K23" s="10" t="s">
        <v>350</v>
      </c>
      <c r="L23" s="10" t="s">
        <v>350</v>
      </c>
      <c r="M23" s="10" t="s">
        <v>351</v>
      </c>
      <c r="N23" s="11"/>
      <c r="O23" s="6"/>
      <c r="P23"/>
      <c r="AA23" s="6"/>
    </row>
    <row r="24" spans="1:27" x14ac:dyDescent="0.35">
      <c r="A24" s="7" t="str">
        <f t="shared" si="0"/>
        <v>82</v>
      </c>
      <c r="B24" s="8" t="s">
        <v>414</v>
      </c>
      <c r="C24" s="8" t="s">
        <v>309</v>
      </c>
      <c r="D24" s="8">
        <v>1</v>
      </c>
      <c r="E24" s="9" t="str">
        <f>IF(ISNUMBER(SEARCH("CT",B24)),
   "CrossTransferStation[" &amp; (Q$3 + COUNTIF($B$2:B24,"*CT*")-1) &amp; "]",
   IF(AND(ISNUMBER(SEARCH("C",B24)),NOT(ISNUMBER(SEARCH("CT",B24)))),
      "ConveyorStation[" &amp; (Q$2 + COUNTIF($B$2:B24,"*C*") - COUNTIF($B$2:B24,"*CT*")-1) &amp; "]",
      ""))</f>
        <v>ConveyorStation[18]</v>
      </c>
      <c r="F24" s="9" t="s">
        <v>415</v>
      </c>
      <c r="G24" s="9"/>
      <c r="H24" s="9"/>
      <c r="I24" s="9"/>
      <c r="J24" s="9" t="s">
        <v>416</v>
      </c>
      <c r="K24" s="10" t="s">
        <v>350</v>
      </c>
      <c r="L24" s="10" t="s">
        <v>350</v>
      </c>
      <c r="M24" s="10" t="s">
        <v>351</v>
      </c>
      <c r="N24" s="11"/>
      <c r="O24" s="6"/>
      <c r="P24"/>
      <c r="AA24" s="6"/>
    </row>
    <row r="25" spans="1:27" x14ac:dyDescent="0.35">
      <c r="A25" s="7" t="str">
        <f t="shared" si="0"/>
        <v>83</v>
      </c>
      <c r="B25" s="8" t="s">
        <v>417</v>
      </c>
      <c r="C25" s="8" t="s">
        <v>309</v>
      </c>
      <c r="D25" s="8">
        <v>1</v>
      </c>
      <c r="E25" s="9" t="str">
        <f>IF(ISNUMBER(SEARCH("CT",B25)),
   "CrossTransferStation[" &amp; (Q$3 + COUNTIF($B$2:B25,"*CT*")-1) &amp; "]",
   IF(AND(ISNUMBER(SEARCH("C",B25)),NOT(ISNUMBER(SEARCH("CT",B25)))),
      "ConveyorStation[" &amp; (Q$2 + COUNTIF($B$2:B25,"*C*") - COUNTIF($B$2:B25,"*CT*")-1) &amp; "]",
      ""))</f>
        <v>ConveyorStation[19]</v>
      </c>
      <c r="F25" s="9"/>
      <c r="G25" s="9"/>
      <c r="H25" s="9"/>
      <c r="I25" s="9"/>
      <c r="J25" s="9" t="s">
        <v>418</v>
      </c>
      <c r="K25" s="10" t="s">
        <v>350</v>
      </c>
      <c r="L25" s="10" t="s">
        <v>350</v>
      </c>
      <c r="M25" s="10" t="s">
        <v>350</v>
      </c>
      <c r="N25" s="11"/>
      <c r="O25" s="6"/>
      <c r="P25"/>
      <c r="AA25" s="6"/>
    </row>
    <row r="26" spans="1:27" ht="39" x14ac:dyDescent="0.35">
      <c r="A26" s="7" t="str">
        <f t="shared" si="0"/>
        <v>181</v>
      </c>
      <c r="B26" s="8" t="s">
        <v>419</v>
      </c>
      <c r="C26" s="8" t="s">
        <v>309</v>
      </c>
      <c r="D26" s="8">
        <v>1</v>
      </c>
      <c r="E26" s="9" t="str">
        <f>IF(ISNUMBER(SEARCH("CT",B26)),
   "CrossTransferStation[" &amp; (Q$3 + COUNTIF($B$2:B26,"*CT*")-1) &amp; "]",
   IF(AND(ISNUMBER(SEARCH("C",B26)),NOT(ISNUMBER(SEARCH("CT",B26)))),
      "ConveyorStation[" &amp; (Q$2 + COUNTIF($B$2:B26,"*C*") - COUNTIF($B$2:B26,"*CT*")-1) &amp; "]",
      ""))</f>
        <v>CrossTransferStation[6]</v>
      </c>
      <c r="F26" s="9" t="s">
        <v>420</v>
      </c>
      <c r="G26" s="9"/>
      <c r="H26" s="9"/>
      <c r="I26" s="9"/>
      <c r="J26" s="9" t="s">
        <v>1883</v>
      </c>
      <c r="K26" s="10" t="s">
        <v>351</v>
      </c>
      <c r="L26" s="10" t="s">
        <v>350</v>
      </c>
      <c r="M26" s="10" t="s">
        <v>351</v>
      </c>
      <c r="N26" s="11"/>
      <c r="O26" s="6"/>
      <c r="P26"/>
      <c r="AA26" s="6"/>
    </row>
    <row r="27" spans="1:27" x14ac:dyDescent="0.35">
      <c r="A27" s="7" t="str">
        <f t="shared" si="0"/>
        <v>91</v>
      </c>
      <c r="B27" s="8" t="s">
        <v>421</v>
      </c>
      <c r="C27" s="8" t="s">
        <v>309</v>
      </c>
      <c r="D27" s="8">
        <v>1</v>
      </c>
      <c r="E27" s="9" t="str">
        <f>IF(ISNUMBER(SEARCH("CT",B27)),
   "CrossTransferStation[" &amp; (Q$3 + COUNTIF($B$2:B27,"*CT*")-1) &amp; "]",
   IF(AND(ISNUMBER(SEARCH("C",B27)),NOT(ISNUMBER(SEARCH("CT",B27)))),
      "ConveyorStation[" &amp; (Q$2 + COUNTIF($B$2:B27,"*C*") - COUNTIF($B$2:B27,"*CT*")-1) &amp; "]",
      ""))</f>
        <v>ConveyorStation[20]</v>
      </c>
      <c r="F27" s="9" t="s">
        <v>422</v>
      </c>
      <c r="G27" s="9"/>
      <c r="H27" s="9"/>
      <c r="I27" s="9"/>
      <c r="J27" s="9" t="s">
        <v>423</v>
      </c>
      <c r="K27" s="10" t="s">
        <v>350</v>
      </c>
      <c r="L27" s="10" t="s">
        <v>350</v>
      </c>
      <c r="M27" s="10" t="s">
        <v>351</v>
      </c>
      <c r="N27" s="11"/>
      <c r="O27" s="6"/>
      <c r="P27"/>
      <c r="AA27" s="6"/>
    </row>
    <row r="28" spans="1:27" x14ac:dyDescent="0.35">
      <c r="A28" s="7" t="str">
        <f t="shared" si="0"/>
        <v>92</v>
      </c>
      <c r="B28" s="8" t="s">
        <v>424</v>
      </c>
      <c r="C28" s="8" t="s">
        <v>309</v>
      </c>
      <c r="D28" s="8">
        <v>1</v>
      </c>
      <c r="E28" s="9" t="str">
        <f>IF(ISNUMBER(SEARCH("CT",B28)),
   "CrossTransferStation[" &amp; (Q$3 + COUNTIF($B$2:B28,"*CT*")-1) &amp; "]",
   IF(AND(ISNUMBER(SEARCH("C",B28)),NOT(ISNUMBER(SEARCH("CT",B28)))),
      "ConveyorStation[" &amp; (Q$2 + COUNTIF($B$2:B28,"*C*") - COUNTIF($B$2:B28,"*CT*")-1) &amp; "]",
      ""))</f>
        <v>ConveyorStation[21]</v>
      </c>
      <c r="F28" s="9" t="s">
        <v>425</v>
      </c>
      <c r="G28" s="9"/>
      <c r="H28" s="9"/>
      <c r="I28" s="9"/>
      <c r="J28" s="9" t="s">
        <v>426</v>
      </c>
      <c r="K28" s="10" t="s">
        <v>350</v>
      </c>
      <c r="L28" s="10" t="s">
        <v>350</v>
      </c>
      <c r="M28" s="10" t="s">
        <v>351</v>
      </c>
      <c r="N28" s="11"/>
      <c r="O28" s="6"/>
      <c r="P28"/>
      <c r="AA28" s="6"/>
    </row>
    <row r="29" spans="1:27" x14ac:dyDescent="0.35">
      <c r="A29" s="7" t="str">
        <f t="shared" si="0"/>
        <v>93</v>
      </c>
      <c r="B29" s="8" t="s">
        <v>427</v>
      </c>
      <c r="C29" s="8" t="s">
        <v>309</v>
      </c>
      <c r="D29" s="8">
        <v>1</v>
      </c>
      <c r="E29" s="9" t="str">
        <f>IF(ISNUMBER(SEARCH("CT",B29)),
   "CrossTransferStation[" &amp; (Q$3 + COUNTIF($B$2:B29,"*CT*")-1) &amp; "]",
   IF(AND(ISNUMBER(SEARCH("C",B29)),NOT(ISNUMBER(SEARCH("CT",B29)))),
      "ConveyorStation[" &amp; (Q$2 + COUNTIF($B$2:B29,"*C*") - COUNTIF($B$2:B29,"*CT*")-1) &amp; "]",
      ""))</f>
        <v>ConveyorStation[22]</v>
      </c>
      <c r="F29" s="9"/>
      <c r="G29" s="9"/>
      <c r="H29" s="9"/>
      <c r="I29" s="9"/>
      <c r="J29" s="9" t="s">
        <v>428</v>
      </c>
      <c r="K29" s="10" t="s">
        <v>350</v>
      </c>
      <c r="L29" s="10" t="s">
        <v>350</v>
      </c>
      <c r="M29" s="10" t="s">
        <v>350</v>
      </c>
      <c r="N29" s="11"/>
      <c r="O29" s="6"/>
      <c r="P29"/>
      <c r="AA29" s="6"/>
    </row>
    <row r="30" spans="1:27" ht="39" x14ac:dyDescent="0.35">
      <c r="A30" s="7" t="str">
        <f t="shared" si="0"/>
        <v>191</v>
      </c>
      <c r="B30" s="8" t="s">
        <v>429</v>
      </c>
      <c r="C30" s="8" t="s">
        <v>309</v>
      </c>
      <c r="D30" s="8">
        <v>1</v>
      </c>
      <c r="E30" s="9" t="str">
        <f>IF(ISNUMBER(SEARCH("CT",B30)),
   "CrossTransferStation[" &amp; (Q$3 + COUNTIF($B$2:B30,"*CT*")-1) &amp; "]",
   IF(AND(ISNUMBER(SEARCH("C",B30)),NOT(ISNUMBER(SEARCH("CT",B30)))),
      "ConveyorStation[" &amp; (Q$2 + COUNTIF($B$2:B30,"*C*") - COUNTIF($B$2:B30,"*CT*")-1) &amp; "]",
      ""))</f>
        <v>CrossTransferStation[7]</v>
      </c>
      <c r="F30" s="9" t="s">
        <v>430</v>
      </c>
      <c r="G30" s="9"/>
      <c r="H30" s="9"/>
      <c r="I30" s="9"/>
      <c r="J30" s="9" t="s">
        <v>1882</v>
      </c>
      <c r="K30" s="10" t="s">
        <v>351</v>
      </c>
      <c r="L30" s="10" t="s">
        <v>350</v>
      </c>
      <c r="M30" s="10" t="s">
        <v>351</v>
      </c>
      <c r="N30" s="11"/>
      <c r="O30" s="6"/>
      <c r="P30"/>
      <c r="AA30" s="6"/>
    </row>
    <row r="31" spans="1:27" ht="39" x14ac:dyDescent="0.35">
      <c r="A31" s="7" t="str">
        <f t="shared" si="0"/>
        <v>192</v>
      </c>
      <c r="B31" s="8" t="s">
        <v>431</v>
      </c>
      <c r="C31" s="8" t="s">
        <v>309</v>
      </c>
      <c r="D31" s="8">
        <v>1</v>
      </c>
      <c r="E31" s="9" t="str">
        <f>IF(ISNUMBER(SEARCH("CT",B31)),
   "CrossTransferStation[" &amp; (Q$3 + COUNTIF($B$2:B31,"*CT*")-1) &amp; "]",
   IF(AND(ISNUMBER(SEARCH("C",B31)),NOT(ISNUMBER(SEARCH("CT",B31)))),
      "ConveyorStation[" &amp; (Q$2 + COUNTIF($B$2:B31,"*C*") - COUNTIF($B$2:B31,"*CT*")-1) &amp; "]",
      ""))</f>
        <v>CrossTransferStation[8]</v>
      </c>
      <c r="F31" s="9" t="s">
        <v>432</v>
      </c>
      <c r="G31" s="9"/>
      <c r="H31" s="9"/>
      <c r="I31" s="9"/>
      <c r="J31" s="9" t="s">
        <v>1884</v>
      </c>
      <c r="K31" s="10" t="s">
        <v>351</v>
      </c>
      <c r="L31" s="10" t="s">
        <v>350</v>
      </c>
      <c r="M31" s="10" t="s">
        <v>351</v>
      </c>
      <c r="N31" s="11"/>
      <c r="O31" s="6"/>
      <c r="P31"/>
      <c r="AA31" s="6"/>
    </row>
    <row r="32" spans="1:27" x14ac:dyDescent="0.35">
      <c r="A32" s="7" t="str">
        <f t="shared" si="0"/>
        <v>101</v>
      </c>
      <c r="B32" s="8" t="s">
        <v>433</v>
      </c>
      <c r="C32" s="8" t="s">
        <v>309</v>
      </c>
      <c r="D32" s="8">
        <v>1</v>
      </c>
      <c r="E32" s="9" t="str">
        <f>IF(ISNUMBER(SEARCH("CT",B32)),
   "CrossTransferStation[" &amp; (Q$3 + COUNTIF($B$2:B32,"*CT*")-1) &amp; "]",
   IF(AND(ISNUMBER(SEARCH("C",B32)),NOT(ISNUMBER(SEARCH("CT",B32)))),
      "ConveyorStation[" &amp; (Q$2 + COUNTIF($B$2:B32,"*C*") - COUNTIF($B$2:B32,"*CT*")-1) &amp; "]",
      ""))</f>
        <v>ConveyorStation[23]</v>
      </c>
      <c r="F32" s="9"/>
      <c r="G32" s="9"/>
      <c r="H32" s="9"/>
      <c r="I32" s="9"/>
      <c r="J32" s="9" t="s">
        <v>434</v>
      </c>
      <c r="K32" s="10" t="s">
        <v>350</v>
      </c>
      <c r="L32" s="10" t="s">
        <v>350</v>
      </c>
      <c r="M32" s="10" t="s">
        <v>350</v>
      </c>
      <c r="N32" s="11"/>
      <c r="O32" s="6"/>
      <c r="P32"/>
      <c r="AA32" s="6"/>
    </row>
    <row r="33" spans="1:27" x14ac:dyDescent="0.35">
      <c r="A33" s="7" t="str">
        <f t="shared" si="0"/>
        <v>102</v>
      </c>
      <c r="B33" s="8" t="s">
        <v>435</v>
      </c>
      <c r="C33" s="8" t="s">
        <v>309</v>
      </c>
      <c r="D33" s="8">
        <v>1</v>
      </c>
      <c r="E33" s="9" t="str">
        <f>IF(ISNUMBER(SEARCH("CT",B33)),
   "CrossTransferStation[" &amp; (Q$3 + COUNTIF($B$2:B33,"*CT*")-1) &amp; "]",
   IF(AND(ISNUMBER(SEARCH("C",B33)),NOT(ISNUMBER(SEARCH("CT",B33)))),
      "ConveyorStation[" &amp; (Q$2 + COUNTIF($B$2:B33,"*C*") - COUNTIF($B$2:B33,"*CT*")-1) &amp; "]",
      ""))</f>
        <v>ConveyorStation[24]</v>
      </c>
      <c r="F33" s="9"/>
      <c r="G33" s="9"/>
      <c r="H33" s="9"/>
      <c r="I33" s="9"/>
      <c r="J33" s="9" t="s">
        <v>436</v>
      </c>
      <c r="K33" s="10" t="s">
        <v>350</v>
      </c>
      <c r="L33" s="10" t="s">
        <v>350</v>
      </c>
      <c r="M33" s="10" t="s">
        <v>350</v>
      </c>
      <c r="N33" s="11"/>
      <c r="O33" s="6"/>
      <c r="P33"/>
      <c r="AA33" s="6"/>
    </row>
    <row r="34" spans="1:27" x14ac:dyDescent="0.35">
      <c r="A34" s="7" t="str">
        <f t="shared" si="0"/>
        <v>103</v>
      </c>
      <c r="B34" s="8" t="s">
        <v>437</v>
      </c>
      <c r="C34" s="8" t="s">
        <v>309</v>
      </c>
      <c r="D34" s="8">
        <v>1</v>
      </c>
      <c r="E34" s="9" t="str">
        <f>IF(ISNUMBER(SEARCH("CT",B34)),
   "CrossTransferStation[" &amp; (Q$3 + COUNTIF($B$2:B34,"*CT*")-1) &amp; "]",
   IF(AND(ISNUMBER(SEARCH("C",B34)),NOT(ISNUMBER(SEARCH("CT",B34)))),
      "ConveyorStation[" &amp; (Q$2 + COUNTIF($B$2:B34,"*C*") - COUNTIF($B$2:B34,"*CT*")-1) &amp; "]",
      ""))</f>
        <v>ConveyorStation[25]</v>
      </c>
      <c r="F34" s="9"/>
      <c r="G34" s="9"/>
      <c r="H34" s="9"/>
      <c r="I34" s="9"/>
      <c r="J34" s="9" t="s">
        <v>438</v>
      </c>
      <c r="K34" s="10" t="s">
        <v>350</v>
      </c>
      <c r="L34" s="10" t="s">
        <v>350</v>
      </c>
      <c r="M34" s="10" t="s">
        <v>350</v>
      </c>
      <c r="N34" s="11"/>
      <c r="O34" s="6"/>
      <c r="P34"/>
      <c r="AA34" s="6"/>
    </row>
    <row r="35" spans="1:27" x14ac:dyDescent="0.35">
      <c r="A35" s="7" t="str">
        <f t="shared" si="0"/>
        <v>104</v>
      </c>
      <c r="B35" s="8" t="s">
        <v>439</v>
      </c>
      <c r="C35" s="8" t="s">
        <v>309</v>
      </c>
      <c r="D35" s="8">
        <v>1</v>
      </c>
      <c r="E35" s="9" t="str">
        <f>IF(ISNUMBER(SEARCH("CT",B35)),
   "CrossTransferStation[" &amp; (Q$3 + COUNTIF($B$2:B35,"*CT*")-1) &amp; "]",
   IF(AND(ISNUMBER(SEARCH("C",B35)),NOT(ISNUMBER(SEARCH("CT",B35)))),
      "ConveyorStation[" &amp; (Q$2 + COUNTIF($B$2:B35,"*C*") - COUNTIF($B$2:B35,"*CT*")-1) &amp; "]",
      ""))</f>
        <v>ConveyorStation[26]</v>
      </c>
      <c r="F35" s="9"/>
      <c r="G35" s="9"/>
      <c r="H35" s="9"/>
      <c r="I35" s="9"/>
      <c r="J35" s="9" t="s">
        <v>440</v>
      </c>
      <c r="K35" s="10" t="s">
        <v>350</v>
      </c>
      <c r="L35" s="10" t="s">
        <v>350</v>
      </c>
      <c r="M35" s="10" t="s">
        <v>350</v>
      </c>
      <c r="N35" s="11"/>
      <c r="O35" s="6"/>
      <c r="P35"/>
      <c r="AA35" s="6"/>
    </row>
    <row r="36" spans="1:27" x14ac:dyDescent="0.35">
      <c r="A36" s="7" t="str">
        <f t="shared" si="0"/>
        <v>105</v>
      </c>
      <c r="B36" s="8" t="s">
        <v>441</v>
      </c>
      <c r="C36" s="8" t="s">
        <v>309</v>
      </c>
      <c r="D36" s="8">
        <v>1</v>
      </c>
      <c r="E36" s="9" t="str">
        <f>IF(ISNUMBER(SEARCH("CT",B36)),
   "CrossTransferStation[" &amp; (Q$3 + COUNTIF($B$2:B36,"*CT*")-1) &amp; "]",
   IF(AND(ISNUMBER(SEARCH("C",B36)),NOT(ISNUMBER(SEARCH("CT",B36)))),
      "ConveyorStation[" &amp; (Q$2 + COUNTIF($B$2:B36,"*C*") - COUNTIF($B$2:B36,"*CT*")-1) &amp; "]",
      ""))</f>
        <v>ConveyorStation[27]</v>
      </c>
      <c r="F36" s="9"/>
      <c r="G36" s="9"/>
      <c r="H36" s="9"/>
      <c r="I36" s="9"/>
      <c r="J36" s="9" t="s">
        <v>442</v>
      </c>
      <c r="K36" s="10" t="s">
        <v>350</v>
      </c>
      <c r="L36" s="10" t="s">
        <v>350</v>
      </c>
      <c r="M36" s="10" t="s">
        <v>350</v>
      </c>
      <c r="N36" s="11"/>
      <c r="O36" s="6"/>
      <c r="P36"/>
      <c r="AA36" s="6"/>
    </row>
    <row r="37" spans="1:27" x14ac:dyDescent="0.35">
      <c r="A37" s="7" t="str">
        <f t="shared" si="0"/>
        <v>111</v>
      </c>
      <c r="B37" s="8" t="s">
        <v>443</v>
      </c>
      <c r="C37" s="8" t="s">
        <v>309</v>
      </c>
      <c r="D37" s="8">
        <v>1</v>
      </c>
      <c r="E37" s="9" t="str">
        <f>IF(ISNUMBER(SEARCH("CT",B37)),
   "CrossTransferStation[" &amp; (Q$3 + COUNTIF($B$2:B37,"*CT*")-1) &amp; "]",
   IF(AND(ISNUMBER(SEARCH("C",B37)),NOT(ISNUMBER(SEARCH("CT",B37)))),
      "ConveyorStation[" &amp; (Q$2 + COUNTIF($B$2:B37,"*C*") - COUNTIF($B$2:B37,"*CT*")-1) &amp; "]",
      ""))</f>
        <v>ConveyorStation[28]</v>
      </c>
      <c r="F37" s="9"/>
      <c r="G37" s="9"/>
      <c r="H37" s="9"/>
      <c r="I37" s="9"/>
      <c r="J37" s="9" t="s">
        <v>444</v>
      </c>
      <c r="K37" s="10" t="s">
        <v>350</v>
      </c>
      <c r="L37" s="10" t="s">
        <v>350</v>
      </c>
      <c r="M37" s="10" t="s">
        <v>350</v>
      </c>
      <c r="N37" s="11"/>
      <c r="O37" s="6"/>
      <c r="P37"/>
      <c r="AA37" s="6"/>
    </row>
    <row r="38" spans="1:27" x14ac:dyDescent="0.35">
      <c r="A38" s="7" t="str">
        <f t="shared" si="0"/>
        <v>112</v>
      </c>
      <c r="B38" s="8" t="s">
        <v>445</v>
      </c>
      <c r="C38" s="8" t="s">
        <v>309</v>
      </c>
      <c r="D38" s="8">
        <v>1</v>
      </c>
      <c r="E38" s="9" t="str">
        <f>IF(ISNUMBER(SEARCH("CT",B38)),
   "CrossTransferStation[" &amp; (Q$3 + COUNTIF($B$2:B38,"*CT*")-1) &amp; "]",
   IF(AND(ISNUMBER(SEARCH("C",B38)),NOT(ISNUMBER(SEARCH("CT",B38)))),
      "ConveyorStation[" &amp; (Q$2 + COUNTIF($B$2:B38,"*C*") - COUNTIF($B$2:B38,"*CT*")-1) &amp; "]",
      ""))</f>
        <v>ConveyorStation[29]</v>
      </c>
      <c r="F38" s="9"/>
      <c r="G38" s="9"/>
      <c r="H38" s="9"/>
      <c r="I38" s="9"/>
      <c r="J38" s="9" t="s">
        <v>446</v>
      </c>
      <c r="K38" s="10" t="s">
        <v>350</v>
      </c>
      <c r="L38" s="10" t="s">
        <v>350</v>
      </c>
      <c r="M38" s="10" t="s">
        <v>350</v>
      </c>
      <c r="N38" s="11"/>
      <c r="O38" s="6"/>
      <c r="P38"/>
      <c r="AA38" s="6"/>
    </row>
    <row r="39" spans="1:27" x14ac:dyDescent="0.35">
      <c r="A39" s="7" t="str">
        <f t="shared" si="0"/>
        <v>113</v>
      </c>
      <c r="B39" s="8" t="s">
        <v>447</v>
      </c>
      <c r="C39" s="8" t="s">
        <v>309</v>
      </c>
      <c r="D39" s="8">
        <v>1</v>
      </c>
      <c r="E39" s="9" t="str">
        <f>IF(ISNUMBER(SEARCH("CT",B39)),
   "CrossTransferStation[" &amp; (Q$3 + COUNTIF($B$2:B39,"*CT*")-1) &amp; "]",
   IF(AND(ISNUMBER(SEARCH("C",B39)),NOT(ISNUMBER(SEARCH("CT",B39)))),
      "ConveyorStation[" &amp; (Q$2 + COUNTIF($B$2:B39,"*C*") - COUNTIF($B$2:B39,"*CT*")-1) &amp; "]",
      ""))</f>
        <v>ConveyorStation[30]</v>
      </c>
      <c r="F39" s="9"/>
      <c r="G39" s="9"/>
      <c r="H39" s="9"/>
      <c r="I39" s="9"/>
      <c r="J39" s="9" t="s">
        <v>448</v>
      </c>
      <c r="K39" s="10" t="s">
        <v>350</v>
      </c>
      <c r="L39" s="10" t="s">
        <v>350</v>
      </c>
      <c r="M39" s="10" t="s">
        <v>350</v>
      </c>
      <c r="N39" s="11"/>
      <c r="O39" s="6"/>
      <c r="P39"/>
      <c r="AA39" s="6"/>
    </row>
    <row r="40" spans="1:27" x14ac:dyDescent="0.35">
      <c r="A40" s="7" t="str">
        <f t="shared" si="0"/>
        <v>114</v>
      </c>
      <c r="B40" s="8" t="s">
        <v>449</v>
      </c>
      <c r="C40" s="8" t="s">
        <v>309</v>
      </c>
      <c r="D40" s="8">
        <v>1</v>
      </c>
      <c r="E40" s="9" t="str">
        <f>IF(ISNUMBER(SEARCH("CT",B40)),
   "CrossTransferStation[" &amp; (Q$3 + COUNTIF($B$2:B40,"*CT*")-1) &amp; "]",
   IF(AND(ISNUMBER(SEARCH("C",B40)),NOT(ISNUMBER(SEARCH("CT",B40)))),
      "ConveyorStation[" &amp; (Q$2 + COUNTIF($B$2:B40,"*C*") - COUNTIF($B$2:B40,"*CT*")-1) &amp; "]",
      ""))</f>
        <v>ConveyorStation[31]</v>
      </c>
      <c r="F40" s="9"/>
      <c r="G40" s="9"/>
      <c r="H40" s="9"/>
      <c r="I40" s="9"/>
      <c r="J40" s="9" t="s">
        <v>450</v>
      </c>
      <c r="K40" s="10" t="s">
        <v>350</v>
      </c>
      <c r="L40" s="10" t="s">
        <v>350</v>
      </c>
      <c r="M40" s="10" t="s">
        <v>350</v>
      </c>
      <c r="N40" s="11"/>
      <c r="O40" s="6"/>
      <c r="P40"/>
      <c r="AA40" s="6"/>
    </row>
    <row r="41" spans="1:27" x14ac:dyDescent="0.35">
      <c r="A41" s="7" t="str">
        <f t="shared" si="0"/>
        <v>115</v>
      </c>
      <c r="B41" s="26" t="s">
        <v>451</v>
      </c>
      <c r="C41" s="26" t="s">
        <v>309</v>
      </c>
      <c r="D41" s="26">
        <v>1</v>
      </c>
      <c r="E41" s="9" t="str">
        <f>IF(ISNUMBER(SEARCH("CT",B41)),
   "CrossTransferStation[" &amp; (Q$3 + COUNTIF($B$2:B41,"*CT*")-1) &amp; "]",
   IF(AND(ISNUMBER(SEARCH("C",B41)),NOT(ISNUMBER(SEARCH("CT",B41)))),
      "ConveyorStation[" &amp; (Q$2 + COUNTIF($B$2:B41,"*C*") - COUNTIF($B$2:B41,"*CT*")-1) &amp; "]",
      ""))</f>
        <v>ConveyorStation[32]</v>
      </c>
      <c r="F41" s="27"/>
      <c r="G41" s="9"/>
      <c r="H41" s="27"/>
      <c r="I41" s="27"/>
      <c r="J41" s="9" t="s">
        <v>452</v>
      </c>
      <c r="K41" s="10" t="s">
        <v>350</v>
      </c>
      <c r="L41" s="28" t="s">
        <v>350</v>
      </c>
      <c r="M41" s="28" t="s">
        <v>350</v>
      </c>
      <c r="N41" s="29"/>
      <c r="O41" s="6"/>
      <c r="P41"/>
      <c r="AA41" s="6"/>
    </row>
    <row r="42" spans="1:27" ht="39" x14ac:dyDescent="0.35">
      <c r="A42" s="7" t="str">
        <f t="shared" si="0"/>
        <v>311</v>
      </c>
      <c r="B42" s="26" t="s">
        <v>453</v>
      </c>
      <c r="C42" s="26" t="s">
        <v>309</v>
      </c>
      <c r="D42" s="26">
        <v>1</v>
      </c>
      <c r="E42" s="9" t="str">
        <f>IF(ISNUMBER(SEARCH("CT",B42)),
   "CrossTransferStation[" &amp; (Q$3 + COUNTIF($B$2:B42,"*CT*")-1) &amp; "]",
   IF(AND(ISNUMBER(SEARCH("C",B42)),NOT(ISNUMBER(SEARCH("CT",B42)))),
      "ConveyorStation[" &amp; (Q$2 + COUNTIF($B$2:B42,"*C*") - COUNTIF($B$2:B42,"*CT*")-1) &amp; "]",
      ""))</f>
        <v>ConveyorStation[33]</v>
      </c>
      <c r="F42" s="9" t="s">
        <v>454</v>
      </c>
      <c r="G42" s="27"/>
      <c r="H42" s="27"/>
      <c r="I42" s="27"/>
      <c r="J42" s="27" t="s">
        <v>455</v>
      </c>
      <c r="K42" s="28" t="s">
        <v>350</v>
      </c>
      <c r="L42" s="28" t="s">
        <v>351</v>
      </c>
      <c r="M42" s="28" t="s">
        <v>351</v>
      </c>
      <c r="N42" s="29"/>
      <c r="O42" s="6"/>
      <c r="P42"/>
      <c r="AA42" s="6"/>
    </row>
    <row r="43" spans="1:27" ht="39" x14ac:dyDescent="0.35">
      <c r="A43" s="7" t="str">
        <f t="shared" si="0"/>
        <v>312</v>
      </c>
      <c r="B43" s="8" t="s">
        <v>456</v>
      </c>
      <c r="C43" s="26" t="s">
        <v>309</v>
      </c>
      <c r="D43" s="26">
        <v>1</v>
      </c>
      <c r="E43" s="9" t="str">
        <f>IF(ISNUMBER(SEARCH("CT",B43)),
   "CrossTransferStation[" &amp; (Q$3 + COUNTIF($B$2:B48,"*CT*")-1) &amp; "]",
   IF(AND(ISNUMBER(SEARCH("C",B43)),NOT(ISNUMBER(SEARCH("CT",B43)))),
      "ConveyorStation[" &amp; (Q$2 + COUNTIF($B$2:B48,"*C*") - COUNTIF($B$2:B48,"*CT*")-1) &amp; "]",
      ""))</f>
        <v>ConveyorStation[34]</v>
      </c>
      <c r="F43" s="9" t="s">
        <v>457</v>
      </c>
      <c r="G43" s="27"/>
      <c r="H43" s="9"/>
      <c r="I43" s="9"/>
      <c r="J43" s="27" t="s">
        <v>458</v>
      </c>
      <c r="K43" s="10" t="s">
        <v>350</v>
      </c>
      <c r="L43" s="10" t="s">
        <v>351</v>
      </c>
      <c r="M43" s="10" t="s">
        <v>351</v>
      </c>
      <c r="N43" s="11"/>
      <c r="O43" s="6"/>
      <c r="P43"/>
      <c r="AA43" s="6"/>
    </row>
    <row r="44" spans="1:27" ht="34.5" customHeight="1" x14ac:dyDescent="0.35">
      <c r="A44" s="7">
        <v>3</v>
      </c>
      <c r="B44" s="26" t="s">
        <v>1891</v>
      </c>
      <c r="C44" s="26" t="s">
        <v>309</v>
      </c>
      <c r="D44" s="26">
        <v>1</v>
      </c>
      <c r="E44" s="27" t="s">
        <v>1887</v>
      </c>
      <c r="F44" s="27"/>
      <c r="G44" s="27"/>
      <c r="H44" s="27"/>
      <c r="I44" s="117"/>
      <c r="J44" s="27"/>
      <c r="K44" s="28"/>
      <c r="L44" s="28"/>
      <c r="M44" s="28"/>
      <c r="N44" s="29"/>
    </row>
    <row r="45" spans="1:27" x14ac:dyDescent="0.35">
      <c r="A45" s="7">
        <v>5</v>
      </c>
      <c r="B45" s="26" t="s">
        <v>1892</v>
      </c>
      <c r="C45" s="26" t="s">
        <v>309</v>
      </c>
      <c r="D45" s="26">
        <v>1</v>
      </c>
      <c r="E45" s="27" t="s">
        <v>1888</v>
      </c>
      <c r="F45" s="9"/>
      <c r="G45" s="9"/>
      <c r="H45" s="9"/>
      <c r="I45" s="46"/>
      <c r="J45" s="27"/>
      <c r="K45" s="28"/>
      <c r="L45" s="10"/>
      <c r="M45" s="10"/>
      <c r="N45" s="11"/>
    </row>
    <row r="46" spans="1:27" x14ac:dyDescent="0.35">
      <c r="A46" s="7">
        <v>7</v>
      </c>
      <c r="B46" s="26" t="s">
        <v>1893</v>
      </c>
      <c r="C46" s="26" t="s">
        <v>309</v>
      </c>
      <c r="D46" s="26">
        <v>1</v>
      </c>
      <c r="E46" s="27" t="s">
        <v>1885</v>
      </c>
      <c r="F46" s="9"/>
      <c r="G46" s="9"/>
      <c r="H46" s="9"/>
      <c r="I46" s="46"/>
      <c r="J46" s="88"/>
      <c r="K46" s="247"/>
      <c r="L46" s="10"/>
      <c r="M46" s="10"/>
      <c r="N46" s="11"/>
    </row>
    <row r="47" spans="1:27" x14ac:dyDescent="0.35">
      <c r="A47" s="7">
        <v>9</v>
      </c>
      <c r="B47" s="26" t="s">
        <v>1894</v>
      </c>
      <c r="C47" s="26" t="s">
        <v>309</v>
      </c>
      <c r="D47" s="26">
        <v>1</v>
      </c>
      <c r="E47" s="27" t="s">
        <v>1886</v>
      </c>
      <c r="F47" s="9"/>
      <c r="G47" s="9"/>
      <c r="H47" s="9"/>
      <c r="I47" s="46"/>
      <c r="J47" s="88"/>
      <c r="K47" s="247"/>
      <c r="L47" s="10"/>
      <c r="M47" s="10"/>
      <c r="N47" s="11"/>
    </row>
    <row r="48" spans="1:27" x14ac:dyDescent="0.35">
      <c r="A48" s="7">
        <v>10</v>
      </c>
      <c r="B48" s="26" t="s">
        <v>1889</v>
      </c>
      <c r="C48" s="26" t="s">
        <v>309</v>
      </c>
      <c r="D48" s="26">
        <v>1</v>
      </c>
      <c r="E48" s="27" t="s">
        <v>1890</v>
      </c>
      <c r="F48" s="9"/>
      <c r="G48" s="9"/>
      <c r="H48" s="9"/>
      <c r="I48" s="46"/>
      <c r="J48" s="27"/>
      <c r="K48" s="28"/>
      <c r="L48" s="10"/>
      <c r="M48" s="10"/>
      <c r="N48" s="11"/>
    </row>
  </sheetData>
  <phoneticPr fontId="10" type="noConversion"/>
  <pageMargins left="0.7" right="0.7" top="0.75" bottom="0.75" header="0.3" footer="0.3"/>
  <ignoredErrors>
    <ignoredError sqref="E43:E48" calculatedColumn="1"/>
  </ignoredErrors>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F424D-4CA1-4E40-B2DC-213E0C109FC3}">
  <dimension ref="A1:Y56"/>
  <sheetViews>
    <sheetView zoomScale="102" zoomScaleNormal="100" workbookViewId="0">
      <selection activeCell="E51" sqref="E51:E56"/>
    </sheetView>
  </sheetViews>
  <sheetFormatPr defaultColWidth="10.54296875" defaultRowHeight="14.5" x14ac:dyDescent="0.35"/>
  <cols>
    <col min="1" max="1" width="7.1796875" style="30" bestFit="1" customWidth="1"/>
    <col min="2" max="2" width="13" style="30" customWidth="1"/>
    <col min="3" max="3" width="10.453125" style="30" bestFit="1" customWidth="1"/>
    <col min="4" max="4" width="11.453125" style="30" bestFit="1" customWidth="1"/>
    <col min="5" max="5" width="30" style="31" bestFit="1" customWidth="1"/>
    <col min="6" max="6" width="18.81640625" style="31" bestFit="1" customWidth="1"/>
    <col min="7" max="9" width="16.453125" style="31" customWidth="1"/>
    <col min="10" max="10" width="34" style="31" customWidth="1"/>
    <col min="11" max="11" width="24" style="31" bestFit="1" customWidth="1"/>
    <col min="12" max="13" width="15.7265625" style="30" bestFit="1" customWidth="1"/>
    <col min="14" max="14" width="12.26953125" style="30" bestFit="1" customWidth="1"/>
    <col min="15" max="15" width="6" style="6" customWidth="1"/>
    <col min="16" max="16" width="20" bestFit="1" customWidth="1"/>
    <col min="17" max="17" width="4.453125" bestFit="1" customWidth="1"/>
    <col min="18" max="18" width="4.7265625" bestFit="1" customWidth="1"/>
    <col min="19" max="19" width="11.26953125" bestFit="1" customWidth="1"/>
    <col min="20" max="20" width="11.54296875" bestFit="1" customWidth="1"/>
    <col min="26" max="16384" width="10.54296875" style="6"/>
  </cols>
  <sheetData>
    <row r="1" spans="1:21" ht="26" x14ac:dyDescent="0.35">
      <c r="A1" s="1" t="s">
        <v>334</v>
      </c>
      <c r="B1" s="2" t="s">
        <v>308</v>
      </c>
      <c r="C1" s="2" t="s">
        <v>335</v>
      </c>
      <c r="D1" s="2" t="s">
        <v>336</v>
      </c>
      <c r="E1" s="3" t="s">
        <v>337</v>
      </c>
      <c r="F1" s="3" t="s">
        <v>338</v>
      </c>
      <c r="G1" s="3" t="s">
        <v>459</v>
      </c>
      <c r="H1" s="3" t="s">
        <v>340</v>
      </c>
      <c r="I1" s="3" t="s">
        <v>341</v>
      </c>
      <c r="J1" s="3" t="s">
        <v>342</v>
      </c>
      <c r="K1" s="3" t="s">
        <v>343</v>
      </c>
      <c r="L1" s="4" t="s">
        <v>344</v>
      </c>
      <c r="M1" s="4" t="s">
        <v>345</v>
      </c>
      <c r="N1" s="5" t="s">
        <v>346</v>
      </c>
    </row>
    <row r="2" spans="1:21" x14ac:dyDescent="0.35">
      <c r="A2" s="7" t="str">
        <f>IF(ISNUMBER(SEARCH("CT",B2)),"1"&amp;MID(B2,2,FIND("CT",B2)-2)&amp;RIGHT(B2,1),MID(B2,2,FIND("C",B2)-2)&amp;RIGHT(B2,1))</f>
        <v>121</v>
      </c>
      <c r="B2" s="8" t="s">
        <v>460</v>
      </c>
      <c r="C2" s="8" t="s">
        <v>310</v>
      </c>
      <c r="D2" s="8">
        <v>1</v>
      </c>
      <c r="E2" s="27" t="str">
        <f>IF(ISNUMBER(SEARCH("CT",B2)),
   "CrossTransferStation[" &amp; (Q$3 + COUNTIF($B$2:B2,"*CT*")-1) &amp; "]",
   IF(AND(ISNUMBER(SEARCH("C",B2)),NOT(ISNUMBER(SEARCH("CT",B2)))),
      "ConveyorStation[" &amp; (Q$2 + COUNTIF($B$2:B2,"*C*") - COUNTIF($B$2:B2,"*CT*")-1) &amp; "]",
      ""))</f>
        <v>ConveyorStation[45]</v>
      </c>
      <c r="F2" s="9"/>
      <c r="G2" s="9"/>
      <c r="H2" s="9"/>
      <c r="I2" s="9"/>
      <c r="J2" s="9" t="s">
        <v>461</v>
      </c>
      <c r="K2" s="9"/>
      <c r="L2" s="10" t="s">
        <v>350</v>
      </c>
      <c r="M2" s="10" t="s">
        <v>350</v>
      </c>
      <c r="N2" s="11"/>
      <c r="P2" s="59" t="s">
        <v>352</v>
      </c>
      <c r="Q2" s="57">
        <v>45</v>
      </c>
    </row>
    <row r="3" spans="1:21" ht="39" x14ac:dyDescent="0.35">
      <c r="A3" s="7" t="str">
        <f t="shared" ref="A3:A51" si="0">IF(ISNUMBER(SEARCH("CT",B3)),"1"&amp;MID(B3,2,FIND("CT",B3)-2)&amp;RIGHT(B3,1),MID(B3,2,FIND("C",B3)-2)&amp;RIGHT(B3,1))</f>
        <v>122</v>
      </c>
      <c r="B3" s="8" t="s">
        <v>462</v>
      </c>
      <c r="C3" s="8" t="s">
        <v>310</v>
      </c>
      <c r="D3" s="8">
        <v>1</v>
      </c>
      <c r="E3" s="27" t="str">
        <f>IF(ISNUMBER(SEARCH("CT",B3)),
   "CrossTransferStation[" &amp; (Q$3 + COUNTIF($B$2:B3,"*CT*")-1) &amp; "]",
   IF(AND(ISNUMBER(SEARCH("C",B3)),NOT(ISNUMBER(SEARCH("CT",B3)))),
      "ConveyorStation[" &amp; (Q$2 + COUNTIF($B$2:B3,"*C*") - COUNTIF($B$2:B3,"*CT*")-1) &amp; "]",
      ""))</f>
        <v>ConveyorStation[46]</v>
      </c>
      <c r="F3" s="9"/>
      <c r="G3" s="9"/>
      <c r="H3" s="9"/>
      <c r="I3" s="9"/>
      <c r="J3" s="9" t="s">
        <v>463</v>
      </c>
      <c r="K3" s="9"/>
      <c r="L3" s="10" t="s">
        <v>350</v>
      </c>
      <c r="M3" s="10" t="s">
        <v>350</v>
      </c>
      <c r="N3" s="11"/>
      <c r="P3" s="59" t="s">
        <v>356</v>
      </c>
      <c r="Q3" s="57">
        <v>19</v>
      </c>
    </row>
    <row r="4" spans="1:21" ht="26" x14ac:dyDescent="0.35">
      <c r="A4" s="7" t="str">
        <f t="shared" si="0"/>
        <v>1121</v>
      </c>
      <c r="B4" s="8" t="s">
        <v>464</v>
      </c>
      <c r="C4" s="8" t="s">
        <v>310</v>
      </c>
      <c r="D4" s="8">
        <v>1</v>
      </c>
      <c r="E4" s="27" t="str">
        <f>IF(ISNUMBER(SEARCH("CT",B4)),
   "CrossTransferStation[" &amp; (Q$3 + COUNTIF($B$2:B4,"*CT*")-1) &amp; "]",
   IF(AND(ISNUMBER(SEARCH("C",B4)),NOT(ISNUMBER(SEARCH("CT",B4)))),
      "ConveyorStation[" &amp; (Q$2 + COUNTIF($B$2:B4,"*C*") - COUNTIF($B$2:B4,"*CT*")-1) &amp; "]",
      ""))</f>
        <v>CrossTransferStation[19]</v>
      </c>
      <c r="F4" s="151" t="s">
        <v>465</v>
      </c>
      <c r="G4" s="9"/>
      <c r="H4" s="9"/>
      <c r="I4" s="9"/>
      <c r="J4" s="9" t="s">
        <v>466</v>
      </c>
      <c r="K4" s="9"/>
      <c r="L4" s="10" t="s">
        <v>350</v>
      </c>
      <c r="M4" s="10" t="s">
        <v>350</v>
      </c>
      <c r="N4" s="11"/>
      <c r="P4" s="59"/>
      <c r="Q4" s="55"/>
    </row>
    <row r="5" spans="1:21" ht="39" x14ac:dyDescent="0.35">
      <c r="A5" s="7" t="str">
        <f t="shared" si="0"/>
        <v>1122</v>
      </c>
      <c r="B5" s="8" t="s">
        <v>467</v>
      </c>
      <c r="C5" s="8" t="s">
        <v>310</v>
      </c>
      <c r="D5" s="8">
        <v>1</v>
      </c>
      <c r="E5" s="27" t="str">
        <f>IF(ISNUMBER(SEARCH("CT",B5)),
   "CrossTransferStation[" &amp; (Q$3 + COUNTIF($B$2:B5,"*CT*")-1) &amp; "]",
   IF(AND(ISNUMBER(SEARCH("C",B5)),NOT(ISNUMBER(SEARCH("CT",B5)))),
      "ConveyorStation[" &amp; (Q$2 + COUNTIF($B$2:B5,"*C*") - COUNTIF($B$2:B5,"*CT*")-1) &amp; "]",
      ""))</f>
        <v>CrossTransferStation[20]</v>
      </c>
      <c r="F5" s="9" t="s">
        <v>468</v>
      </c>
      <c r="G5" s="9"/>
      <c r="H5" s="9"/>
      <c r="I5" s="9"/>
      <c r="J5" s="9" t="s">
        <v>469</v>
      </c>
      <c r="K5" s="10" t="s">
        <v>470</v>
      </c>
      <c r="L5" s="10" t="s">
        <v>350</v>
      </c>
      <c r="M5" s="10" t="s">
        <v>351</v>
      </c>
      <c r="N5" s="11"/>
    </row>
    <row r="6" spans="1:21" ht="26" x14ac:dyDescent="0.35">
      <c r="A6" s="7" t="str">
        <f t="shared" si="0"/>
        <v>131</v>
      </c>
      <c r="B6" s="8" t="s">
        <v>471</v>
      </c>
      <c r="C6" s="8" t="s">
        <v>310</v>
      </c>
      <c r="D6" s="8">
        <v>1</v>
      </c>
      <c r="E6" s="27" t="str">
        <f>IF(ISNUMBER(SEARCH("CT",B6)),
   "CrossTransferStation[" &amp; (Q$3 + COUNTIF($B$2:B6,"*CT*")-1) &amp; "]",
   IF(AND(ISNUMBER(SEARCH("C",B6)),NOT(ISNUMBER(SEARCH("CT",B6)))),
      "ConveyorStation[" &amp; (Q$2 + COUNTIF($B$2:B6,"*C*") - COUNTIF($B$2:B6,"*CT*")-1) &amp; "]",
      ""))</f>
        <v>ConveyorStation[47]</v>
      </c>
      <c r="F6" s="9"/>
      <c r="G6" s="9"/>
      <c r="H6" s="9"/>
      <c r="I6" s="9"/>
      <c r="J6" s="9" t="s">
        <v>472</v>
      </c>
      <c r="K6" s="9"/>
      <c r="L6" s="10" t="s">
        <v>350</v>
      </c>
      <c r="M6" s="10" t="s">
        <v>350</v>
      </c>
      <c r="N6" s="11"/>
      <c r="P6" s="58" t="s">
        <v>308</v>
      </c>
      <c r="Q6" s="58" t="s">
        <v>365</v>
      </c>
      <c r="R6" s="58" t="s">
        <v>366</v>
      </c>
      <c r="S6" s="58" t="s">
        <v>367</v>
      </c>
      <c r="T6" s="58" t="s">
        <v>368</v>
      </c>
    </row>
    <row r="7" spans="1:21" ht="39" x14ac:dyDescent="0.35">
      <c r="A7" s="7" t="str">
        <f t="shared" si="0"/>
        <v>132</v>
      </c>
      <c r="B7" s="8" t="s">
        <v>473</v>
      </c>
      <c r="C7" s="8" t="s">
        <v>310</v>
      </c>
      <c r="D7" s="8">
        <v>1</v>
      </c>
      <c r="E7" s="27" t="str">
        <f>IF(ISNUMBER(SEARCH("CT",B7)),
   "CrossTransferStation[" &amp; (Q$3 + COUNTIF($B$2:B7,"*CT*")-1) &amp; "]",
   IF(AND(ISNUMBER(SEARCH("C",B7)),NOT(ISNUMBER(SEARCH("CT",B7)))),
      "ConveyorStation[" &amp; (Q$2 + COUNTIF($B$2:B7,"*C*") - COUNTIF($B$2:B7,"*CT*")-1) &amp; "]",
      ""))</f>
        <v>ConveyorStation[48]</v>
      </c>
      <c r="F7" s="9"/>
      <c r="G7" s="9"/>
      <c r="H7" s="9"/>
      <c r="I7" s="9"/>
      <c r="J7" s="9" t="s">
        <v>474</v>
      </c>
      <c r="K7" s="9"/>
      <c r="L7" s="10" t="s">
        <v>350</v>
      </c>
      <c r="M7" s="10" t="s">
        <v>350</v>
      </c>
      <c r="N7" s="11"/>
      <c r="P7" s="9" t="s">
        <v>322</v>
      </c>
      <c r="Q7" s="57">
        <v>45</v>
      </c>
      <c r="R7" s="57">
        <v>82</v>
      </c>
      <c r="S7" s="57">
        <v>10</v>
      </c>
      <c r="T7" s="56">
        <f>SUM(R7:S7)+1</f>
        <v>93</v>
      </c>
      <c r="U7" s="42">
        <f>T7-S7-Q7</f>
        <v>38</v>
      </c>
    </row>
    <row r="8" spans="1:21" x14ac:dyDescent="0.35">
      <c r="A8" s="7" t="str">
        <f t="shared" si="0"/>
        <v>133</v>
      </c>
      <c r="B8" s="8" t="s">
        <v>475</v>
      </c>
      <c r="C8" s="8" t="s">
        <v>310</v>
      </c>
      <c r="D8" s="8">
        <v>1</v>
      </c>
      <c r="E8" s="27" t="str">
        <f>IF(ISNUMBER(SEARCH("CT",B8)),
   "CrossTransferStation[" &amp; (Q$3 + COUNTIF($B$2:B8,"*CT*")-1) &amp; "]",
   IF(AND(ISNUMBER(SEARCH("C",B8)),NOT(ISNUMBER(SEARCH("CT",B8)))),
      "ConveyorStation[" &amp; (Q$2 + COUNTIF($B$2:B8,"*C*") - COUNTIF($B$2:B8,"*CT*")-1) &amp; "]",
      ""))</f>
        <v>ConveyorStation[49]</v>
      </c>
      <c r="F8" s="9"/>
      <c r="G8" s="9"/>
      <c r="H8" s="9"/>
      <c r="I8" s="9"/>
      <c r="J8" s="9" t="s">
        <v>476</v>
      </c>
      <c r="K8" s="9"/>
      <c r="L8" s="10" t="s">
        <v>350</v>
      </c>
      <c r="M8" s="10" t="s">
        <v>350</v>
      </c>
      <c r="N8" s="11"/>
      <c r="P8" s="9" t="s">
        <v>323</v>
      </c>
      <c r="Q8" s="57">
        <v>19</v>
      </c>
      <c r="R8" s="57">
        <v>30</v>
      </c>
      <c r="S8" s="57">
        <v>10</v>
      </c>
      <c r="T8" s="56">
        <f t="shared" ref="T8:T11" si="1">SUM(R8:S8)+1</f>
        <v>41</v>
      </c>
      <c r="U8" s="42">
        <f t="shared" ref="U8:U11" si="2">T8-S8-Q8</f>
        <v>12</v>
      </c>
    </row>
    <row r="9" spans="1:21" x14ac:dyDescent="0.35">
      <c r="A9" s="7" t="str">
        <f t="shared" si="0"/>
        <v>134</v>
      </c>
      <c r="B9" s="8" t="s">
        <v>477</v>
      </c>
      <c r="C9" s="8" t="s">
        <v>310</v>
      </c>
      <c r="D9" s="8">
        <v>1</v>
      </c>
      <c r="E9" s="27" t="str">
        <f>IF(ISNUMBER(SEARCH("CT",B9)),
   "CrossTransferStation[" &amp; (Q$3 + COUNTIF($B$2:B9,"*CT*")-1) &amp; "]",
   IF(AND(ISNUMBER(SEARCH("C",B9)),NOT(ISNUMBER(SEARCH("CT",B9)))),
      "ConveyorStation[" &amp; (Q$2 + COUNTIF($B$2:B9,"*C*") - COUNTIF($B$2:B9,"*CT*")-1) &amp; "]",
      ""))</f>
        <v>ConveyorStation[50]</v>
      </c>
      <c r="F9" s="9" t="s">
        <v>478</v>
      </c>
      <c r="G9" s="9"/>
      <c r="H9" s="9"/>
      <c r="I9" s="9"/>
      <c r="J9" s="9" t="s">
        <v>479</v>
      </c>
      <c r="K9" s="9"/>
      <c r="L9" s="10" t="s">
        <v>351</v>
      </c>
      <c r="M9" s="10" t="s">
        <v>350</v>
      </c>
      <c r="N9" s="11"/>
      <c r="P9" s="9" t="s">
        <v>324</v>
      </c>
      <c r="Q9" s="57">
        <v>19</v>
      </c>
      <c r="R9" s="57">
        <v>30</v>
      </c>
      <c r="S9" s="57">
        <v>10</v>
      </c>
      <c r="T9" s="56">
        <f t="shared" si="1"/>
        <v>41</v>
      </c>
      <c r="U9" s="42">
        <f t="shared" si="2"/>
        <v>12</v>
      </c>
    </row>
    <row r="10" spans="1:21" ht="39" x14ac:dyDescent="0.35">
      <c r="A10" s="7" t="str">
        <f t="shared" si="0"/>
        <v>1131</v>
      </c>
      <c r="B10" s="8" t="s">
        <v>480</v>
      </c>
      <c r="C10" s="8" t="s">
        <v>310</v>
      </c>
      <c r="D10" s="8">
        <v>1</v>
      </c>
      <c r="E10" s="27" t="str">
        <f>IF(ISNUMBER(SEARCH("CT",B10)),
   "CrossTransferStation[" &amp; (Q$3 + COUNTIF($B$2:B10,"*CT*")-1) &amp; "]",
   IF(AND(ISNUMBER(SEARCH("C",B10)),NOT(ISNUMBER(SEARCH("CT",B10)))),
      "ConveyorStation[" &amp; (Q$2 + COUNTIF($B$2:B10,"*C*") - COUNTIF($B$2:B10,"*CT*")-1) &amp; "]",
      ""))</f>
        <v>CrossTransferStation[21]</v>
      </c>
      <c r="F10" s="9" t="s">
        <v>481</v>
      </c>
      <c r="G10" s="9"/>
      <c r="H10" s="9"/>
      <c r="I10" s="9"/>
      <c r="J10" s="9" t="s">
        <v>482</v>
      </c>
      <c r="K10" s="10" t="s">
        <v>470</v>
      </c>
      <c r="L10" s="10" t="s">
        <v>351</v>
      </c>
      <c r="M10" s="10" t="s">
        <v>351</v>
      </c>
      <c r="N10" s="11"/>
      <c r="P10" s="9" t="s">
        <v>325</v>
      </c>
      <c r="Q10" s="57">
        <v>16</v>
      </c>
      <c r="R10" s="57">
        <v>19</v>
      </c>
      <c r="S10" s="57">
        <v>10</v>
      </c>
      <c r="T10" s="56">
        <f t="shared" si="1"/>
        <v>30</v>
      </c>
      <c r="U10" s="42">
        <f t="shared" si="2"/>
        <v>4</v>
      </c>
    </row>
    <row r="11" spans="1:21" x14ac:dyDescent="0.35">
      <c r="A11" s="7" t="str">
        <f t="shared" si="0"/>
        <v>141</v>
      </c>
      <c r="B11" s="8" t="s">
        <v>483</v>
      </c>
      <c r="C11" s="8" t="s">
        <v>310</v>
      </c>
      <c r="D11" s="8">
        <v>1</v>
      </c>
      <c r="E11" s="27" t="str">
        <f>IF(ISNUMBER(SEARCH("CT",B11)),
   "CrossTransferStation[" &amp; (Q$3 + COUNTIF($B$2:B11,"*CT*")-1) &amp; "]",
   IF(AND(ISNUMBER(SEARCH("C",B11)),NOT(ISNUMBER(SEARCH("CT",B11)))),
      "ConveyorStation[" &amp; (Q$2 + COUNTIF($B$2:B11,"*C*") - COUNTIF($B$2:B11,"*CT*")-1) &amp; "]",
      ""))</f>
        <v>ConveyorStation[51]</v>
      </c>
      <c r="F11" s="9" t="s">
        <v>484</v>
      </c>
      <c r="G11" s="9"/>
      <c r="H11" s="9"/>
      <c r="I11" s="9"/>
      <c r="J11" s="9" t="s">
        <v>485</v>
      </c>
      <c r="K11" s="9"/>
      <c r="L11" s="10" t="s">
        <v>351</v>
      </c>
      <c r="M11" s="10" t="s">
        <v>350</v>
      </c>
      <c r="N11" s="11"/>
      <c r="P11" s="9" t="s">
        <v>326</v>
      </c>
      <c r="Q11" s="57">
        <v>16</v>
      </c>
      <c r="R11" s="57">
        <v>20</v>
      </c>
      <c r="S11" s="57">
        <v>10</v>
      </c>
      <c r="T11" s="56">
        <f t="shared" si="1"/>
        <v>31</v>
      </c>
      <c r="U11" s="42">
        <f t="shared" si="2"/>
        <v>5</v>
      </c>
    </row>
    <row r="12" spans="1:21" ht="39" x14ac:dyDescent="0.35">
      <c r="A12" s="7" t="str">
        <f t="shared" si="0"/>
        <v>142</v>
      </c>
      <c r="B12" s="8" t="s">
        <v>486</v>
      </c>
      <c r="C12" s="8" t="s">
        <v>310</v>
      </c>
      <c r="D12" s="8">
        <v>1</v>
      </c>
      <c r="E12" s="27" t="str">
        <f>IF(ISNUMBER(SEARCH("CT",B12)),
   "CrossTransferStation[" &amp; (Q$3 + COUNTIF($B$2:B12,"*CT*")-1) &amp; "]",
   IF(AND(ISNUMBER(SEARCH("C",B12)),NOT(ISNUMBER(SEARCH("CT",B12)))),
      "ConveyorStation[" &amp; (Q$2 + COUNTIF($B$2:B12,"*C*") - COUNTIF($B$2:B12,"*CT*")-1) &amp; "]",
      ""))</f>
        <v>ConveyorStation[52]</v>
      </c>
      <c r="F12" s="9"/>
      <c r="G12" s="9"/>
      <c r="H12" s="9"/>
      <c r="I12" s="9"/>
      <c r="J12" s="9" t="s">
        <v>487</v>
      </c>
      <c r="K12" s="9"/>
      <c r="L12" s="10" t="s">
        <v>350</v>
      </c>
      <c r="M12" s="10" t="s">
        <v>350</v>
      </c>
      <c r="N12" s="11"/>
      <c r="P12" s="9" t="s">
        <v>327</v>
      </c>
      <c r="Q12" s="57"/>
      <c r="R12" s="57"/>
      <c r="S12" s="57"/>
      <c r="T12" s="56">
        <f>'EZ1 Inbound'!T12</f>
        <v>15</v>
      </c>
    </row>
    <row r="13" spans="1:21" x14ac:dyDescent="0.35">
      <c r="A13" s="7" t="str">
        <f t="shared" si="0"/>
        <v>143</v>
      </c>
      <c r="B13" s="8" t="s">
        <v>488</v>
      </c>
      <c r="C13" s="8" t="s">
        <v>310</v>
      </c>
      <c r="D13" s="8">
        <v>1</v>
      </c>
      <c r="E13" s="27" t="str">
        <f>IF(ISNUMBER(SEARCH("CT",B13)),
   "CrossTransferStation[" &amp; (Q$3 + COUNTIF($B$2:B13,"*CT*")-1) &amp; "]",
   IF(AND(ISNUMBER(SEARCH("C",B13)),NOT(ISNUMBER(SEARCH("CT",B13)))),
      "ConveyorStation[" &amp; (Q$2 + COUNTIF($B$2:B13,"*C*") - COUNTIF($B$2:B13,"*CT*")-1) &amp; "]",
      ""))</f>
        <v>ConveyorStation[53]</v>
      </c>
      <c r="F13" s="9"/>
      <c r="G13" s="9"/>
      <c r="H13" s="9"/>
      <c r="I13" s="9"/>
      <c r="J13" s="9" t="s">
        <v>489</v>
      </c>
      <c r="K13" s="9"/>
      <c r="L13" s="10" t="s">
        <v>350</v>
      </c>
      <c r="M13" s="10" t="s">
        <v>350</v>
      </c>
      <c r="N13" s="11"/>
      <c r="P13" s="9" t="s">
        <v>328</v>
      </c>
      <c r="Q13" s="57"/>
      <c r="R13" s="57"/>
      <c r="S13" s="57"/>
      <c r="T13" s="56">
        <f>'EZ1 Inbound'!T13</f>
        <v>12</v>
      </c>
    </row>
    <row r="14" spans="1:21" ht="39" x14ac:dyDescent="0.35">
      <c r="A14" s="7" t="str">
        <f t="shared" si="0"/>
        <v>1141</v>
      </c>
      <c r="B14" s="8" t="s">
        <v>490</v>
      </c>
      <c r="C14" s="8" t="s">
        <v>310</v>
      </c>
      <c r="D14" s="8">
        <v>1</v>
      </c>
      <c r="E14" s="27" t="str">
        <f>IF(ISNUMBER(SEARCH("CT",B14)),
   "CrossTransferStation[" &amp; (Q$3 + COUNTIF($B$2:B14,"*CT*")-1) &amp; "]",
   IF(AND(ISNUMBER(SEARCH("C",B14)),NOT(ISNUMBER(SEARCH("CT",B14)))),
      "ConveyorStation[" &amp; (Q$2 + COUNTIF($B$2:B14,"*C*") - COUNTIF($B$2:B14,"*CT*")-1) &amp; "]",
      ""))</f>
        <v>CrossTransferStation[22]</v>
      </c>
      <c r="F14" s="9" t="s">
        <v>491</v>
      </c>
      <c r="G14" s="9"/>
      <c r="H14" s="9"/>
      <c r="I14" s="9"/>
      <c r="J14" s="9" t="s">
        <v>492</v>
      </c>
      <c r="K14" s="10" t="s">
        <v>470</v>
      </c>
      <c r="L14" s="10" t="s">
        <v>351</v>
      </c>
      <c r="M14" s="10" t="s">
        <v>351</v>
      </c>
      <c r="N14" s="11"/>
      <c r="P14" s="9" t="s">
        <v>329</v>
      </c>
      <c r="Q14" s="57"/>
      <c r="R14" s="57"/>
      <c r="S14" s="57"/>
      <c r="T14" s="56"/>
    </row>
    <row r="15" spans="1:21" ht="39" x14ac:dyDescent="0.35">
      <c r="A15" s="7" t="str">
        <f t="shared" si="0"/>
        <v>151</v>
      </c>
      <c r="B15" s="8" t="s">
        <v>493</v>
      </c>
      <c r="C15" s="8" t="s">
        <v>310</v>
      </c>
      <c r="D15" s="8">
        <v>1</v>
      </c>
      <c r="E15" s="27" t="str">
        <f>IF(ISNUMBER(SEARCH("CT",B15)),
   "CrossTransferStation[" &amp; (Q$3 + COUNTIF($B$2:B15,"*CT*")-1) &amp; "]",
   IF(AND(ISNUMBER(SEARCH("C",B15)),NOT(ISNUMBER(SEARCH("CT",B15)))),
      "ConveyorStation[" &amp; (Q$2 + COUNTIF($B$2:B15,"*C*") - COUNTIF($B$2:B15,"*CT*")-1) &amp; "]",
      ""))</f>
        <v>ConveyorStation[54]</v>
      </c>
      <c r="F15" s="9"/>
      <c r="G15" s="9"/>
      <c r="H15" s="9"/>
      <c r="I15" s="9"/>
      <c r="J15" s="9" t="s">
        <v>494</v>
      </c>
      <c r="K15" s="9"/>
      <c r="L15" s="10" t="s">
        <v>350</v>
      </c>
      <c r="M15" s="10" t="s">
        <v>350</v>
      </c>
      <c r="N15" s="11"/>
      <c r="P15" s="9" t="s">
        <v>185</v>
      </c>
      <c r="Q15" s="56"/>
      <c r="R15" s="56"/>
      <c r="S15" s="56"/>
      <c r="T15" s="56">
        <f>'EZ1 Inbound'!T15</f>
        <v>12</v>
      </c>
    </row>
    <row r="16" spans="1:21" ht="26" x14ac:dyDescent="0.35">
      <c r="A16" s="7" t="str">
        <f t="shared" si="0"/>
        <v>152</v>
      </c>
      <c r="B16" s="8" t="s">
        <v>495</v>
      </c>
      <c r="C16" s="8" t="s">
        <v>310</v>
      </c>
      <c r="D16" s="8">
        <v>1</v>
      </c>
      <c r="E16" s="27" t="str">
        <f>IF(ISNUMBER(SEARCH("CT",B16)),
   "CrossTransferStation[" &amp; (Q$3 + COUNTIF($B$2:B16,"*CT*")-1) &amp; "]",
   IF(AND(ISNUMBER(SEARCH("C",B16)),NOT(ISNUMBER(SEARCH("CT",B16)))),
      "ConveyorStation[" &amp; (Q$2 + COUNTIF($B$2:B16,"*C*") - COUNTIF($B$2:B16,"*CT*")-1) &amp; "]",
      ""))</f>
        <v>ConveyorStation[55]</v>
      </c>
      <c r="F16" s="9"/>
      <c r="G16" s="9"/>
      <c r="H16" s="9"/>
      <c r="I16" s="9"/>
      <c r="J16" s="9" t="s">
        <v>496</v>
      </c>
      <c r="K16" s="9"/>
      <c r="L16" s="10" t="s">
        <v>350</v>
      </c>
      <c r="M16" s="10" t="s">
        <v>350</v>
      </c>
      <c r="N16" s="11"/>
      <c r="P16" s="41" t="s">
        <v>330</v>
      </c>
      <c r="Q16" s="56"/>
      <c r="R16" s="56"/>
      <c r="S16" s="56"/>
      <c r="T16" s="56">
        <f>'EZ1 Inbound'!T16</f>
        <v>12</v>
      </c>
    </row>
    <row r="17" spans="1:20" x14ac:dyDescent="0.35">
      <c r="A17" s="7" t="str">
        <f t="shared" si="0"/>
        <v>153</v>
      </c>
      <c r="B17" s="8" t="s">
        <v>497</v>
      </c>
      <c r="C17" s="8" t="s">
        <v>310</v>
      </c>
      <c r="D17" s="8">
        <v>1</v>
      </c>
      <c r="E17" s="27" t="str">
        <f>IF(ISNUMBER(SEARCH("CT",B17)),
   "CrossTransferStation[" &amp; (Q$3 + COUNTIF($B$2:B17,"*CT*")-1) &amp; "]",
   IF(AND(ISNUMBER(SEARCH("C",B17)),NOT(ISNUMBER(SEARCH("CT",B17)))),
      "ConveyorStation[" &amp; (Q$2 + COUNTIF($B$2:B17,"*C*") - COUNTIF($B$2:B17,"*CT*")-1) &amp; "]",
      ""))</f>
        <v>ConveyorStation[56]</v>
      </c>
      <c r="F17" s="9"/>
      <c r="G17" s="9"/>
      <c r="H17" s="9"/>
      <c r="I17" s="9"/>
      <c r="J17" s="9" t="s">
        <v>498</v>
      </c>
      <c r="K17" s="9"/>
      <c r="L17" s="10" t="s">
        <v>350</v>
      </c>
      <c r="M17" s="10" t="s">
        <v>350</v>
      </c>
      <c r="N17" s="11"/>
      <c r="P17" s="9" t="s">
        <v>331</v>
      </c>
      <c r="Q17" s="57"/>
      <c r="R17" s="57"/>
      <c r="S17" s="55"/>
      <c r="T17" s="56"/>
    </row>
    <row r="18" spans="1:20" ht="39" x14ac:dyDescent="0.35">
      <c r="A18" s="7" t="str">
        <f t="shared" si="0"/>
        <v>1151</v>
      </c>
      <c r="B18" s="8" t="s">
        <v>499</v>
      </c>
      <c r="C18" s="8" t="s">
        <v>310</v>
      </c>
      <c r="D18" s="8">
        <v>1</v>
      </c>
      <c r="E18" s="27" t="str">
        <f>IF(ISNUMBER(SEARCH("CT",B18)),
   "CrossTransferStation[" &amp; (Q$3 + COUNTIF($B$2:B18,"*CT*")-1) &amp; "]",
   IF(AND(ISNUMBER(SEARCH("C",B18)),NOT(ISNUMBER(SEARCH("CT",B18)))),
      "ConveyorStation[" &amp; (Q$2 + COUNTIF($B$2:B18,"*C*") - COUNTIF($B$2:B18,"*CT*")-1) &amp; "]",
      ""))</f>
        <v>CrossTransferStation[23]</v>
      </c>
      <c r="F18" s="9" t="s">
        <v>500</v>
      </c>
      <c r="G18" s="9"/>
      <c r="H18" s="9"/>
      <c r="I18" s="9"/>
      <c r="J18" s="9" t="s">
        <v>501</v>
      </c>
      <c r="K18" s="10" t="s">
        <v>470</v>
      </c>
      <c r="L18" s="10" t="s">
        <v>350</v>
      </c>
      <c r="M18" s="10" t="s">
        <v>351</v>
      </c>
      <c r="N18" s="11"/>
    </row>
    <row r="19" spans="1:20" x14ac:dyDescent="0.35">
      <c r="A19" s="7" t="str">
        <f t="shared" si="0"/>
        <v>161</v>
      </c>
      <c r="B19" s="8" t="s">
        <v>502</v>
      </c>
      <c r="C19" s="8" t="s">
        <v>310</v>
      </c>
      <c r="D19" s="8">
        <v>1</v>
      </c>
      <c r="E19" s="27" t="str">
        <f>IF(ISNUMBER(SEARCH("CT",B19)),
   "CrossTransferStation[" &amp; (Q$3 + COUNTIF($B$2:B19,"*CT*")-1) &amp; "]",
   IF(AND(ISNUMBER(SEARCH("C",B19)),NOT(ISNUMBER(SEARCH("CT",B19)))),
      "ConveyorStation[" &amp; (Q$2 + COUNTIF($B$2:B19,"*C*") - COUNTIF($B$2:B19,"*CT*")-1) &amp; "]",
      ""))</f>
        <v>ConveyorStation[57]</v>
      </c>
      <c r="F19" s="9" t="s">
        <v>503</v>
      </c>
      <c r="G19" s="9"/>
      <c r="H19" s="9"/>
      <c r="I19" s="9"/>
      <c r="J19" s="9" t="s">
        <v>504</v>
      </c>
      <c r="K19" s="9"/>
      <c r="L19" s="24" t="s">
        <v>350</v>
      </c>
      <c r="M19" s="24" t="s">
        <v>351</v>
      </c>
      <c r="N19" s="11"/>
    </row>
    <row r="20" spans="1:20" ht="39" x14ac:dyDescent="0.35">
      <c r="A20" s="7" t="str">
        <f t="shared" si="0"/>
        <v>162</v>
      </c>
      <c r="B20" s="8" t="s">
        <v>505</v>
      </c>
      <c r="C20" s="8" t="s">
        <v>310</v>
      </c>
      <c r="D20" s="8">
        <v>1</v>
      </c>
      <c r="E20" s="27" t="str">
        <f>IF(ISNUMBER(SEARCH("CT",B20)),
   "CrossTransferStation[" &amp; (Q$3 + COUNTIF($B$2:B20,"*CT*")-1) &amp; "]",
   IF(AND(ISNUMBER(SEARCH("C",B20)),NOT(ISNUMBER(SEARCH("CT",B20)))),
      "ConveyorStation[" &amp; (Q$2 + COUNTIF($B$2:B20,"*C*") - COUNTIF($B$2:B20,"*CT*")-1) &amp; "]",
      ""))</f>
        <v>ConveyorStation[58]</v>
      </c>
      <c r="F20" s="9"/>
      <c r="G20" s="9"/>
      <c r="H20" s="9"/>
      <c r="I20" s="9"/>
      <c r="J20" s="9" t="s">
        <v>506</v>
      </c>
      <c r="K20" s="9"/>
      <c r="L20" s="10" t="s">
        <v>350</v>
      </c>
      <c r="M20" s="10" t="s">
        <v>350</v>
      </c>
      <c r="N20" s="11"/>
    </row>
    <row r="21" spans="1:20" x14ac:dyDescent="0.35">
      <c r="A21" s="7" t="str">
        <f t="shared" si="0"/>
        <v>163</v>
      </c>
      <c r="B21" s="8" t="s">
        <v>507</v>
      </c>
      <c r="C21" s="8" t="s">
        <v>310</v>
      </c>
      <c r="D21" s="8">
        <v>1</v>
      </c>
      <c r="E21" s="27" t="str">
        <f>IF(ISNUMBER(SEARCH("CT",B21)),
   "CrossTransferStation[" &amp; (Q$3 + COUNTIF($B$2:B21,"*CT*")-1) &amp; "]",
   IF(AND(ISNUMBER(SEARCH("C",B21)),NOT(ISNUMBER(SEARCH("CT",B21)))),
      "ConveyorStation[" &amp; (Q$2 + COUNTIF($B$2:B21,"*C*") - COUNTIF($B$2:B21,"*CT*")-1) &amp; "]",
      ""))</f>
        <v>ConveyorStation[59]</v>
      </c>
      <c r="F21" s="9"/>
      <c r="G21" s="9"/>
      <c r="H21" s="9"/>
      <c r="I21" s="9"/>
      <c r="J21" s="9" t="s">
        <v>508</v>
      </c>
      <c r="K21" s="9"/>
      <c r="L21" s="10" t="s">
        <v>350</v>
      </c>
      <c r="M21" s="10" t="s">
        <v>350</v>
      </c>
      <c r="N21" s="11"/>
    </row>
    <row r="22" spans="1:20" ht="39" x14ac:dyDescent="0.35">
      <c r="A22" s="7" t="str">
        <f t="shared" si="0"/>
        <v>1161</v>
      </c>
      <c r="B22" s="8" t="s">
        <v>509</v>
      </c>
      <c r="C22" s="8" t="s">
        <v>310</v>
      </c>
      <c r="D22" s="8">
        <v>1</v>
      </c>
      <c r="E22" s="27" t="str">
        <f>IF(ISNUMBER(SEARCH("CT",B22)),
   "CrossTransferStation[" &amp; (Q$3 + COUNTIF($B$2:B22,"*CT*")-1) &amp; "]",
   IF(AND(ISNUMBER(SEARCH("C",B22)),NOT(ISNUMBER(SEARCH("CT",B22)))),
      "ConveyorStation[" &amp; (Q$2 + COUNTIF($B$2:B22,"*C*") - COUNTIF($B$2:B22,"*CT*")-1) &amp; "]",
      ""))</f>
        <v>CrossTransferStation[24]</v>
      </c>
      <c r="F22" s="9" t="s">
        <v>510</v>
      </c>
      <c r="G22" s="9"/>
      <c r="H22" s="9"/>
      <c r="I22" s="9"/>
      <c r="J22" s="9" t="s">
        <v>511</v>
      </c>
      <c r="K22" s="10" t="s">
        <v>470</v>
      </c>
      <c r="L22" s="10" t="s">
        <v>351</v>
      </c>
      <c r="M22" s="10" t="s">
        <v>351</v>
      </c>
      <c r="N22" s="11"/>
    </row>
    <row r="23" spans="1:20" ht="26" x14ac:dyDescent="0.35">
      <c r="A23" s="7" t="str">
        <f t="shared" si="0"/>
        <v>171</v>
      </c>
      <c r="B23" s="8" t="s">
        <v>512</v>
      </c>
      <c r="C23" s="8" t="s">
        <v>310</v>
      </c>
      <c r="D23" s="8">
        <v>1</v>
      </c>
      <c r="E23" s="27" t="str">
        <f>IF(ISNUMBER(SEARCH("CT",B23)),
   "CrossTransferStation[" &amp; (Q$3 + COUNTIF($B$2:B23,"*CT*")-1) &amp; "]",
   IF(AND(ISNUMBER(SEARCH("C",B23)),NOT(ISNUMBER(SEARCH("CT",B23)))),
      "ConveyorStation[" &amp; (Q$2 + COUNTIF($B$2:B23,"*C*") - COUNTIF($B$2:B23,"*CT*")-1) &amp; "]",
      ""))</f>
        <v>ConveyorStation[60]</v>
      </c>
      <c r="F23" s="9" t="s">
        <v>513</v>
      </c>
      <c r="G23" s="9"/>
      <c r="H23" s="9"/>
      <c r="I23" s="9"/>
      <c r="J23" s="9" t="s">
        <v>514</v>
      </c>
      <c r="K23" s="9"/>
      <c r="L23" s="24" t="s">
        <v>350</v>
      </c>
      <c r="M23" s="24" t="s">
        <v>351</v>
      </c>
      <c r="N23" s="11"/>
    </row>
    <row r="24" spans="1:20" ht="39" x14ac:dyDescent="0.35">
      <c r="A24" s="7" t="str">
        <f t="shared" si="0"/>
        <v>172</v>
      </c>
      <c r="B24" s="8" t="s">
        <v>515</v>
      </c>
      <c r="C24" s="8" t="s">
        <v>310</v>
      </c>
      <c r="D24" s="8">
        <v>1</v>
      </c>
      <c r="E24" s="27" t="str">
        <f>IF(ISNUMBER(SEARCH("CT",B24)),
   "CrossTransferStation[" &amp; (Q$3 + COUNTIF($B$2:B24,"*CT*")-1) &amp; "]",
   IF(AND(ISNUMBER(SEARCH("C",B24)),NOT(ISNUMBER(SEARCH("CT",B24)))),
      "ConveyorStation[" &amp; (Q$2 + COUNTIF($B$2:B24,"*C*") - COUNTIF($B$2:B24,"*CT*")-1) &amp; "]",
      ""))</f>
        <v>ConveyorStation[61]</v>
      </c>
      <c r="F24" s="9"/>
      <c r="G24" s="9"/>
      <c r="H24" s="9"/>
      <c r="I24" s="9"/>
      <c r="J24" s="9" t="s">
        <v>516</v>
      </c>
      <c r="K24" s="9"/>
      <c r="L24" s="10" t="s">
        <v>350</v>
      </c>
      <c r="M24" s="10" t="s">
        <v>350</v>
      </c>
      <c r="N24" s="11"/>
    </row>
    <row r="25" spans="1:20" x14ac:dyDescent="0.35">
      <c r="A25" s="7" t="str">
        <f t="shared" si="0"/>
        <v>173</v>
      </c>
      <c r="B25" s="8" t="s">
        <v>517</v>
      </c>
      <c r="C25" s="8" t="s">
        <v>310</v>
      </c>
      <c r="D25" s="8">
        <v>1</v>
      </c>
      <c r="E25" s="27" t="str">
        <f>IF(ISNUMBER(SEARCH("CT",B25)),
   "CrossTransferStation[" &amp; (Q$3 + COUNTIF($B$2:B25,"*CT*")-1) &amp; "]",
   IF(AND(ISNUMBER(SEARCH("C",B25)),NOT(ISNUMBER(SEARCH("CT",B25)))),
      "ConveyorStation[" &amp; (Q$2 + COUNTIF($B$2:B25,"*C*") - COUNTIF($B$2:B25,"*CT*")-1) &amp; "]",
      ""))</f>
        <v>ConveyorStation[62]</v>
      </c>
      <c r="F25" s="9"/>
      <c r="G25" s="9"/>
      <c r="H25" s="9"/>
      <c r="I25" s="9"/>
      <c r="J25" s="9" t="s">
        <v>518</v>
      </c>
      <c r="K25" s="9"/>
      <c r="L25" s="10" t="s">
        <v>350</v>
      </c>
      <c r="M25" s="10" t="s">
        <v>350</v>
      </c>
      <c r="N25" s="11"/>
    </row>
    <row r="26" spans="1:20" ht="39" x14ac:dyDescent="0.35">
      <c r="A26" s="7" t="str">
        <f t="shared" si="0"/>
        <v>1171</v>
      </c>
      <c r="B26" s="8" t="s">
        <v>519</v>
      </c>
      <c r="C26" s="8" t="s">
        <v>310</v>
      </c>
      <c r="D26" s="8">
        <v>1</v>
      </c>
      <c r="E26" s="27" t="str">
        <f>IF(ISNUMBER(SEARCH("CT",B26)),
   "CrossTransferStation[" &amp; (Q$3 + COUNTIF($B$2:B26,"*CT*")-1) &amp; "]",
   IF(AND(ISNUMBER(SEARCH("C",B26)),NOT(ISNUMBER(SEARCH("CT",B26)))),
      "ConveyorStation[" &amp; (Q$2 + COUNTIF($B$2:B26,"*C*") - COUNTIF($B$2:B26,"*CT*")-1) &amp; "]",
      ""))</f>
        <v>CrossTransferStation[25]</v>
      </c>
      <c r="F26" s="9" t="s">
        <v>520</v>
      </c>
      <c r="G26" s="9"/>
      <c r="H26" s="9"/>
      <c r="I26" s="9"/>
      <c r="J26" s="9" t="s">
        <v>521</v>
      </c>
      <c r="K26" s="10" t="s">
        <v>470</v>
      </c>
      <c r="L26" s="10" t="s">
        <v>351</v>
      </c>
      <c r="M26" s="10" t="s">
        <v>351</v>
      </c>
      <c r="N26" s="11"/>
    </row>
    <row r="27" spans="1:20" ht="26" x14ac:dyDescent="0.35">
      <c r="A27" s="7" t="str">
        <f t="shared" si="0"/>
        <v>181</v>
      </c>
      <c r="B27" s="8" t="s">
        <v>522</v>
      </c>
      <c r="C27" s="8" t="s">
        <v>310</v>
      </c>
      <c r="D27" s="8">
        <v>1</v>
      </c>
      <c r="E27" s="27" t="str">
        <f>IF(ISNUMBER(SEARCH("CT",B27)),
   "CrossTransferStation[" &amp; (Q$3 + COUNTIF($B$2:B27,"*CT*")-1) &amp; "]",
   IF(AND(ISNUMBER(SEARCH("C",B27)),NOT(ISNUMBER(SEARCH("CT",B27)))),
      "ConveyorStation[" &amp; (Q$2 + COUNTIF($B$2:B27,"*C*") - COUNTIF($B$2:B27,"*CT*")-1) &amp; "]",
      ""))</f>
        <v>ConveyorStation[63]</v>
      </c>
      <c r="F27" s="9" t="s">
        <v>523</v>
      </c>
      <c r="G27" s="9"/>
      <c r="H27" s="9"/>
      <c r="I27" s="9"/>
      <c r="J27" s="9" t="s">
        <v>524</v>
      </c>
      <c r="K27" s="9"/>
      <c r="L27" s="24" t="s">
        <v>350</v>
      </c>
      <c r="M27" s="24" t="s">
        <v>351</v>
      </c>
      <c r="N27" s="11"/>
    </row>
    <row r="28" spans="1:20" ht="39" x14ac:dyDescent="0.35">
      <c r="A28" s="7" t="str">
        <f t="shared" si="0"/>
        <v>182</v>
      </c>
      <c r="B28" s="8" t="s">
        <v>525</v>
      </c>
      <c r="C28" s="8" t="s">
        <v>310</v>
      </c>
      <c r="D28" s="8">
        <v>1</v>
      </c>
      <c r="E28" s="27" t="str">
        <f>IF(ISNUMBER(SEARCH("CT",B28)),
   "CrossTransferStation[" &amp; (Q$3 + COUNTIF($B$2:B28,"*CT*")-1) &amp; "]",
   IF(AND(ISNUMBER(SEARCH("C",B28)),NOT(ISNUMBER(SEARCH("CT",B28)))),
      "ConveyorStation[" &amp; (Q$2 + COUNTIF($B$2:B28,"*C*") - COUNTIF($B$2:B28,"*CT*")-1) &amp; "]",
      ""))</f>
        <v>ConveyorStation[64]</v>
      </c>
      <c r="F28" s="9"/>
      <c r="G28" s="9"/>
      <c r="H28" s="9"/>
      <c r="I28" s="9"/>
      <c r="J28" s="9" t="s">
        <v>526</v>
      </c>
      <c r="K28" s="9"/>
      <c r="L28" s="10" t="s">
        <v>350</v>
      </c>
      <c r="M28" s="10" t="s">
        <v>350</v>
      </c>
      <c r="N28" s="11"/>
    </row>
    <row r="29" spans="1:20" x14ac:dyDescent="0.35">
      <c r="A29" s="7" t="str">
        <f t="shared" si="0"/>
        <v>183</v>
      </c>
      <c r="B29" s="8" t="s">
        <v>527</v>
      </c>
      <c r="C29" s="8" t="s">
        <v>310</v>
      </c>
      <c r="D29" s="8">
        <v>1</v>
      </c>
      <c r="E29" s="27" t="str">
        <f>IF(ISNUMBER(SEARCH("CT",B29)),
   "CrossTransferStation[" &amp; (Q$3 + COUNTIF($B$2:B29,"*CT*")-1) &amp; "]",
   IF(AND(ISNUMBER(SEARCH("C",B29)),NOT(ISNUMBER(SEARCH("CT",B29)))),
      "ConveyorStation[" &amp; (Q$2 + COUNTIF($B$2:B29,"*C*") - COUNTIF($B$2:B29,"*CT*")-1) &amp; "]",
      ""))</f>
        <v>ConveyorStation[65]</v>
      </c>
      <c r="F29" s="9"/>
      <c r="G29" s="9"/>
      <c r="H29" s="9"/>
      <c r="I29" s="9"/>
      <c r="J29" s="9" t="s">
        <v>528</v>
      </c>
      <c r="K29" s="9"/>
      <c r="L29" s="10" t="s">
        <v>350</v>
      </c>
      <c r="M29" s="10" t="s">
        <v>350</v>
      </c>
      <c r="N29" s="11"/>
    </row>
    <row r="30" spans="1:20" ht="26" x14ac:dyDescent="0.35">
      <c r="A30" s="7" t="str">
        <f t="shared" si="0"/>
        <v>184</v>
      </c>
      <c r="B30" s="8" t="s">
        <v>529</v>
      </c>
      <c r="C30" s="8" t="s">
        <v>310</v>
      </c>
      <c r="D30" s="8">
        <v>1</v>
      </c>
      <c r="E30" s="27" t="str">
        <f>IF(ISNUMBER(SEARCH("CT",B30)),
   "CrossTransferStation[" &amp; (Q$3 + COUNTIF($B$2:B30,"*CT*")-1) &amp; "]",
   IF(AND(ISNUMBER(SEARCH("C",B30)),NOT(ISNUMBER(SEARCH("CT",B30)))),
      "ConveyorStation[" &amp; (Q$2 + COUNTIF($B$2:B30,"*C*") - COUNTIF($B$2:B30,"*CT*")-1) &amp; "]",
      ""))</f>
        <v>ConveyorStation[66]</v>
      </c>
      <c r="F30" s="9"/>
      <c r="G30" s="9"/>
      <c r="H30" s="9"/>
      <c r="I30" s="9"/>
      <c r="J30" s="9" t="s">
        <v>530</v>
      </c>
      <c r="K30" s="9"/>
      <c r="L30" s="10" t="s">
        <v>350</v>
      </c>
      <c r="M30" s="10" t="s">
        <v>350</v>
      </c>
      <c r="N30" s="11"/>
    </row>
    <row r="31" spans="1:20" ht="39" x14ac:dyDescent="0.35">
      <c r="A31" s="7" t="str">
        <f t="shared" si="0"/>
        <v>1181</v>
      </c>
      <c r="B31" s="8" t="s">
        <v>531</v>
      </c>
      <c r="C31" s="8" t="s">
        <v>310</v>
      </c>
      <c r="D31" s="8">
        <v>1</v>
      </c>
      <c r="E31" s="27" t="str">
        <f>IF(ISNUMBER(SEARCH("CT",B31)),
   "CrossTransferStation[" &amp; (Q$3 + COUNTIF($B$2:B31,"*CT*")-1) &amp; "]",
   IF(AND(ISNUMBER(SEARCH("C",B31)),NOT(ISNUMBER(SEARCH("CT",B31)))),
      "ConveyorStation[" &amp; (Q$2 + COUNTIF($B$2:B31,"*C*") - COUNTIF($B$2:B31,"*CT*")-1) &amp; "]",
      ""))</f>
        <v>CrossTransferStation[26]</v>
      </c>
      <c r="F31" s="9" t="s">
        <v>532</v>
      </c>
      <c r="G31" s="9"/>
      <c r="H31" s="9"/>
      <c r="I31" s="9"/>
      <c r="J31" s="9" t="s">
        <v>533</v>
      </c>
      <c r="K31" s="10" t="s">
        <v>470</v>
      </c>
      <c r="L31" s="10" t="s">
        <v>351</v>
      </c>
      <c r="M31" s="10" t="s">
        <v>351</v>
      </c>
      <c r="N31" s="11"/>
    </row>
    <row r="32" spans="1:20" ht="26" x14ac:dyDescent="0.35">
      <c r="A32" s="7" t="str">
        <f t="shared" si="0"/>
        <v>191</v>
      </c>
      <c r="B32" s="8" t="s">
        <v>534</v>
      </c>
      <c r="C32" s="8" t="s">
        <v>310</v>
      </c>
      <c r="D32" s="8">
        <v>1</v>
      </c>
      <c r="E32" s="27" t="str">
        <f>IF(ISNUMBER(SEARCH("CT",B32)),
   "CrossTransferStation[" &amp; (Q$3 + COUNTIF($B$2:B32,"*CT*")-1) &amp; "]",
   IF(AND(ISNUMBER(SEARCH("C",B32)),NOT(ISNUMBER(SEARCH("CT",B32)))),
      "ConveyorStation[" &amp; (Q$2 + COUNTIF($B$2:B32,"*C*") - COUNTIF($B$2:B32,"*CT*")-1) &amp; "]",
      ""))</f>
        <v>ConveyorStation[67]</v>
      </c>
      <c r="F32" s="9"/>
      <c r="G32" s="9"/>
      <c r="H32" s="9"/>
      <c r="I32" s="9"/>
      <c r="J32" s="9" t="s">
        <v>535</v>
      </c>
      <c r="K32" s="9"/>
      <c r="L32" s="10" t="s">
        <v>350</v>
      </c>
      <c r="M32" s="10" t="s">
        <v>350</v>
      </c>
      <c r="N32" s="11"/>
    </row>
    <row r="33" spans="1:14" x14ac:dyDescent="0.35">
      <c r="A33" s="7" t="str">
        <f t="shared" si="0"/>
        <v>192</v>
      </c>
      <c r="B33" s="8" t="s">
        <v>536</v>
      </c>
      <c r="C33" s="8" t="s">
        <v>310</v>
      </c>
      <c r="D33" s="8">
        <v>1</v>
      </c>
      <c r="E33" s="27" t="str">
        <f>IF(ISNUMBER(SEARCH("CT",B33)),
   "CrossTransferStation[" &amp; (Q$3 + COUNTIF($B$2:B33,"*CT*")-1) &amp; "]",
   IF(AND(ISNUMBER(SEARCH("C",B33)),NOT(ISNUMBER(SEARCH("CT",B33)))),
      "ConveyorStation[" &amp; (Q$2 + COUNTIF($B$2:B33,"*C*") - COUNTIF($B$2:B33,"*CT*")-1) &amp; "]",
      ""))</f>
        <v>ConveyorStation[68]</v>
      </c>
      <c r="F33" s="9"/>
      <c r="G33" s="9"/>
      <c r="H33" s="9"/>
      <c r="I33" s="9"/>
      <c r="J33" s="9" t="s">
        <v>537</v>
      </c>
      <c r="K33" s="9"/>
      <c r="L33" s="10" t="s">
        <v>350</v>
      </c>
      <c r="M33" s="10" t="s">
        <v>350</v>
      </c>
      <c r="N33" s="11"/>
    </row>
    <row r="34" spans="1:14" x14ac:dyDescent="0.35">
      <c r="A34" s="7" t="str">
        <f t="shared" si="0"/>
        <v>193</v>
      </c>
      <c r="B34" s="8" t="s">
        <v>538</v>
      </c>
      <c r="C34" s="8" t="s">
        <v>310</v>
      </c>
      <c r="D34" s="8">
        <v>1</v>
      </c>
      <c r="E34" s="27" t="str">
        <f>IF(ISNUMBER(SEARCH("CT",B34)),
   "CrossTransferStation[" &amp; (Q$3 + COUNTIF($B$2:B34,"*CT*")-1) &amp; "]",
   IF(AND(ISNUMBER(SEARCH("C",B34)),NOT(ISNUMBER(SEARCH("CT",B34)))),
      "ConveyorStation[" &amp; (Q$2 + COUNTIF($B$2:B34,"*C*") - COUNTIF($B$2:B34,"*CT*")-1) &amp; "]",
      ""))</f>
        <v>ConveyorStation[69]</v>
      </c>
      <c r="F34" s="9"/>
      <c r="G34" s="9"/>
      <c r="H34" s="9"/>
      <c r="I34" s="9"/>
      <c r="J34" s="9" t="s">
        <v>539</v>
      </c>
      <c r="K34" s="9"/>
      <c r="L34" s="10" t="s">
        <v>350</v>
      </c>
      <c r="M34" s="10" t="s">
        <v>350</v>
      </c>
      <c r="N34" s="11"/>
    </row>
    <row r="35" spans="1:14" ht="39" x14ac:dyDescent="0.35">
      <c r="A35" s="7" t="str">
        <f t="shared" si="0"/>
        <v>194</v>
      </c>
      <c r="B35" s="8" t="s">
        <v>540</v>
      </c>
      <c r="C35" s="8" t="s">
        <v>310</v>
      </c>
      <c r="D35" s="8">
        <v>1</v>
      </c>
      <c r="E35" s="27" t="str">
        <f>IF(ISNUMBER(SEARCH("CT",B35)),
   "CrossTransferStation[" &amp; (Q$3 + COUNTIF($B$2:B35,"*CT*")-1) &amp; "]",
   IF(AND(ISNUMBER(SEARCH("C",B35)),NOT(ISNUMBER(SEARCH("CT",B35)))),
      "ConveyorStation[" &amp; (Q$2 + COUNTIF($B$2:B35,"*C*") - COUNTIF($B$2:B35,"*CT*")-1) &amp; "]",
      ""))</f>
        <v>ConveyorStation[70]</v>
      </c>
      <c r="F35" s="9" t="s">
        <v>541</v>
      </c>
      <c r="G35" s="9"/>
      <c r="H35" s="9"/>
      <c r="I35" s="9"/>
      <c r="J35" s="94" t="s">
        <v>542</v>
      </c>
      <c r="K35" s="9"/>
      <c r="L35" s="10" t="s">
        <v>351</v>
      </c>
      <c r="M35" s="10" t="s">
        <v>350</v>
      </c>
      <c r="N35" s="11"/>
    </row>
    <row r="36" spans="1:14" ht="39" x14ac:dyDescent="0.35">
      <c r="A36" s="7" t="str">
        <f t="shared" si="0"/>
        <v>195</v>
      </c>
      <c r="B36" s="8" t="s">
        <v>543</v>
      </c>
      <c r="C36" s="8" t="s">
        <v>310</v>
      </c>
      <c r="D36" s="8">
        <v>1</v>
      </c>
      <c r="E36" s="27" t="str">
        <f>IF(ISNUMBER(SEARCH("CT",B36)),
   "CrossTransferStation[" &amp; (Q$3 + COUNTIF($B$2:B36,"*CT*")-1) &amp; "]",
   IF(AND(ISNUMBER(SEARCH("C",B36)),NOT(ISNUMBER(SEARCH("CT",B36)))),
      "ConveyorStation[" &amp; (Q$2 + COUNTIF($B$2:B36,"*C*") - COUNTIF($B$2:B36,"*CT*")-1) &amp; "]",
      ""))</f>
        <v>ConveyorStation[71]</v>
      </c>
      <c r="F36" s="9"/>
      <c r="G36" s="9"/>
      <c r="H36" s="9"/>
      <c r="I36" s="9"/>
      <c r="J36" s="9" t="s">
        <v>544</v>
      </c>
      <c r="K36" s="9"/>
      <c r="L36" s="10" t="s">
        <v>350</v>
      </c>
      <c r="M36" s="10" t="s">
        <v>350</v>
      </c>
      <c r="N36" s="11"/>
    </row>
    <row r="37" spans="1:14" x14ac:dyDescent="0.35">
      <c r="A37" s="7" t="str">
        <f t="shared" si="0"/>
        <v>196</v>
      </c>
      <c r="B37" s="8" t="s">
        <v>545</v>
      </c>
      <c r="C37" s="8" t="s">
        <v>310</v>
      </c>
      <c r="D37" s="8">
        <v>1</v>
      </c>
      <c r="E37" s="27" t="str">
        <f>IF(ISNUMBER(SEARCH("CT",B37)),
   "CrossTransferStation[" &amp; (Q$3 + COUNTIF($B$2:B37,"*CT*")-1) &amp; "]",
   IF(AND(ISNUMBER(SEARCH("C",B37)),NOT(ISNUMBER(SEARCH("CT",B37)))),
      "ConveyorStation[" &amp; (Q$2 + COUNTIF($B$2:B37,"*C*") - COUNTIF($B$2:B37,"*CT*")-1) &amp; "]",
      ""))</f>
        <v>ConveyorStation[72]</v>
      </c>
      <c r="F37" s="9"/>
      <c r="G37" s="9"/>
      <c r="H37" s="9"/>
      <c r="I37" s="9"/>
      <c r="J37" s="9" t="s">
        <v>546</v>
      </c>
      <c r="K37" s="9"/>
      <c r="L37" s="10" t="s">
        <v>350</v>
      </c>
      <c r="M37" s="10" t="s">
        <v>350</v>
      </c>
      <c r="N37" s="11"/>
    </row>
    <row r="38" spans="1:14" ht="39" x14ac:dyDescent="0.35">
      <c r="A38" s="7" t="str">
        <f t="shared" si="0"/>
        <v>1191</v>
      </c>
      <c r="B38" s="8" t="s">
        <v>547</v>
      </c>
      <c r="C38" s="8" t="s">
        <v>310</v>
      </c>
      <c r="D38" s="8">
        <v>1</v>
      </c>
      <c r="E38" s="27" t="str">
        <f>IF(ISNUMBER(SEARCH("CT",B38)),
   "CrossTransferStation[" &amp; (Q$3 + COUNTIF($B$2:B38,"*CT*")-1) &amp; "]",
   IF(AND(ISNUMBER(SEARCH("C",B38)),NOT(ISNUMBER(SEARCH("CT",B38)))),
      "ConveyorStation[" &amp; (Q$2 + COUNTIF($B$2:B38,"*C*") - COUNTIF($B$2:B38,"*CT*")-1) &amp; "]",
      ""))</f>
        <v>CrossTransferStation[27]</v>
      </c>
      <c r="F38" s="9" t="s">
        <v>548</v>
      </c>
      <c r="G38" s="9"/>
      <c r="H38" s="9"/>
      <c r="I38" s="9"/>
      <c r="J38" s="9" t="s">
        <v>549</v>
      </c>
      <c r="K38" s="10" t="s">
        <v>470</v>
      </c>
      <c r="L38" s="10" t="s">
        <v>351</v>
      </c>
      <c r="M38" s="10" t="s">
        <v>351</v>
      </c>
      <c r="N38" s="11"/>
    </row>
    <row r="39" spans="1:14" x14ac:dyDescent="0.35">
      <c r="A39" s="7" t="str">
        <f t="shared" si="0"/>
        <v>201</v>
      </c>
      <c r="B39" s="8" t="s">
        <v>550</v>
      </c>
      <c r="C39" s="8" t="s">
        <v>310</v>
      </c>
      <c r="D39" s="8">
        <v>1</v>
      </c>
      <c r="E39" s="27" t="str">
        <f>IF(ISNUMBER(SEARCH("CT",B39)),
   "CrossTransferStation[" &amp; (Q$3 + COUNTIF($B$2:B39,"*CT*")-1) &amp; "]",
   IF(AND(ISNUMBER(SEARCH("C",B39)),NOT(ISNUMBER(SEARCH("CT",B39)))),
      "ConveyorStation[" &amp; (Q$2 + COUNTIF($B$2:B39,"*C*") - COUNTIF($B$2:B39,"*CT*")-1) &amp; "]",
      ""))</f>
        <v>ConveyorStation[73]</v>
      </c>
      <c r="F39" s="9"/>
      <c r="G39" s="9"/>
      <c r="H39" s="9"/>
      <c r="I39" s="9"/>
      <c r="J39" s="9" t="s">
        <v>551</v>
      </c>
      <c r="K39" s="9"/>
      <c r="L39" s="10" t="s">
        <v>350</v>
      </c>
      <c r="M39" s="10" t="s">
        <v>350</v>
      </c>
      <c r="N39" s="11"/>
    </row>
    <row r="40" spans="1:14" x14ac:dyDescent="0.35">
      <c r="A40" s="7" t="str">
        <f t="shared" si="0"/>
        <v>202</v>
      </c>
      <c r="B40" s="8" t="s">
        <v>552</v>
      </c>
      <c r="C40" s="8" t="s">
        <v>310</v>
      </c>
      <c r="D40" s="8">
        <v>1</v>
      </c>
      <c r="E40" s="27" t="str">
        <f>IF(ISNUMBER(SEARCH("CT",B40)),
   "CrossTransferStation[" &amp; (Q$3 + COUNTIF($B$2:B40,"*CT*")-1) &amp; "]",
   IF(AND(ISNUMBER(SEARCH("C",B40)),NOT(ISNUMBER(SEARCH("CT",B40)))),
      "ConveyorStation[" &amp; (Q$2 + COUNTIF($B$2:B40,"*C*") - COUNTIF($B$2:B40,"*CT*")-1) &amp; "]",
      ""))</f>
        <v>ConveyorStation[74]</v>
      </c>
      <c r="F40" s="9"/>
      <c r="G40" s="9"/>
      <c r="H40" s="9"/>
      <c r="I40" s="9"/>
      <c r="J40" s="9" t="s">
        <v>553</v>
      </c>
      <c r="K40" s="9"/>
      <c r="L40" s="10" t="s">
        <v>350</v>
      </c>
      <c r="M40" s="10" t="s">
        <v>350</v>
      </c>
      <c r="N40" s="11"/>
    </row>
    <row r="41" spans="1:14" ht="39" x14ac:dyDescent="0.35">
      <c r="A41" s="7" t="str">
        <f t="shared" si="0"/>
        <v>203</v>
      </c>
      <c r="B41" s="8" t="s">
        <v>554</v>
      </c>
      <c r="C41" s="8" t="s">
        <v>310</v>
      </c>
      <c r="D41" s="8">
        <v>1</v>
      </c>
      <c r="E41" s="27" t="str">
        <f>IF(ISNUMBER(SEARCH("CT",B41)),
   "CrossTransferStation[" &amp; (Q$3 + COUNTIF($B$2:B41,"*CT*")-1) &amp; "]",
   IF(AND(ISNUMBER(SEARCH("C",B41)),NOT(ISNUMBER(SEARCH("CT",B41)))),
      "ConveyorStation[" &amp; (Q$2 + COUNTIF($B$2:B41,"*C*") - COUNTIF($B$2:B41,"*CT*")-1) &amp; "]",
      ""))</f>
        <v>ConveyorStation[75]</v>
      </c>
      <c r="F41" s="27" t="s">
        <v>555</v>
      </c>
      <c r="G41" s="27"/>
      <c r="H41" s="27"/>
      <c r="I41" s="27"/>
      <c r="J41" s="95" t="s">
        <v>556</v>
      </c>
      <c r="K41" s="27"/>
      <c r="L41" s="10" t="s">
        <v>351</v>
      </c>
      <c r="M41" s="10" t="s">
        <v>350</v>
      </c>
      <c r="N41" s="29"/>
    </row>
    <row r="42" spans="1:14" ht="39" x14ac:dyDescent="0.35">
      <c r="A42" s="7" t="str">
        <f t="shared" si="0"/>
        <v>204</v>
      </c>
      <c r="B42" s="8" t="s">
        <v>557</v>
      </c>
      <c r="C42" s="8" t="s">
        <v>310</v>
      </c>
      <c r="D42" s="8">
        <v>1</v>
      </c>
      <c r="E42" s="27" t="str">
        <f>IF(ISNUMBER(SEARCH("CT",B42)),
   "CrossTransferStation[" &amp; (Q$3 + COUNTIF($B$2:B42,"*CT*")-1) &amp; "]",
   IF(AND(ISNUMBER(SEARCH("C",B42)),NOT(ISNUMBER(SEARCH("CT",B42)))),
      "ConveyorStation[" &amp; (Q$2 + COUNTIF($B$2:B42,"*C*") - COUNTIF($B$2:B42,"*CT*")-1) &amp; "]",
      ""))</f>
        <v>ConveyorStation[76]</v>
      </c>
      <c r="F42" s="9"/>
      <c r="G42" s="27"/>
      <c r="H42" s="27"/>
      <c r="I42" s="27"/>
      <c r="J42" s="27" t="s">
        <v>558</v>
      </c>
      <c r="K42" s="27"/>
      <c r="L42" s="10" t="s">
        <v>350</v>
      </c>
      <c r="M42" s="10" t="s">
        <v>350</v>
      </c>
      <c r="N42" s="29"/>
    </row>
    <row r="43" spans="1:14" ht="39" x14ac:dyDescent="0.35">
      <c r="A43" s="7" t="str">
        <f t="shared" si="0"/>
        <v>1201</v>
      </c>
      <c r="B43" s="8" t="s">
        <v>559</v>
      </c>
      <c r="C43" s="8" t="s">
        <v>310</v>
      </c>
      <c r="D43" s="8">
        <v>1</v>
      </c>
      <c r="E43" s="27" t="str">
        <f>IF(ISNUMBER(SEARCH("CT",B43)),
   "CrossTransferStation[" &amp; (Q$3 + COUNTIF($B$2:B43,"*CT*")-1) &amp; "]",
   IF(AND(ISNUMBER(SEARCH("C",B43)),NOT(ISNUMBER(SEARCH("CT",B43)))),
      "ConveyorStation[" &amp; (Q$2 + COUNTIF($B$2:B43,"*C*") - COUNTIF($B$2:B43,"*CT*")-1) &amp; "]",
      ""))</f>
        <v>CrossTransferStation[28]</v>
      </c>
      <c r="F43" s="9" t="s">
        <v>560</v>
      </c>
      <c r="G43" s="9"/>
      <c r="H43" s="9"/>
      <c r="I43" s="9"/>
      <c r="J43" s="9" t="s">
        <v>561</v>
      </c>
      <c r="K43" s="10" t="s">
        <v>470</v>
      </c>
      <c r="L43" s="10" t="s">
        <v>351</v>
      </c>
      <c r="M43" s="10" t="s">
        <v>351</v>
      </c>
      <c r="N43" s="11"/>
    </row>
    <row r="44" spans="1:14" ht="39" x14ac:dyDescent="0.35">
      <c r="A44" s="7" t="str">
        <f t="shared" si="0"/>
        <v>211</v>
      </c>
      <c r="B44" s="8" t="s">
        <v>562</v>
      </c>
      <c r="C44" s="8" t="s">
        <v>310</v>
      </c>
      <c r="D44" s="8">
        <v>1</v>
      </c>
      <c r="E44" s="27" t="str">
        <f>IF(ISNUMBER(SEARCH("CT",B44)),
   "CrossTransferStation[" &amp; (Q$3 + COUNTIF($B$2:B44,"*CT*")-1) &amp; "]",
   IF(AND(ISNUMBER(SEARCH("C",B44)),NOT(ISNUMBER(SEARCH("CT",B44)))),
      "ConveyorStation[" &amp; (Q$2 + COUNTIF($B$2:B44,"*C*") - COUNTIF($B$2:B44,"*CT*")-1) &amp; "]",
      ""))</f>
        <v>ConveyorStation[77]</v>
      </c>
      <c r="F44" s="9" t="s">
        <v>563</v>
      </c>
      <c r="G44" s="9"/>
      <c r="H44" s="9"/>
      <c r="I44" s="9"/>
      <c r="J44" s="9" t="s">
        <v>564</v>
      </c>
      <c r="K44" s="9"/>
      <c r="L44" s="24" t="s">
        <v>350</v>
      </c>
      <c r="M44" s="24" t="s">
        <v>351</v>
      </c>
      <c r="N44" s="11"/>
    </row>
    <row r="45" spans="1:14" ht="39" x14ac:dyDescent="0.35">
      <c r="A45" s="7" t="str">
        <f t="shared" si="0"/>
        <v>212</v>
      </c>
      <c r="B45" s="8" t="s">
        <v>565</v>
      </c>
      <c r="C45" s="8" t="s">
        <v>310</v>
      </c>
      <c r="D45" s="8">
        <v>1</v>
      </c>
      <c r="E45" s="27" t="str">
        <f>IF(ISNUMBER(SEARCH("CT",B45)),
   "CrossTransferStation[" &amp; (Q$3 + COUNTIF($B$2:B45,"*CT*")-1) &amp; "]",
   IF(AND(ISNUMBER(SEARCH("C",B45)),NOT(ISNUMBER(SEARCH("CT",B45)))),
      "ConveyorStation[" &amp; (Q$2 + COUNTIF($B$2:B45,"*C*") - COUNTIF($B$2:B45,"*CT*")-1) &amp; "]",
      ""))</f>
        <v>ConveyorStation[78]</v>
      </c>
      <c r="F45" s="9"/>
      <c r="G45" s="9"/>
      <c r="H45" s="9"/>
      <c r="I45" s="9"/>
      <c r="J45" s="9" t="s">
        <v>566</v>
      </c>
      <c r="K45" s="9"/>
      <c r="L45" s="10" t="s">
        <v>350</v>
      </c>
      <c r="M45" s="10" t="s">
        <v>350</v>
      </c>
      <c r="N45" s="11"/>
    </row>
    <row r="46" spans="1:14" x14ac:dyDescent="0.35">
      <c r="A46" s="7" t="str">
        <f t="shared" si="0"/>
        <v>213</v>
      </c>
      <c r="B46" s="8" t="s">
        <v>567</v>
      </c>
      <c r="C46" s="8" t="s">
        <v>310</v>
      </c>
      <c r="D46" s="8">
        <v>1</v>
      </c>
      <c r="E46" s="27" t="str">
        <f>IF(ISNUMBER(SEARCH("CT",B46)),
   "CrossTransferStation[" &amp; (Q$3 + COUNTIF($B$2:B46,"*CT*")-1) &amp; "]",
   IF(AND(ISNUMBER(SEARCH("C",B46)),NOT(ISNUMBER(SEARCH("CT",B46)))),
      "ConveyorStation[" &amp; (Q$2 + COUNTIF($B$2:B46,"*C*") - COUNTIF($B$2:B46,"*CT*")-1) &amp; "]",
      ""))</f>
        <v>ConveyorStation[79]</v>
      </c>
      <c r="F46" s="9"/>
      <c r="G46" s="9"/>
      <c r="H46" s="9"/>
      <c r="I46" s="9"/>
      <c r="J46" s="9" t="s">
        <v>568</v>
      </c>
      <c r="K46" s="9"/>
      <c r="L46" s="10" t="s">
        <v>350</v>
      </c>
      <c r="M46" s="10" t="s">
        <v>350</v>
      </c>
      <c r="N46" s="11"/>
    </row>
    <row r="47" spans="1:14" ht="39" x14ac:dyDescent="0.35">
      <c r="A47" s="7" t="str">
        <f t="shared" si="0"/>
        <v>1211</v>
      </c>
      <c r="B47" s="8" t="s">
        <v>569</v>
      </c>
      <c r="C47" s="8" t="s">
        <v>310</v>
      </c>
      <c r="D47" s="8">
        <v>1</v>
      </c>
      <c r="E47" s="27" t="str">
        <f>IF(ISNUMBER(SEARCH("CT",B47)),
   "CrossTransferStation[" &amp; (Q$3 + COUNTIF($B$2:B47,"*CT*")-1) &amp; "]",
   IF(AND(ISNUMBER(SEARCH("C",B47)),NOT(ISNUMBER(SEARCH("CT",B47)))),
      "ConveyorStation[" &amp; (Q$2 + COUNTIF($B$2:B47,"*C*") - COUNTIF($B$2:B47,"*CT*")-1) &amp; "]",
      ""))</f>
        <v>CrossTransferStation[29]</v>
      </c>
      <c r="F47" s="9" t="s">
        <v>570</v>
      </c>
      <c r="G47" s="9"/>
      <c r="H47" s="9"/>
      <c r="I47" s="9"/>
      <c r="J47" s="9" t="s">
        <v>571</v>
      </c>
      <c r="K47" s="10" t="s">
        <v>470</v>
      </c>
      <c r="L47" s="10" t="s">
        <v>351</v>
      </c>
      <c r="M47" s="10" t="s">
        <v>351</v>
      </c>
      <c r="N47" s="11"/>
    </row>
    <row r="48" spans="1:14" ht="39" x14ac:dyDescent="0.35">
      <c r="A48" s="7" t="str">
        <f t="shared" si="0"/>
        <v>221</v>
      </c>
      <c r="B48" s="8" t="s">
        <v>572</v>
      </c>
      <c r="C48" s="8" t="s">
        <v>310</v>
      </c>
      <c r="D48" s="8">
        <v>1</v>
      </c>
      <c r="E48" s="27" t="str">
        <f>IF(ISNUMBER(SEARCH("CT",B48)),
   "CrossTransferStation[" &amp; (Q$3 + COUNTIF($B$2:B48,"*CT*")-1) &amp; "]",
   IF(AND(ISNUMBER(SEARCH("C",B48)),NOT(ISNUMBER(SEARCH("CT",B48)))),
      "ConveyorStation[" &amp; (Q$2 + COUNTIF($B$2:B48,"*C*") - COUNTIF($B$2:B48,"*CT*")-1) &amp; "]",
      ""))</f>
        <v>ConveyorStation[80]</v>
      </c>
      <c r="F48" s="9" t="s">
        <v>573</v>
      </c>
      <c r="G48" s="9"/>
      <c r="H48" s="9"/>
      <c r="I48" s="9"/>
      <c r="J48" s="9" t="s">
        <v>574</v>
      </c>
      <c r="K48" s="9"/>
      <c r="L48" s="24" t="s">
        <v>350</v>
      </c>
      <c r="M48" s="24" t="s">
        <v>351</v>
      </c>
      <c r="N48" s="11"/>
    </row>
    <row r="49" spans="1:14" ht="26" x14ac:dyDescent="0.35">
      <c r="A49" s="7" t="str">
        <f t="shared" si="0"/>
        <v>222</v>
      </c>
      <c r="B49" s="8" t="s">
        <v>575</v>
      </c>
      <c r="C49" s="8" t="s">
        <v>310</v>
      </c>
      <c r="D49" s="8">
        <v>1</v>
      </c>
      <c r="E49" s="27" t="str">
        <f>IF(ISNUMBER(SEARCH("CT",B49)),
   "CrossTransferStation[" &amp; (Q$3 + COUNTIF($B$2:B49,"*CT*")-1) &amp; "]",
   IF(AND(ISNUMBER(SEARCH("C",B49)),NOT(ISNUMBER(SEARCH("CT",B49)))),
      "ConveyorStation[" &amp; (Q$2 + COUNTIF($B$2:B49,"*C*") - COUNTIF($B$2:B49,"*CT*")-1) &amp; "]",
      ""))</f>
        <v>ConveyorStation[81]</v>
      </c>
      <c r="F49" s="9"/>
      <c r="G49" s="9"/>
      <c r="H49" s="9"/>
      <c r="I49" s="9"/>
      <c r="J49" s="9" t="s">
        <v>576</v>
      </c>
      <c r="K49" s="9"/>
      <c r="L49" s="10" t="s">
        <v>350</v>
      </c>
      <c r="M49" s="10" t="s">
        <v>350</v>
      </c>
      <c r="N49" s="11"/>
    </row>
    <row r="50" spans="1:14" x14ac:dyDescent="0.35">
      <c r="A50" s="7" t="str">
        <f t="shared" si="0"/>
        <v>223</v>
      </c>
      <c r="B50" s="8" t="s">
        <v>577</v>
      </c>
      <c r="C50" s="8" t="s">
        <v>310</v>
      </c>
      <c r="D50" s="8">
        <v>1</v>
      </c>
      <c r="E50" s="27" t="str">
        <f>IF(ISNUMBER(SEARCH("CT",B50)),
   "CrossTransferStation[" &amp; (Q$3 + COUNTIF($B$2:B50,"*CT*")-1) &amp; "]",
   IF(AND(ISNUMBER(SEARCH("C",B50)),NOT(ISNUMBER(SEARCH("CT",B50)))),
      "ConveyorStation[" &amp; (Q$2 + COUNTIF($B$2:B50,"*C*") - COUNTIF($B$2:B50,"*CT*")-1) &amp; "]",
      ""))</f>
        <v>ConveyorStation[82]</v>
      </c>
      <c r="F50" s="9"/>
      <c r="G50" s="9"/>
      <c r="H50" s="9"/>
      <c r="I50" s="9"/>
      <c r="J50" s="9" t="s">
        <v>578</v>
      </c>
      <c r="K50" s="9"/>
      <c r="L50" s="10" t="s">
        <v>350</v>
      </c>
      <c r="M50" s="10" t="s">
        <v>350</v>
      </c>
      <c r="N50" s="11"/>
    </row>
    <row r="51" spans="1:14" ht="39" x14ac:dyDescent="0.35">
      <c r="A51" s="7" t="str">
        <f t="shared" si="0"/>
        <v>1221</v>
      </c>
      <c r="B51" s="8" t="s">
        <v>579</v>
      </c>
      <c r="C51" s="8" t="s">
        <v>310</v>
      </c>
      <c r="D51" s="8">
        <v>1</v>
      </c>
      <c r="E51" s="27" t="str">
        <f>IF(ISNUMBER(SEARCH("CT",B51)),
   "CrossTransferStation[" &amp; (Q$3 + COUNTIF($B$2:B56,"*CT*")-1) &amp; "]",
   IF(AND(ISNUMBER(SEARCH("C",B51)),NOT(ISNUMBER(SEARCH("CT",B51)))),
      "ConveyorStation[" &amp; (Q$2 + COUNTIF($B$2:B56,"*C*") - COUNTIF($B$2:B56,"*CT*")-1) &amp; "]",
      ""))</f>
        <v>CrossTransferStation[30]</v>
      </c>
      <c r="F51" s="9" t="s">
        <v>580</v>
      </c>
      <c r="G51" s="9"/>
      <c r="H51" s="9"/>
      <c r="I51" s="9"/>
      <c r="J51" s="9" t="s">
        <v>581</v>
      </c>
      <c r="K51" s="10" t="s">
        <v>470</v>
      </c>
      <c r="L51" s="10" t="s">
        <v>351</v>
      </c>
      <c r="M51" s="10" t="s">
        <v>351</v>
      </c>
      <c r="N51" s="11"/>
    </row>
    <row r="52" spans="1:14" x14ac:dyDescent="0.35">
      <c r="A52" s="7"/>
      <c r="B52" s="8" t="s">
        <v>1896</v>
      </c>
      <c r="C52" s="8" t="s">
        <v>310</v>
      </c>
      <c r="D52" s="8">
        <v>1</v>
      </c>
      <c r="E52" s="27" t="s">
        <v>1895</v>
      </c>
      <c r="F52" s="9"/>
      <c r="G52" s="9"/>
      <c r="H52" s="9"/>
      <c r="I52" s="9"/>
      <c r="J52" s="9"/>
      <c r="K52" s="9"/>
      <c r="L52" s="10"/>
      <c r="M52" s="10"/>
      <c r="N52" s="11"/>
    </row>
    <row r="53" spans="1:14" x14ac:dyDescent="0.35">
      <c r="A53" s="7"/>
      <c r="B53" s="8" t="s">
        <v>1901</v>
      </c>
      <c r="C53" s="8" t="s">
        <v>310</v>
      </c>
      <c r="D53" s="8">
        <v>1</v>
      </c>
      <c r="E53" s="27" t="s">
        <v>1897</v>
      </c>
      <c r="F53" s="9"/>
      <c r="G53" s="9"/>
      <c r="H53" s="9"/>
      <c r="I53" s="9"/>
      <c r="J53" s="9"/>
      <c r="K53" s="9"/>
      <c r="L53" s="10"/>
      <c r="M53" s="10"/>
      <c r="N53" s="11"/>
    </row>
    <row r="54" spans="1:14" x14ac:dyDescent="0.35">
      <c r="A54" s="7"/>
      <c r="B54" s="8" t="s">
        <v>1902</v>
      </c>
      <c r="C54" s="8" t="s">
        <v>310</v>
      </c>
      <c r="D54" s="8">
        <v>1</v>
      </c>
      <c r="E54" s="27" t="s">
        <v>1898</v>
      </c>
      <c r="F54" s="9"/>
      <c r="G54" s="9"/>
      <c r="H54" s="9"/>
      <c r="I54" s="9"/>
      <c r="J54" s="9"/>
      <c r="K54" s="9"/>
      <c r="L54" s="10"/>
      <c r="M54" s="10"/>
      <c r="N54" s="11"/>
    </row>
    <row r="55" spans="1:14" x14ac:dyDescent="0.35">
      <c r="A55" s="7"/>
      <c r="B55" s="8" t="s">
        <v>1903</v>
      </c>
      <c r="C55" s="8" t="s">
        <v>310</v>
      </c>
      <c r="D55" s="8">
        <v>1</v>
      </c>
      <c r="E55" s="27" t="s">
        <v>1899</v>
      </c>
      <c r="F55" s="9"/>
      <c r="G55" s="9"/>
      <c r="H55" s="9"/>
      <c r="I55" s="9"/>
      <c r="J55" s="9"/>
      <c r="K55" s="9"/>
      <c r="L55" s="10"/>
      <c r="M55" s="10"/>
      <c r="N55" s="11"/>
    </row>
    <row r="56" spans="1:14" x14ac:dyDescent="0.35">
      <c r="A56" s="7"/>
      <c r="B56" s="8" t="s">
        <v>1904</v>
      </c>
      <c r="C56" s="8" t="s">
        <v>310</v>
      </c>
      <c r="D56" s="8">
        <v>1</v>
      </c>
      <c r="E56" s="27" t="s">
        <v>1900</v>
      </c>
      <c r="F56" s="9"/>
      <c r="G56" s="9"/>
      <c r="H56" s="9"/>
      <c r="I56" s="9"/>
      <c r="J56" s="9"/>
      <c r="K56" s="9"/>
      <c r="L56" s="10"/>
      <c r="M56" s="10"/>
      <c r="N56" s="11"/>
    </row>
  </sheetData>
  <phoneticPr fontId="10" type="noConversion"/>
  <pageMargins left="0.7" right="0.7" top="0.75" bottom="0.75" header="0.3" footer="0.3"/>
  <pageSetup paperSize="9" orientation="portrait" verticalDpi="0" r:id="rId1"/>
  <ignoredErrors>
    <ignoredError sqref="E51:E56" calculatedColumn="1"/>
  </ignoredErrors>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59D97-E5C3-46F4-B4B6-C3D84FD7359B}">
  <dimension ref="A1:Y40"/>
  <sheetViews>
    <sheetView zoomScaleNormal="100" workbookViewId="0">
      <selection activeCell="F49" sqref="F49"/>
    </sheetView>
  </sheetViews>
  <sheetFormatPr defaultColWidth="10.54296875" defaultRowHeight="14.5" x14ac:dyDescent="0.35"/>
  <cols>
    <col min="1" max="1" width="8.453125" style="30" customWidth="1"/>
    <col min="2" max="2" width="14" style="30" bestFit="1" customWidth="1"/>
    <col min="3" max="3" width="21.7265625" style="30" bestFit="1" customWidth="1"/>
    <col min="4" max="4" width="11.453125" style="30" bestFit="1" customWidth="1"/>
    <col min="5" max="5" width="39.54296875" style="31" bestFit="1" customWidth="1"/>
    <col min="6" max="6" width="18.81640625" style="31" bestFit="1" customWidth="1"/>
    <col min="7" max="9" width="16.453125" style="31" customWidth="1"/>
    <col min="10" max="10" width="30" style="31" customWidth="1"/>
    <col min="11" max="11" width="23" style="31" customWidth="1"/>
    <col min="12" max="13" width="15.7265625" style="30" bestFit="1" customWidth="1"/>
    <col min="14" max="14" width="12.26953125" style="30" bestFit="1" customWidth="1"/>
    <col min="15" max="15" width="5.453125" style="6" customWidth="1"/>
    <col min="16" max="16" width="21" bestFit="1" customWidth="1"/>
    <col min="17" max="17" width="4.453125" bestFit="1" customWidth="1"/>
    <col min="18" max="18" width="4.7265625" bestFit="1" customWidth="1"/>
    <col min="19" max="19" width="11.26953125" bestFit="1" customWidth="1"/>
    <col min="20" max="20" width="11.54296875" bestFit="1" customWidth="1"/>
    <col min="26" max="16384" width="10.54296875" style="6"/>
  </cols>
  <sheetData>
    <row r="1" spans="1:21" ht="26" x14ac:dyDescent="0.35">
      <c r="A1" s="1" t="s">
        <v>334</v>
      </c>
      <c r="B1" s="2" t="s">
        <v>308</v>
      </c>
      <c r="C1" s="2" t="s">
        <v>335</v>
      </c>
      <c r="D1" s="2" t="s">
        <v>336</v>
      </c>
      <c r="E1" s="3" t="s">
        <v>337</v>
      </c>
      <c r="F1" s="3" t="s">
        <v>338</v>
      </c>
      <c r="G1" s="3" t="s">
        <v>459</v>
      </c>
      <c r="H1" s="3" t="s">
        <v>340</v>
      </c>
      <c r="I1" s="3" t="s">
        <v>341</v>
      </c>
      <c r="J1" s="3" t="s">
        <v>342</v>
      </c>
      <c r="K1" s="3" t="s">
        <v>343</v>
      </c>
      <c r="L1" s="4" t="s">
        <v>344</v>
      </c>
      <c r="M1" s="4" t="s">
        <v>345</v>
      </c>
      <c r="N1" s="5" t="s">
        <v>346</v>
      </c>
    </row>
    <row r="2" spans="1:21" x14ac:dyDescent="0.35">
      <c r="A2" s="7" t="str">
        <f>IF(ISNUMBER(SEARCH("CT",B2)),"1"&amp;MID(B2,2,FIND("CT",B2)-2)&amp;RIGHT(B2,1),MID(B2,2,FIND("C",B2)-2)&amp;RIGHT(B2,1))</f>
        <v>1551</v>
      </c>
      <c r="B2" s="8" t="s">
        <v>582</v>
      </c>
      <c r="C2" s="8" t="s">
        <v>583</v>
      </c>
      <c r="D2" s="8">
        <v>1</v>
      </c>
      <c r="E2" s="27" t="str">
        <f>IF(ISNUMBER(SEARCH("CT",B2)),
   "CrossTransferStation[" &amp; (Q$3 + COUNTIF($B$2:B2,"*CT*") - 1) &amp; "]",
   IF( OR(ISNUMBER(SEARCH("TT",B2)), AND(ISNUMBER(SEARCH("C",B2)), NOT(ISNUMBER(SEARCH("CT",B2)))) ),
      "ConveyorStation[" &amp; (Q$2 + COUNTIFS($B$2:B2,"*C*",$B$2:B2,"&lt;&gt;*CT*") + COUNTIF($B$2:B2,"*TT*") - 1) &amp; "]",
      ""))</f>
        <v>ConveyorStation[93]</v>
      </c>
      <c r="F2" s="9"/>
      <c r="G2" s="9"/>
      <c r="H2" s="9"/>
      <c r="I2" s="9"/>
      <c r="J2" s="9" t="s">
        <v>584</v>
      </c>
      <c r="K2" s="10" t="s">
        <v>585</v>
      </c>
      <c r="L2" s="10" t="s">
        <v>350</v>
      </c>
      <c r="M2" s="10" t="s">
        <v>350</v>
      </c>
      <c r="N2" s="11"/>
      <c r="P2" s="59" t="s">
        <v>352</v>
      </c>
      <c r="Q2" s="55">
        <v>93</v>
      </c>
    </row>
    <row r="3" spans="1:21" x14ac:dyDescent="0.35">
      <c r="A3" s="7" t="str">
        <f t="shared" ref="A3:A36" si="0">IF(ISNUMBER(SEARCH("CT",B3)),"1"&amp;MID(B3,2,FIND("CT",B3)-2)&amp;RIGHT(B3,1),MID(B3,2,FIND("C",B3)-2)&amp;RIGHT(B3,1))</f>
        <v>1552</v>
      </c>
      <c r="B3" s="8" t="s">
        <v>586</v>
      </c>
      <c r="C3" s="8" t="s">
        <v>583</v>
      </c>
      <c r="D3" s="8">
        <v>1</v>
      </c>
      <c r="E3" s="27" t="str">
        <f>IF(ISNUMBER(SEARCH("CT",B3)),
   "CrossTransferStation[" &amp; (Q$3 + COUNTIF($B$2:B3,"*CT*") - 1) &amp; "]",
   IF( OR(ISNUMBER(SEARCH("TT",B3)), AND(ISNUMBER(SEARCH("C",B3)), NOT(ISNUMBER(SEARCH("CT",B3)))) ),
      "ConveyorStation[" &amp; (Q$2 + COUNTIFS($B$2:B3,"*C*",$B$2:B3,"&lt;&gt;*CT*") + COUNTIF($B$2:B3,"*TT*") - 1) &amp; "]",
      ""))</f>
        <v>ConveyorStation[94]</v>
      </c>
      <c r="F3" s="9"/>
      <c r="G3" s="9"/>
      <c r="H3" s="9"/>
      <c r="I3" s="9"/>
      <c r="J3" s="9" t="s">
        <v>587</v>
      </c>
      <c r="K3" s="10" t="s">
        <v>585</v>
      </c>
      <c r="L3" s="10" t="s">
        <v>350</v>
      </c>
      <c r="M3" s="10" t="s">
        <v>350</v>
      </c>
      <c r="N3" s="11"/>
      <c r="P3" s="59" t="s">
        <v>356</v>
      </c>
      <c r="Q3" s="55">
        <v>41</v>
      </c>
    </row>
    <row r="4" spans="1:21" x14ac:dyDescent="0.35">
      <c r="A4" s="7" t="str">
        <f t="shared" si="0"/>
        <v>1553</v>
      </c>
      <c r="B4" s="8" t="s">
        <v>588</v>
      </c>
      <c r="C4" s="8" t="s">
        <v>583</v>
      </c>
      <c r="D4" s="8">
        <v>1</v>
      </c>
      <c r="E4" s="27" t="str">
        <f>IF(ISNUMBER(SEARCH("CT",B4)),
   "CrossTransferStation[" &amp; (Q$3 + COUNTIF($B$2:B4,"*CT*") - 1) &amp; "]",
   IF( OR(ISNUMBER(SEARCH("TT",B4)), AND(ISNUMBER(SEARCH("C",B4)), NOT(ISNUMBER(SEARCH("CT",B4)))) ),
      "ConveyorStation[" &amp; (Q$2 + COUNTIFS($B$2:B4,"*C*",$B$2:B4,"&lt;&gt;*CT*") + COUNTIF($B$2:B4,"*TT*") - 1) &amp; "]",
      ""))</f>
        <v>ConveyorStation[95]</v>
      </c>
      <c r="F4" s="9"/>
      <c r="G4" s="9"/>
      <c r="H4" s="9"/>
      <c r="I4" s="9"/>
      <c r="J4" s="9" t="s">
        <v>589</v>
      </c>
      <c r="K4" s="10" t="s">
        <v>585</v>
      </c>
      <c r="L4" s="10" t="s">
        <v>350</v>
      </c>
      <c r="M4" s="10" t="s">
        <v>350</v>
      </c>
      <c r="N4" s="11"/>
      <c r="P4" s="59"/>
      <c r="Q4" s="55"/>
    </row>
    <row r="5" spans="1:21" x14ac:dyDescent="0.35">
      <c r="A5" s="7" t="str">
        <f t="shared" si="0"/>
        <v>1554</v>
      </c>
      <c r="B5" s="8" t="s">
        <v>590</v>
      </c>
      <c r="C5" s="8" t="s">
        <v>583</v>
      </c>
      <c r="D5" s="8">
        <v>1</v>
      </c>
      <c r="E5" s="27" t="str">
        <f>IF(ISNUMBER(SEARCH("CT",B5)),
   "CrossTransferStation[" &amp; (Q$3 + COUNTIF($B$2:B5,"*CT*") - 1) &amp; "]",
   IF( OR(ISNUMBER(SEARCH("TT",B5)), AND(ISNUMBER(SEARCH("C",B5)), NOT(ISNUMBER(SEARCH("CT",B5)))) ),
      "ConveyorStation[" &amp; (Q$2 + COUNTIFS($B$2:B5,"*C*",$B$2:B5,"&lt;&gt;*CT*") + COUNTIF($B$2:B5,"*TT*") - 1) &amp; "]",
      ""))</f>
        <v>ConveyorStation[96]</v>
      </c>
      <c r="F5" s="9"/>
      <c r="G5" s="9"/>
      <c r="H5" s="9"/>
      <c r="I5" s="9"/>
      <c r="J5" s="9" t="s">
        <v>591</v>
      </c>
      <c r="K5" s="10" t="s">
        <v>585</v>
      </c>
      <c r="L5" s="10" t="s">
        <v>350</v>
      </c>
      <c r="M5" s="10" t="s">
        <v>350</v>
      </c>
      <c r="N5" s="11"/>
    </row>
    <row r="6" spans="1:21" x14ac:dyDescent="0.35">
      <c r="A6" s="7" t="str">
        <f t="shared" si="0"/>
        <v>1555</v>
      </c>
      <c r="B6" s="8" t="s">
        <v>592</v>
      </c>
      <c r="C6" s="8" t="s">
        <v>583</v>
      </c>
      <c r="D6" s="8">
        <v>1</v>
      </c>
      <c r="E6" s="27" t="str">
        <f>IF(ISNUMBER(SEARCH("CT",B6)),
   "CrossTransferStation[" &amp; (Q$3 + COUNTIF($B$2:B6,"*CT*") - 1) &amp; "]",
   IF( OR(ISNUMBER(SEARCH("TT",B6)), AND(ISNUMBER(SEARCH("C",B6)), NOT(ISNUMBER(SEARCH("CT",B6)))) ),
      "ConveyorStation[" &amp; (Q$2 + COUNTIFS($B$2:B6,"*C*",$B$2:B6,"&lt;&gt;*CT*") + COUNTIF($B$2:B6,"*TT*") - 1) &amp; "]",
      ""))</f>
        <v>ConveyorStation[97]</v>
      </c>
      <c r="F6" s="9"/>
      <c r="G6" s="9"/>
      <c r="H6" s="9"/>
      <c r="I6" s="9"/>
      <c r="J6" s="9" t="s">
        <v>593</v>
      </c>
      <c r="K6" s="10" t="s">
        <v>585</v>
      </c>
      <c r="L6" s="10" t="s">
        <v>350</v>
      </c>
      <c r="M6" s="10" t="s">
        <v>350</v>
      </c>
      <c r="N6" s="11"/>
      <c r="P6" s="58" t="s">
        <v>308</v>
      </c>
      <c r="Q6" s="58" t="s">
        <v>365</v>
      </c>
      <c r="R6" s="58" t="s">
        <v>366</v>
      </c>
      <c r="S6" s="58" t="s">
        <v>367</v>
      </c>
      <c r="T6" s="58" t="s">
        <v>368</v>
      </c>
    </row>
    <row r="7" spans="1:21" x14ac:dyDescent="0.35">
      <c r="A7" s="7" t="str">
        <f t="shared" si="0"/>
        <v>1561</v>
      </c>
      <c r="B7" s="8" t="s">
        <v>594</v>
      </c>
      <c r="C7" s="8" t="s">
        <v>583</v>
      </c>
      <c r="D7" s="8">
        <v>1</v>
      </c>
      <c r="E7" s="27" t="str">
        <f>IF(ISNUMBER(SEARCH("CT",B7)),
   "CrossTransferStation[" &amp; (Q$3 + COUNTIF($B$2:B7,"*CT*") - 1) &amp; "]",
   IF( OR(ISNUMBER(SEARCH("TT",B7)), AND(ISNUMBER(SEARCH("C",B7)), NOT(ISNUMBER(SEARCH("CT",B7)))) ),
      "ConveyorStation[" &amp; (Q$2 + COUNTIFS($B$2:B7,"*C*",$B$2:B7,"&lt;&gt;*CT*") + COUNTIF($B$2:B7,"*TT*") - 1) &amp; "]",
      ""))</f>
        <v>ConveyorStation[98]</v>
      </c>
      <c r="F7" s="9"/>
      <c r="G7" s="9"/>
      <c r="H7" s="9"/>
      <c r="I7" s="9"/>
      <c r="J7" s="9" t="s">
        <v>595</v>
      </c>
      <c r="K7" s="10" t="s">
        <v>585</v>
      </c>
      <c r="L7" s="10" t="s">
        <v>350</v>
      </c>
      <c r="M7" s="10" t="s">
        <v>350</v>
      </c>
      <c r="N7" s="11"/>
      <c r="P7" s="9" t="s">
        <v>322</v>
      </c>
      <c r="Q7" s="57">
        <v>93</v>
      </c>
      <c r="R7" s="57">
        <v>122</v>
      </c>
      <c r="S7" s="57">
        <v>10</v>
      </c>
      <c r="T7" s="56">
        <f>SUM(R7:S7)+1</f>
        <v>133</v>
      </c>
      <c r="U7" s="42">
        <f>T7-S7-Q7</f>
        <v>30</v>
      </c>
    </row>
    <row r="8" spans="1:21" x14ac:dyDescent="0.35">
      <c r="A8" s="7" t="str">
        <f t="shared" si="0"/>
        <v>1562</v>
      </c>
      <c r="B8" s="8" t="s">
        <v>596</v>
      </c>
      <c r="C8" s="8" t="s">
        <v>583</v>
      </c>
      <c r="D8" s="8">
        <v>1</v>
      </c>
      <c r="E8" s="27" t="str">
        <f>IF(ISNUMBER(SEARCH("CT",B8)),
   "CrossTransferStation[" &amp; (Q$3 + COUNTIF($B$2:B8,"*CT*") - 1) &amp; "]",
   IF( OR(ISNUMBER(SEARCH("TT",B8)), AND(ISNUMBER(SEARCH("C",B8)), NOT(ISNUMBER(SEARCH("CT",B8)))) ),
      "ConveyorStation[" &amp; (Q$2 + COUNTIFS($B$2:B8,"*C*",$B$2:B8,"&lt;&gt;*CT*") + COUNTIF($B$2:B8,"*TT*") - 1) &amp; "]",
      ""))</f>
        <v>ConveyorStation[99]</v>
      </c>
      <c r="F8" s="9"/>
      <c r="G8" s="9"/>
      <c r="H8" s="9"/>
      <c r="I8" s="9"/>
      <c r="J8" s="9" t="s">
        <v>597</v>
      </c>
      <c r="K8" s="10" t="s">
        <v>585</v>
      </c>
      <c r="L8" s="10" t="s">
        <v>350</v>
      </c>
      <c r="M8" s="10" t="s">
        <v>350</v>
      </c>
      <c r="N8" s="11"/>
      <c r="P8" s="9" t="s">
        <v>323</v>
      </c>
      <c r="Q8" s="57">
        <v>41</v>
      </c>
      <c r="R8" s="57">
        <v>45</v>
      </c>
      <c r="S8" s="57">
        <v>10</v>
      </c>
      <c r="T8" s="56">
        <f t="shared" ref="T8:T11" si="1">SUM(R8:S8)+1</f>
        <v>56</v>
      </c>
      <c r="U8" s="42">
        <f t="shared" ref="U8:U14" si="2">T8-S8-Q8</f>
        <v>5</v>
      </c>
    </row>
    <row r="9" spans="1:21" x14ac:dyDescent="0.35">
      <c r="A9" s="7" t="str">
        <f t="shared" si="0"/>
        <v>1563</v>
      </c>
      <c r="B9" s="8" t="s">
        <v>598</v>
      </c>
      <c r="C9" s="8" t="s">
        <v>583</v>
      </c>
      <c r="D9" s="8">
        <v>1</v>
      </c>
      <c r="E9" s="27" t="str">
        <f>IF(ISNUMBER(SEARCH("CT",B9)),
   "CrossTransferStation[" &amp; (Q$3 + COUNTIF($B$2:B9,"*CT*") - 1) &amp; "]",
   IF( OR(ISNUMBER(SEARCH("TT",B9)), AND(ISNUMBER(SEARCH("C",B9)), NOT(ISNUMBER(SEARCH("CT",B9)))) ),
      "ConveyorStation[" &amp; (Q$2 + COUNTIFS($B$2:B9,"*C*",$B$2:B9,"&lt;&gt;*CT*") + COUNTIF($B$2:B9,"*TT*") - 1) &amp; "]",
      ""))</f>
        <v>ConveyorStation[100]</v>
      </c>
      <c r="F9" s="9"/>
      <c r="G9" s="9"/>
      <c r="H9" s="9"/>
      <c r="I9" s="9"/>
      <c r="J9" s="9" t="s">
        <v>599</v>
      </c>
      <c r="K9" s="10" t="s">
        <v>585</v>
      </c>
      <c r="L9" s="10" t="s">
        <v>350</v>
      </c>
      <c r="M9" s="10" t="s">
        <v>350</v>
      </c>
      <c r="N9" s="11"/>
      <c r="P9" s="9" t="s">
        <v>324</v>
      </c>
      <c r="Q9" s="57">
        <v>41</v>
      </c>
      <c r="R9" s="57">
        <v>44</v>
      </c>
      <c r="S9" s="57">
        <v>10</v>
      </c>
      <c r="T9" s="56">
        <f t="shared" si="1"/>
        <v>55</v>
      </c>
      <c r="U9" s="42">
        <f t="shared" si="2"/>
        <v>4</v>
      </c>
    </row>
    <row r="10" spans="1:21" x14ac:dyDescent="0.35">
      <c r="A10" s="7" t="str">
        <f t="shared" si="0"/>
        <v>1564</v>
      </c>
      <c r="B10" s="8" t="s">
        <v>600</v>
      </c>
      <c r="C10" s="8" t="s">
        <v>583</v>
      </c>
      <c r="D10" s="8">
        <v>1</v>
      </c>
      <c r="E10" s="27" t="str">
        <f>IF(ISNUMBER(SEARCH("CT",B10)),
   "CrossTransferStation[" &amp; (Q$3 + COUNTIF($B$2:B10,"*CT*") - 1) &amp; "]",
   IF( OR(ISNUMBER(SEARCH("TT",B10)), AND(ISNUMBER(SEARCH("C",B10)), NOT(ISNUMBER(SEARCH("CT",B10)))) ),
      "ConveyorStation[" &amp; (Q$2 + COUNTIFS($B$2:B10,"*C*",$B$2:B10,"&lt;&gt;*CT*") + COUNTIF($B$2:B10,"*TT*") - 1) &amp; "]",
      ""))</f>
        <v>ConveyorStation[101]</v>
      </c>
      <c r="F10" s="9"/>
      <c r="G10" s="9"/>
      <c r="H10" s="9"/>
      <c r="I10" s="9"/>
      <c r="J10" s="9" t="s">
        <v>601</v>
      </c>
      <c r="K10" s="10" t="s">
        <v>585</v>
      </c>
      <c r="L10" s="10" t="s">
        <v>350</v>
      </c>
      <c r="M10" s="10" t="s">
        <v>350</v>
      </c>
      <c r="N10" s="11"/>
      <c r="P10" s="9" t="s">
        <v>325</v>
      </c>
      <c r="Q10" s="57"/>
      <c r="R10" s="57"/>
      <c r="S10" s="57"/>
      <c r="T10" s="56">
        <f>'EZ2 ASRS'!T10</f>
        <v>30</v>
      </c>
      <c r="U10" s="42"/>
    </row>
    <row r="11" spans="1:21" ht="26" x14ac:dyDescent="0.35">
      <c r="A11" s="7" t="str">
        <f t="shared" si="0"/>
        <v>1565</v>
      </c>
      <c r="B11" s="8" t="s">
        <v>602</v>
      </c>
      <c r="C11" s="8" t="s">
        <v>583</v>
      </c>
      <c r="D11" s="8">
        <v>1</v>
      </c>
      <c r="E11" s="27" t="str">
        <f>IF(ISNUMBER(SEARCH("CT",B11)),
   "CrossTransferStation[" &amp; (Q$3 + COUNTIF($B$2:B11,"*CT*") - 1) &amp; "]",
   IF( OR(ISNUMBER(SEARCH("TT",B11)), AND(ISNUMBER(SEARCH("C",B11)), NOT(ISNUMBER(SEARCH("CT",B11)))) ),
      "ConveyorStation[" &amp; (Q$2 + COUNTIFS($B$2:B11,"*C*",$B$2:B11,"&lt;&gt;*CT*") + COUNTIF($B$2:B11,"*TT*") - 1) &amp; "]",
      ""))</f>
        <v>ConveyorStation[102]</v>
      </c>
      <c r="F11" s="9"/>
      <c r="G11" s="9"/>
      <c r="H11" s="9"/>
      <c r="I11" s="9"/>
      <c r="J11" s="9" t="s">
        <v>603</v>
      </c>
      <c r="K11" s="10" t="s">
        <v>585</v>
      </c>
      <c r="L11" s="10" t="s">
        <v>350</v>
      </c>
      <c r="M11" s="10" t="s">
        <v>350</v>
      </c>
      <c r="N11" s="11"/>
      <c r="P11" s="9" t="s">
        <v>326</v>
      </c>
      <c r="Q11" s="57">
        <v>31</v>
      </c>
      <c r="R11" s="57">
        <v>33</v>
      </c>
      <c r="S11" s="57">
        <v>10</v>
      </c>
      <c r="T11" s="56">
        <f t="shared" si="1"/>
        <v>44</v>
      </c>
      <c r="U11" s="42">
        <f t="shared" si="2"/>
        <v>3</v>
      </c>
    </row>
    <row r="12" spans="1:21" x14ac:dyDescent="0.35">
      <c r="A12" s="7" t="str">
        <f t="shared" si="0"/>
        <v>1571</v>
      </c>
      <c r="B12" s="8" t="s">
        <v>604</v>
      </c>
      <c r="C12" s="8" t="s">
        <v>583</v>
      </c>
      <c r="D12" s="8">
        <v>1</v>
      </c>
      <c r="E12" s="27" t="str">
        <f>IF(ISNUMBER(SEARCH("CT",B12)),
   "CrossTransferStation[" &amp; (Q$3 + COUNTIF($B$2:B12,"*CT*") - 1) &amp; "]",
   IF( OR(ISNUMBER(SEARCH("TT",B12)), AND(ISNUMBER(SEARCH("C",B12)), NOT(ISNUMBER(SEARCH("CT",B12)))) ),
      "ConveyorStation[" &amp; (Q$2 + COUNTIFS($B$2:B12,"*C*",$B$2:B12,"&lt;&gt;*CT*") + COUNTIF($B$2:B12,"*TT*") - 1) &amp; "]",
      ""))</f>
        <v>ConveyorStation[103]</v>
      </c>
      <c r="F12" s="9"/>
      <c r="G12" s="9"/>
      <c r="H12" s="9"/>
      <c r="I12" s="9"/>
      <c r="J12" s="9" t="s">
        <v>605</v>
      </c>
      <c r="K12" s="10" t="s">
        <v>585</v>
      </c>
      <c r="L12" s="10" t="s">
        <v>350</v>
      </c>
      <c r="M12" s="10" t="s">
        <v>350</v>
      </c>
      <c r="N12" s="11"/>
      <c r="P12" s="9" t="s">
        <v>327</v>
      </c>
      <c r="Q12" s="57"/>
      <c r="R12" s="57"/>
      <c r="S12" s="57"/>
      <c r="T12" s="56">
        <f>'EZ2 ASRS'!T12</f>
        <v>15</v>
      </c>
      <c r="U12" s="42"/>
    </row>
    <row r="13" spans="1:21" x14ac:dyDescent="0.35">
      <c r="A13" s="7" t="str">
        <f t="shared" si="0"/>
        <v>1572</v>
      </c>
      <c r="B13" s="8" t="s">
        <v>606</v>
      </c>
      <c r="C13" s="8" t="s">
        <v>583</v>
      </c>
      <c r="D13" s="8">
        <v>1</v>
      </c>
      <c r="E13" s="27" t="str">
        <f>IF(ISNUMBER(SEARCH("CT",B13)),
   "CrossTransferStation[" &amp; (Q$3 + COUNTIF($B$2:B13,"*CT*") - 1) &amp; "]",
   IF( OR(ISNUMBER(SEARCH("TT",B13)), AND(ISNUMBER(SEARCH("C",B13)), NOT(ISNUMBER(SEARCH("CT",B13)))) ),
      "ConveyorStation[" &amp; (Q$2 + COUNTIFS($B$2:B13,"*C*",$B$2:B13,"&lt;&gt;*CT*") + COUNTIF($B$2:B13,"*TT*") - 1) &amp; "]",
      ""))</f>
        <v>ConveyorStation[104]</v>
      </c>
      <c r="F13" s="9"/>
      <c r="G13" s="9"/>
      <c r="H13" s="9"/>
      <c r="I13" s="9"/>
      <c r="J13" s="9" t="s">
        <v>607</v>
      </c>
      <c r="K13" s="10" t="s">
        <v>585</v>
      </c>
      <c r="L13" s="10" t="s">
        <v>350</v>
      </c>
      <c r="M13" s="10" t="s">
        <v>350</v>
      </c>
      <c r="N13" s="11"/>
      <c r="P13" s="9" t="s">
        <v>328</v>
      </c>
      <c r="Q13" s="57"/>
      <c r="R13" s="57"/>
      <c r="S13" s="57"/>
      <c r="T13" s="56">
        <f>'EZ2 ASRS'!T13</f>
        <v>12</v>
      </c>
      <c r="U13" s="42"/>
    </row>
    <row r="14" spans="1:21" x14ac:dyDescent="0.35">
      <c r="A14" s="7" t="str">
        <f t="shared" si="0"/>
        <v>1573</v>
      </c>
      <c r="B14" s="8" t="s">
        <v>608</v>
      </c>
      <c r="C14" s="8" t="s">
        <v>583</v>
      </c>
      <c r="D14" s="8">
        <v>1</v>
      </c>
      <c r="E14" s="27" t="str">
        <f>IF(ISNUMBER(SEARCH("CT",B14)),
   "CrossTransferStation[" &amp; (Q$3 + COUNTIF($B$2:B14,"*CT*") - 1) &amp; "]",
   IF( OR(ISNUMBER(SEARCH("TT",B14)), AND(ISNUMBER(SEARCH("C",B14)), NOT(ISNUMBER(SEARCH("CT",B14)))) ),
      "ConveyorStation[" &amp; (Q$2 + COUNTIFS($B$2:B14,"*C*",$B$2:B14,"&lt;&gt;*CT*") + COUNTIF($B$2:B14,"*TT*") - 1) &amp; "]",
      ""))</f>
        <v>ConveyorStation[105]</v>
      </c>
      <c r="F14" s="9"/>
      <c r="G14" s="9"/>
      <c r="H14" s="9"/>
      <c r="I14" s="9"/>
      <c r="J14" s="9" t="s">
        <v>609</v>
      </c>
      <c r="K14" s="10" t="s">
        <v>585</v>
      </c>
      <c r="L14" s="10" t="s">
        <v>350</v>
      </c>
      <c r="M14" s="10" t="s">
        <v>350</v>
      </c>
      <c r="N14" s="11"/>
      <c r="P14" s="9" t="s">
        <v>329</v>
      </c>
      <c r="Q14" s="57">
        <v>1</v>
      </c>
      <c r="R14" s="57">
        <v>2</v>
      </c>
      <c r="S14" s="57">
        <v>10</v>
      </c>
      <c r="T14" s="56">
        <f t="shared" ref="T14" si="3">SUM(R14:S14)+1</f>
        <v>13</v>
      </c>
      <c r="U14" s="42">
        <f t="shared" si="2"/>
        <v>2</v>
      </c>
    </row>
    <row r="15" spans="1:21" x14ac:dyDescent="0.35">
      <c r="A15" s="7" t="str">
        <f t="shared" si="0"/>
        <v>1574</v>
      </c>
      <c r="B15" s="8" t="s">
        <v>610</v>
      </c>
      <c r="C15" s="8" t="s">
        <v>583</v>
      </c>
      <c r="D15" s="8">
        <v>1</v>
      </c>
      <c r="E15" s="27" t="str">
        <f>IF(ISNUMBER(SEARCH("CT",B15)),
   "CrossTransferStation[" &amp; (Q$3 + COUNTIF($B$2:B15,"*CT*") - 1) &amp; "]",
   IF( OR(ISNUMBER(SEARCH("TT",B15)), AND(ISNUMBER(SEARCH("C",B15)), NOT(ISNUMBER(SEARCH("CT",B15)))) ),
      "ConveyorStation[" &amp; (Q$2 + COUNTIFS($B$2:B15,"*C*",$B$2:B15,"&lt;&gt;*CT*") + COUNTIF($B$2:B15,"*TT*") - 1) &amp; "]",
      ""))</f>
        <v>ConveyorStation[106]</v>
      </c>
      <c r="F15" s="9"/>
      <c r="G15" s="9"/>
      <c r="H15" s="9"/>
      <c r="I15" s="9"/>
      <c r="J15" s="9" t="s">
        <v>611</v>
      </c>
      <c r="K15" s="10" t="s">
        <v>585</v>
      </c>
      <c r="L15" s="10" t="s">
        <v>350</v>
      </c>
      <c r="M15" s="10" t="s">
        <v>350</v>
      </c>
      <c r="N15" s="11"/>
      <c r="P15" s="9" t="s">
        <v>185</v>
      </c>
      <c r="Q15" s="56"/>
      <c r="R15" s="56"/>
      <c r="S15" s="56"/>
      <c r="T15" s="56">
        <f>'EZ2 ASRS'!T15</f>
        <v>12</v>
      </c>
      <c r="U15" s="42"/>
    </row>
    <row r="16" spans="1:21" x14ac:dyDescent="0.35">
      <c r="A16" s="7" t="str">
        <f t="shared" si="0"/>
        <v>1575</v>
      </c>
      <c r="B16" s="8" t="s">
        <v>612</v>
      </c>
      <c r="C16" s="8" t="s">
        <v>583</v>
      </c>
      <c r="D16" s="8">
        <v>1</v>
      </c>
      <c r="E16" s="27" t="str">
        <f>IF(ISNUMBER(SEARCH("CT",B16)),
   "CrossTransferStation[" &amp; (Q$3 + COUNTIF($B$2:B16,"*CT*") - 1) &amp; "]",
   IF( OR(ISNUMBER(SEARCH("TT",B16)), AND(ISNUMBER(SEARCH("C",B16)), NOT(ISNUMBER(SEARCH("CT",B16)))) ),
      "ConveyorStation[" &amp; (Q$2 + COUNTIFS($B$2:B16,"*C*",$B$2:B16,"&lt;&gt;*CT*") + COUNTIF($B$2:B16,"*TT*") - 1) &amp; "]",
      ""))</f>
        <v>ConveyorStation[107]</v>
      </c>
      <c r="F16" s="9"/>
      <c r="G16" s="9"/>
      <c r="H16" s="9"/>
      <c r="I16" s="9"/>
      <c r="J16" s="9" t="s">
        <v>613</v>
      </c>
      <c r="K16" s="10" t="s">
        <v>585</v>
      </c>
      <c r="L16" s="10" t="s">
        <v>350</v>
      </c>
      <c r="M16" s="10" t="s">
        <v>350</v>
      </c>
      <c r="N16" s="11"/>
      <c r="P16" s="41" t="s">
        <v>330</v>
      </c>
      <c r="Q16" s="56"/>
      <c r="R16" s="56"/>
      <c r="S16" s="56"/>
      <c r="T16" s="56">
        <f>'EZ2 ASRS'!T16</f>
        <v>12</v>
      </c>
      <c r="U16" s="42"/>
    </row>
    <row r="17" spans="1:21" x14ac:dyDescent="0.35">
      <c r="A17" s="7" t="str">
        <f t="shared" si="0"/>
        <v>1576</v>
      </c>
      <c r="B17" s="8" t="s">
        <v>614</v>
      </c>
      <c r="C17" s="8" t="s">
        <v>583</v>
      </c>
      <c r="D17" s="8">
        <v>1</v>
      </c>
      <c r="E17" s="27" t="str">
        <f>IF(ISNUMBER(SEARCH("CT",B17)),
   "CrossTransferStation[" &amp; (Q$3 + COUNTIF($B$2:B17,"*CT*") - 1) &amp; "]",
   IF( OR(ISNUMBER(SEARCH("TT",B17)), AND(ISNUMBER(SEARCH("C",B17)), NOT(ISNUMBER(SEARCH("CT",B17)))) ),
      "ConveyorStation[" &amp; (Q$2 + COUNTIFS($B$2:B17,"*C*",$B$2:B17,"&lt;&gt;*CT*") + COUNTIF($B$2:B17,"*TT*") - 1) &amp; "]",
      ""))</f>
        <v>ConveyorStation[108]</v>
      </c>
      <c r="F17" s="9"/>
      <c r="G17" s="9"/>
      <c r="H17" s="9"/>
      <c r="I17" s="9"/>
      <c r="J17" s="9" t="s">
        <v>615</v>
      </c>
      <c r="K17" s="10" t="s">
        <v>585</v>
      </c>
      <c r="L17" s="10" t="s">
        <v>350</v>
      </c>
      <c r="M17" s="10" t="s">
        <v>350</v>
      </c>
      <c r="N17" s="11"/>
      <c r="P17" s="9" t="s">
        <v>331</v>
      </c>
      <c r="Q17" s="57"/>
      <c r="R17" s="57"/>
      <c r="S17" s="55"/>
      <c r="T17" s="56"/>
      <c r="U17" s="42"/>
    </row>
    <row r="18" spans="1:21" x14ac:dyDescent="0.35">
      <c r="A18" s="7" t="str">
        <f t="shared" si="0"/>
        <v>1577</v>
      </c>
      <c r="B18" s="8" t="s">
        <v>616</v>
      </c>
      <c r="C18" s="8" t="s">
        <v>583</v>
      </c>
      <c r="D18" s="8">
        <v>1</v>
      </c>
      <c r="E18" s="27" t="str">
        <f>IF(ISNUMBER(SEARCH("CT",B18)),
   "CrossTransferStation[" &amp; (Q$3 + COUNTIF($B$2:B18,"*CT*") - 1) &amp; "]",
   IF( OR(ISNUMBER(SEARCH("TT",B18)), AND(ISNUMBER(SEARCH("C",B18)), NOT(ISNUMBER(SEARCH("CT",B18)))) ),
      "ConveyorStation[" &amp; (Q$2 + COUNTIFS($B$2:B18,"*C*",$B$2:B18,"&lt;&gt;*CT*") + COUNTIF($B$2:B18,"*TT*") - 1) &amp; "]",
      ""))</f>
        <v>ConveyorStation[109]</v>
      </c>
      <c r="F18" s="9"/>
      <c r="G18" s="9"/>
      <c r="H18" s="9"/>
      <c r="I18" s="9"/>
      <c r="J18" s="9" t="s">
        <v>617</v>
      </c>
      <c r="K18" s="10" t="s">
        <v>585</v>
      </c>
      <c r="L18" s="10" t="s">
        <v>350</v>
      </c>
      <c r="M18" s="10" t="s">
        <v>350</v>
      </c>
      <c r="N18" s="11"/>
    </row>
    <row r="19" spans="1:21" ht="52" x14ac:dyDescent="0.35">
      <c r="A19" s="7" t="str">
        <f t="shared" si="0"/>
        <v>11571</v>
      </c>
      <c r="B19" s="8" t="s">
        <v>618</v>
      </c>
      <c r="C19" s="8" t="s">
        <v>583</v>
      </c>
      <c r="D19" s="8">
        <v>1</v>
      </c>
      <c r="E19" s="27" t="str">
        <f>IF(ISNUMBER(SEARCH("CT",B19)),
   "CrossTransferStation[" &amp; (Q$3 + COUNTIF($B$2:B19,"*CT*") - 1) &amp; "]",
   IF( OR(ISNUMBER(SEARCH("TT",B19)), AND(ISNUMBER(SEARCH("C",B19)), NOT(ISNUMBER(SEARCH("CT",B19)))) ),
      "ConveyorStation[" &amp; (Q$2 + COUNTIFS($B$2:B19,"*C*",$B$2:B19,"&lt;&gt;*CT*") + COUNTIF($B$2:B19,"*TT*") - 1) &amp; "]",
      ""))</f>
        <v>CrossTransferStation[41]</v>
      </c>
      <c r="F19" s="9"/>
      <c r="G19" s="9"/>
      <c r="H19" s="9"/>
      <c r="I19" s="9"/>
      <c r="J19" s="9" t="s">
        <v>619</v>
      </c>
      <c r="K19" s="10" t="s">
        <v>585</v>
      </c>
      <c r="L19" s="10" t="s">
        <v>350</v>
      </c>
      <c r="M19" s="10" t="s">
        <v>350</v>
      </c>
      <c r="N19" s="11"/>
    </row>
    <row r="20" spans="1:21" x14ac:dyDescent="0.35">
      <c r="A20" s="7" t="str">
        <f t="shared" si="0"/>
        <v>1581</v>
      </c>
      <c r="B20" s="8" t="s">
        <v>620</v>
      </c>
      <c r="C20" s="8" t="s">
        <v>583</v>
      </c>
      <c r="D20" s="8">
        <v>1</v>
      </c>
      <c r="E20" s="27" t="str">
        <f>IF(ISNUMBER(SEARCH("CT",B20)),
   "CrossTransferStation[" &amp; (Q$3 + COUNTIF($B$2:B20,"*CT*") - 1) &amp; "]",
   IF( OR(ISNUMBER(SEARCH("TT",B20)), AND(ISNUMBER(SEARCH("C",B20)), NOT(ISNUMBER(SEARCH("CT",B20)))) ),
      "ConveyorStation[" &amp; (Q$2 + COUNTIFS($B$2:B20,"*C*",$B$2:B20,"&lt;&gt;*CT*") + COUNTIF($B$2:B20,"*TT*") - 1) &amp; "]",
      ""))</f>
        <v>ConveyorStation[110]</v>
      </c>
      <c r="F20" s="9"/>
      <c r="G20" s="9"/>
      <c r="H20" s="9"/>
      <c r="I20" s="9"/>
      <c r="J20" s="9" t="s">
        <v>621</v>
      </c>
      <c r="K20" s="10" t="s">
        <v>585</v>
      </c>
      <c r="L20" s="10" t="s">
        <v>350</v>
      </c>
      <c r="M20" s="10" t="s">
        <v>350</v>
      </c>
      <c r="N20" s="11"/>
    </row>
    <row r="21" spans="1:21" x14ac:dyDescent="0.35">
      <c r="A21" s="7" t="str">
        <f t="shared" si="0"/>
        <v>1582</v>
      </c>
      <c r="B21" s="8" t="s">
        <v>622</v>
      </c>
      <c r="C21" s="8" t="s">
        <v>583</v>
      </c>
      <c r="D21" s="8">
        <v>1</v>
      </c>
      <c r="E21" s="27" t="str">
        <f>IF(ISNUMBER(SEARCH("CT",B21)),
   "CrossTransferStation[" &amp; (Q$3 + COUNTIF($B$2:B21,"*CT*") - 1) &amp; "]",
   IF( OR(ISNUMBER(SEARCH("TT",B21)), AND(ISNUMBER(SEARCH("C",B21)), NOT(ISNUMBER(SEARCH("CT",B21)))) ),
      "ConveyorStation[" &amp; (Q$2 + COUNTIFS($B$2:B21,"*C*",$B$2:B21,"&lt;&gt;*CT*") + COUNTIF($B$2:B21,"*TT*") - 1) &amp; "]",
      ""))</f>
        <v>ConveyorStation[111]</v>
      </c>
      <c r="F21" s="9" t="s">
        <v>623</v>
      </c>
      <c r="G21" s="9"/>
      <c r="H21" s="9"/>
      <c r="I21" s="9"/>
      <c r="J21" s="9" t="s">
        <v>624</v>
      </c>
      <c r="K21" s="10" t="s">
        <v>585</v>
      </c>
      <c r="L21" s="10" t="s">
        <v>350</v>
      </c>
      <c r="M21" s="10" t="s">
        <v>351</v>
      </c>
      <c r="N21" s="11"/>
    </row>
    <row r="22" spans="1:21" ht="52" x14ac:dyDescent="0.35">
      <c r="A22" s="7">
        <v>21581</v>
      </c>
      <c r="B22" s="8" t="s">
        <v>625</v>
      </c>
      <c r="C22" s="8" t="s">
        <v>583</v>
      </c>
      <c r="D22" s="8">
        <v>1</v>
      </c>
      <c r="E22" s="27" t="str">
        <f>IF(ISNUMBER(SEARCH("CT",B22)),
   "CrossTransferStation[" &amp; (Q$3 + COUNTIF($B$2:B22,"*CT*") - 1) &amp; "]",
   IF( OR(ISNUMBER(SEARCH("TT",B22)), AND(ISNUMBER(SEARCH("C",B22)), NOT(ISNUMBER(SEARCH("CT",B22)))) ),
      "ConveyorStation[" &amp; (Q$2 + COUNTIFS($B$2:B22,"*C*",$B$2:B22,"&lt;&gt;*CT*") + COUNTIF($B$2:B22,"*TT*") - 1) &amp; "]",
      ""))</f>
        <v>ConveyorStation[112]</v>
      </c>
      <c r="F22" s="92" t="s">
        <v>626</v>
      </c>
      <c r="G22" s="41"/>
      <c r="H22" s="9"/>
      <c r="I22" s="9"/>
      <c r="J22" s="9" t="s">
        <v>627</v>
      </c>
      <c r="K22" s="10" t="s">
        <v>470</v>
      </c>
      <c r="L22" s="10" t="s">
        <v>351</v>
      </c>
      <c r="M22" s="10" t="s">
        <v>351</v>
      </c>
      <c r="N22" s="11"/>
    </row>
    <row r="23" spans="1:21" ht="26" x14ac:dyDescent="0.35">
      <c r="A23" s="7" t="str">
        <f t="shared" si="0"/>
        <v>1591</v>
      </c>
      <c r="B23" s="215" t="s">
        <v>628</v>
      </c>
      <c r="C23" s="8" t="s">
        <v>583</v>
      </c>
      <c r="D23" s="8">
        <v>1</v>
      </c>
      <c r="E23" s="27" t="str">
        <f>IF(ISNUMBER(SEARCH("CT",B23)),
   "CrossTransferStation[" &amp; (Q$3 + COUNTIF($B$2:B23,"*CT*") - 1) &amp; "]",
   IF( OR(ISNUMBER(SEARCH("TT",B23)), AND(ISNUMBER(SEARCH("C",B23)), NOT(ISNUMBER(SEARCH("CT",B23)))) ),
      "ConveyorStation[" &amp; (Q$2 + COUNTIFS($B$2:B23,"*C*",$B$2:B23,"&lt;&gt;*CT*") + COUNTIF($B$2:B23,"*TT*") - 1) &amp; "]",
      ""))</f>
        <v>ConveyorStation[113]</v>
      </c>
      <c r="F23" s="9"/>
      <c r="G23" s="9"/>
      <c r="H23" s="9"/>
      <c r="I23" s="9"/>
      <c r="J23" s="9" t="s">
        <v>629</v>
      </c>
      <c r="K23" s="10" t="s">
        <v>585</v>
      </c>
      <c r="L23" s="10" t="s">
        <v>350</v>
      </c>
      <c r="M23" s="10" t="s">
        <v>350</v>
      </c>
      <c r="N23" s="11"/>
    </row>
    <row r="24" spans="1:21" ht="39" x14ac:dyDescent="0.35">
      <c r="A24" s="7" t="str">
        <f t="shared" si="0"/>
        <v>11591</v>
      </c>
      <c r="B24" s="8" t="s">
        <v>630</v>
      </c>
      <c r="C24" s="8" t="s">
        <v>583</v>
      </c>
      <c r="D24" s="8">
        <v>1</v>
      </c>
      <c r="E24" s="27" t="str">
        <f>IF(ISNUMBER(SEARCH("CT",B24)),
   "CrossTransferStation[" &amp; (Q$3 + COUNTIF($B$2:B24,"*CT*") - 1) &amp; "]",
   IF( OR(ISNUMBER(SEARCH("TT",B24)), AND(ISNUMBER(SEARCH("C",B24)), NOT(ISNUMBER(SEARCH("CT",B24)))) ),
      "ConveyorStation[" &amp; (Q$2 + COUNTIFS($B$2:B24,"*C*",$B$2:B24,"&lt;&gt;*CT*") + COUNTIF($B$2:B24,"*TT*") - 1) &amp; "]",
      ""))</f>
        <v>CrossTransferStation[42]</v>
      </c>
      <c r="F24" s="9" t="s">
        <v>631</v>
      </c>
      <c r="G24" s="9"/>
      <c r="H24" s="9"/>
      <c r="I24" s="9"/>
      <c r="J24" s="9" t="s">
        <v>632</v>
      </c>
      <c r="K24" s="10" t="s">
        <v>585</v>
      </c>
      <c r="L24" s="10" t="s">
        <v>351</v>
      </c>
      <c r="M24" s="10" t="s">
        <v>351</v>
      </c>
      <c r="N24" s="11"/>
    </row>
    <row r="25" spans="1:21" x14ac:dyDescent="0.35">
      <c r="A25" s="7" t="str">
        <f t="shared" si="0"/>
        <v>1601</v>
      </c>
      <c r="B25" s="8" t="s">
        <v>633</v>
      </c>
      <c r="C25" s="8" t="s">
        <v>583</v>
      </c>
      <c r="D25" s="8">
        <v>1</v>
      </c>
      <c r="E25" s="27" t="str">
        <f>IF(ISNUMBER(SEARCH("CT",B25)),
   "CrossTransferStation[" &amp; (Q$3 + COUNTIF($B$2:B25,"*CT*") - 1) &amp; "]",
   IF( OR(ISNUMBER(SEARCH("TT",B25)), AND(ISNUMBER(SEARCH("C",B25)), NOT(ISNUMBER(SEARCH("CT",B25)))) ),
      "ConveyorStation[" &amp; (Q$2 + COUNTIFS($B$2:B25,"*C*",$B$2:B25,"&lt;&gt;*CT*") + COUNTIF($B$2:B25,"*TT*") - 1) &amp; "]",
      ""))</f>
        <v>ConveyorStation[114]</v>
      </c>
      <c r="F25" s="9"/>
      <c r="G25" s="9"/>
      <c r="H25" s="9"/>
      <c r="I25" s="9"/>
      <c r="J25" s="9" t="s">
        <v>634</v>
      </c>
      <c r="K25" s="10" t="s">
        <v>585</v>
      </c>
      <c r="L25" s="10" t="s">
        <v>350</v>
      </c>
      <c r="M25" s="10" t="s">
        <v>350</v>
      </c>
      <c r="N25" s="11"/>
    </row>
    <row r="26" spans="1:21" x14ac:dyDescent="0.35">
      <c r="A26" s="7" t="str">
        <f t="shared" si="0"/>
        <v>1602</v>
      </c>
      <c r="B26" s="8" t="s">
        <v>635</v>
      </c>
      <c r="C26" s="8" t="s">
        <v>583</v>
      </c>
      <c r="D26" s="8">
        <v>1</v>
      </c>
      <c r="E26" s="27" t="str">
        <f>IF(ISNUMBER(SEARCH("CT",B26)),
   "CrossTransferStation[" &amp; (Q$3 + COUNTIF($B$2:B26,"*CT*") - 1) &amp; "]",
   IF( OR(ISNUMBER(SEARCH("TT",B26)), AND(ISNUMBER(SEARCH("C",B26)), NOT(ISNUMBER(SEARCH("CT",B26)))) ),
      "ConveyorStation[" &amp; (Q$2 + COUNTIFS($B$2:B26,"*C*",$B$2:B26,"&lt;&gt;*CT*") + COUNTIF($B$2:B26,"*TT*") - 1) &amp; "]",
      ""))</f>
        <v>ConveyorStation[115]</v>
      </c>
      <c r="F26" s="41" t="s">
        <v>636</v>
      </c>
      <c r="G26" s="9"/>
      <c r="H26" s="9"/>
      <c r="I26" s="9"/>
      <c r="J26" s="9" t="s">
        <v>637</v>
      </c>
      <c r="K26" s="10" t="s">
        <v>585</v>
      </c>
      <c r="L26" s="10" t="s">
        <v>350</v>
      </c>
      <c r="M26" s="10" t="s">
        <v>351</v>
      </c>
      <c r="N26" s="11"/>
    </row>
    <row r="27" spans="1:21" ht="52" x14ac:dyDescent="0.35">
      <c r="A27" s="7">
        <v>21601</v>
      </c>
      <c r="B27" s="8" t="s">
        <v>638</v>
      </c>
      <c r="C27" s="8" t="s">
        <v>583</v>
      </c>
      <c r="D27" s="8">
        <v>1</v>
      </c>
      <c r="E27" s="27" t="str">
        <f>IF(ISNUMBER(SEARCH("CT",B27)),
   "CrossTransferStation[" &amp; (Q$3 + COUNTIF($B$2:B27,"*CT*") - 1) &amp; "]",
   IF( OR(ISNUMBER(SEARCH("TT",B27)), AND(ISNUMBER(SEARCH("C",B27)), NOT(ISNUMBER(SEARCH("CT",B27)))) ),
      "ConveyorStation[" &amp; (Q$2 + COUNTIFS($B$2:B27,"*C*",$B$2:B27,"&lt;&gt;*CT*") + COUNTIF($B$2:B27,"*TT*") - 1) &amp; "]",
      ""))</f>
        <v>ConveyorStation[116]</v>
      </c>
      <c r="F27" s="43" t="s">
        <v>639</v>
      </c>
      <c r="G27" s="41"/>
      <c r="H27" s="9"/>
      <c r="I27" s="9"/>
      <c r="J27" s="9" t="s">
        <v>640</v>
      </c>
      <c r="K27" s="10" t="s">
        <v>470</v>
      </c>
      <c r="L27" s="10" t="s">
        <v>351</v>
      </c>
      <c r="M27" s="10" t="s">
        <v>351</v>
      </c>
      <c r="N27" s="11"/>
    </row>
    <row r="28" spans="1:21" x14ac:dyDescent="0.35">
      <c r="A28" s="7" t="str">
        <f t="shared" si="0"/>
        <v>1611</v>
      </c>
      <c r="B28" s="8" t="s">
        <v>641</v>
      </c>
      <c r="C28" s="8" t="s">
        <v>583</v>
      </c>
      <c r="D28" s="8">
        <v>1</v>
      </c>
      <c r="E28" s="27" t="str">
        <f>IF(ISNUMBER(SEARCH("CT",B28)),
   "CrossTransferStation[" &amp; (Q$3 + COUNTIF($B$2:B28,"*CT*") - 1) &amp; "]",
   IF( OR(ISNUMBER(SEARCH("TT",B28)), AND(ISNUMBER(SEARCH("C",B28)), NOT(ISNUMBER(SEARCH("CT",B28)))) ),
      "ConveyorStation[" &amp; (Q$2 + COUNTIFS($B$2:B28,"*C*",$B$2:B28,"&lt;&gt;*CT*") + COUNTIF($B$2:B28,"*TT*") - 1) &amp; "]",
      ""))</f>
        <v>ConveyorStation[117]</v>
      </c>
      <c r="F28" s="9"/>
      <c r="G28" s="9"/>
      <c r="H28" s="9"/>
      <c r="I28" s="9"/>
      <c r="J28" s="9" t="s">
        <v>642</v>
      </c>
      <c r="K28" s="10" t="s">
        <v>585</v>
      </c>
      <c r="L28" s="10" t="s">
        <v>350</v>
      </c>
      <c r="M28" s="10" t="s">
        <v>350</v>
      </c>
      <c r="N28" s="11"/>
    </row>
    <row r="29" spans="1:21" x14ac:dyDescent="0.35">
      <c r="A29" s="7" t="str">
        <f t="shared" si="0"/>
        <v>1612</v>
      </c>
      <c r="B29" s="8" t="s">
        <v>643</v>
      </c>
      <c r="C29" s="8" t="s">
        <v>583</v>
      </c>
      <c r="D29" s="8">
        <v>1</v>
      </c>
      <c r="E29" s="27" t="str">
        <f>IF(ISNUMBER(SEARCH("CT",B29)),
   "CrossTransferStation[" &amp; (Q$3 + COUNTIF($B$2:B29,"*CT*") - 1) &amp; "]",
   IF( OR(ISNUMBER(SEARCH("TT",B29)), AND(ISNUMBER(SEARCH("C",B29)), NOT(ISNUMBER(SEARCH("CT",B29)))) ),
      "ConveyorStation[" &amp; (Q$2 + COUNTIFS($B$2:B29,"*C*",$B$2:B29,"&lt;&gt;*CT*") + COUNTIF($B$2:B29,"*TT*") - 1) &amp; "]",
      ""))</f>
        <v>ConveyorStation[118]</v>
      </c>
      <c r="F29" s="9"/>
      <c r="G29" s="9"/>
      <c r="H29" s="9"/>
      <c r="I29" s="9"/>
      <c r="J29" s="9" t="s">
        <v>644</v>
      </c>
      <c r="K29" s="10" t="s">
        <v>585</v>
      </c>
      <c r="L29" s="10" t="s">
        <v>350</v>
      </c>
      <c r="M29" s="10" t="s">
        <v>350</v>
      </c>
      <c r="N29" s="11"/>
    </row>
    <row r="30" spans="1:21" x14ac:dyDescent="0.35">
      <c r="A30" s="7" t="str">
        <f t="shared" si="0"/>
        <v>1613</v>
      </c>
      <c r="B30" s="8" t="s">
        <v>645</v>
      </c>
      <c r="C30" s="8" t="s">
        <v>583</v>
      </c>
      <c r="D30" s="8">
        <v>1</v>
      </c>
      <c r="E30" s="27" t="str">
        <f>IF(ISNUMBER(SEARCH("CT",B30)),
   "CrossTransferStation[" &amp; (Q$3 + COUNTIF($B$2:B30,"*CT*") - 1) &amp; "]",
   IF( OR(ISNUMBER(SEARCH("TT",B30)), AND(ISNUMBER(SEARCH("C",B30)), NOT(ISNUMBER(SEARCH("CT",B30)))) ),
      "ConveyorStation[" &amp; (Q$2 + COUNTIFS($B$2:B30,"*C*",$B$2:B30,"&lt;&gt;*CT*") + COUNTIF($B$2:B30,"*TT*") - 1) &amp; "]",
      ""))</f>
        <v>ConveyorStation[119]</v>
      </c>
      <c r="F30" s="9"/>
      <c r="G30" s="9"/>
      <c r="H30" s="9"/>
      <c r="I30" s="9"/>
      <c r="J30" s="9" t="s">
        <v>646</v>
      </c>
      <c r="K30" s="10" t="s">
        <v>585</v>
      </c>
      <c r="L30" s="10" t="s">
        <v>350</v>
      </c>
      <c r="M30" s="10" t="s">
        <v>350</v>
      </c>
      <c r="N30" s="11"/>
    </row>
    <row r="31" spans="1:21" ht="26" x14ac:dyDescent="0.35">
      <c r="A31" s="7" t="str">
        <f t="shared" si="0"/>
        <v>1614</v>
      </c>
      <c r="B31" s="8" t="s">
        <v>647</v>
      </c>
      <c r="C31" s="8" t="s">
        <v>583</v>
      </c>
      <c r="D31" s="8">
        <v>1</v>
      </c>
      <c r="E31" s="27" t="str">
        <f>IF(ISNUMBER(SEARCH("CT",B31)),
   "CrossTransferStation[" &amp; (Q$3 + COUNTIF($B$2:B31,"*CT*") - 1) &amp; "]",
   IF( OR(ISNUMBER(SEARCH("TT",B31)), AND(ISNUMBER(SEARCH("C",B31)), NOT(ISNUMBER(SEARCH("CT",B31)))) ),
      "ConveyorStation[" &amp; (Q$2 + COUNTIFS($B$2:B31,"*C*",$B$2:B31,"&lt;&gt;*CT*") + COUNTIF($B$2:B31,"*TT*") - 1) &amp; "]",
      ""))</f>
        <v>ConveyorStation[120]</v>
      </c>
      <c r="F31" s="9"/>
      <c r="G31" s="9"/>
      <c r="H31" s="9"/>
      <c r="I31" s="9"/>
      <c r="J31" s="9" t="s">
        <v>648</v>
      </c>
      <c r="K31" s="10" t="s">
        <v>585</v>
      </c>
      <c r="L31" s="10" t="s">
        <v>350</v>
      </c>
      <c r="M31" s="10" t="s">
        <v>350</v>
      </c>
      <c r="N31" s="11"/>
    </row>
    <row r="32" spans="1:21" ht="39" x14ac:dyDescent="0.35">
      <c r="A32" s="7" t="str">
        <f t="shared" si="0"/>
        <v>11611</v>
      </c>
      <c r="B32" s="8" t="s">
        <v>649</v>
      </c>
      <c r="C32" s="8" t="s">
        <v>583</v>
      </c>
      <c r="D32" s="8">
        <v>1</v>
      </c>
      <c r="E32" s="27" t="str">
        <f>IF(ISNUMBER(SEARCH("CT",B32)),
   "CrossTransferStation[" &amp; (Q$3 + COUNTIF($B$2:B32,"*CT*") - 1) &amp; "]",
   IF( OR(ISNUMBER(SEARCH("TT",B32)), AND(ISNUMBER(SEARCH("C",B32)), NOT(ISNUMBER(SEARCH("CT",B32)))) ),
      "ConveyorStation[" &amp; (Q$2 + COUNTIFS($B$2:B32,"*C*",$B$2:B32,"&lt;&gt;*CT*") + COUNTIF($B$2:B32,"*TT*") - 1) &amp; "]",
      ""))</f>
        <v>CrossTransferStation[43]</v>
      </c>
      <c r="F32" s="9"/>
      <c r="G32" s="9"/>
      <c r="H32" s="9"/>
      <c r="I32" s="9"/>
      <c r="J32" s="9" t="s">
        <v>650</v>
      </c>
      <c r="K32" s="10" t="s">
        <v>585</v>
      </c>
      <c r="L32" s="10" t="s">
        <v>350</v>
      </c>
      <c r="M32" s="10" t="s">
        <v>350</v>
      </c>
      <c r="N32" s="11"/>
    </row>
    <row r="33" spans="1:14" ht="52" x14ac:dyDescent="0.35">
      <c r="A33" s="7" t="str">
        <f t="shared" si="0"/>
        <v>11612</v>
      </c>
      <c r="B33" s="8" t="s">
        <v>651</v>
      </c>
      <c r="C33" s="8" t="s">
        <v>583</v>
      </c>
      <c r="D33" s="8">
        <v>1</v>
      </c>
      <c r="E33" s="27" t="str">
        <f>IF(ISNUMBER(SEARCH("CT",B33)),
   "CrossTransferStation[" &amp; (Q$3 + COUNTIF($B$2:B33,"*CT*") - 1) &amp; "]",
   IF( OR(ISNUMBER(SEARCH("TT",B33)), AND(ISNUMBER(SEARCH("C",B33)), NOT(ISNUMBER(SEARCH("CT",B33)))) ),
      "ConveyorStation[" &amp; (Q$2 + COUNTIFS($B$2:B33,"*C*",$B$2:B33,"&lt;&gt;*CT*") + COUNTIF($B$2:B33,"*TT*") - 1) &amp; "]",
      ""))</f>
        <v>CrossTransferStation[44]</v>
      </c>
      <c r="F33" s="9"/>
      <c r="G33" s="9"/>
      <c r="H33" s="9"/>
      <c r="I33" s="9"/>
      <c r="J33" s="9" t="s">
        <v>652</v>
      </c>
      <c r="K33" s="10" t="s">
        <v>585</v>
      </c>
      <c r="L33" s="10" t="s">
        <v>350</v>
      </c>
      <c r="M33" s="10" t="s">
        <v>350</v>
      </c>
      <c r="N33" s="11"/>
    </row>
    <row r="34" spans="1:14" ht="39" x14ac:dyDescent="0.35">
      <c r="A34" s="7" t="str">
        <f t="shared" si="0"/>
        <v>11621</v>
      </c>
      <c r="B34" s="8" t="s">
        <v>653</v>
      </c>
      <c r="C34" s="8" t="s">
        <v>583</v>
      </c>
      <c r="D34" s="8">
        <v>1</v>
      </c>
      <c r="E34" s="27" t="str">
        <f>IF(ISNUMBER(SEARCH("CT",B34)),
   "CrossTransferStation[" &amp; (Q$3 + COUNTIF($B$2:B34,"*CT*") - 1) &amp; "]",
   IF( OR(ISNUMBER(SEARCH("TT",B34)), AND(ISNUMBER(SEARCH("C",B34)), NOT(ISNUMBER(SEARCH("CT",B34)))) ),
      "ConveyorStation[" &amp; (Q$2 + COUNTIFS($B$2:B34,"*C*",$B$2:B34,"&lt;&gt;*CT*") + COUNTIF($B$2:B34,"*TT*") - 1) &amp; "]",
      ""))</f>
        <v>CrossTransferStation[45]</v>
      </c>
      <c r="F34" s="41" t="s">
        <v>654</v>
      </c>
      <c r="G34" s="9"/>
      <c r="H34" s="9"/>
      <c r="I34" s="9"/>
      <c r="J34" s="9" t="s">
        <v>655</v>
      </c>
      <c r="K34" s="10" t="s">
        <v>585</v>
      </c>
      <c r="L34" s="10" t="s">
        <v>350</v>
      </c>
      <c r="M34" s="10" t="s">
        <v>351</v>
      </c>
      <c r="N34" s="11"/>
    </row>
    <row r="35" spans="1:14" x14ac:dyDescent="0.35">
      <c r="A35" s="7" t="str">
        <f t="shared" si="0"/>
        <v>1631</v>
      </c>
      <c r="B35" s="8" t="s">
        <v>656</v>
      </c>
      <c r="C35" s="8" t="s">
        <v>583</v>
      </c>
      <c r="D35" s="8">
        <v>1</v>
      </c>
      <c r="E35" s="27" t="str">
        <f>IF(ISNUMBER(SEARCH("CT",B35)),
   "CrossTransferStation[" &amp; (Q$3 + COUNTIF($B$2:B35,"*CT*") - 1) &amp; "]",
   IF( OR(ISNUMBER(SEARCH("TT",B35)), AND(ISNUMBER(SEARCH("C",B35)), NOT(ISNUMBER(SEARCH("CT",B35)))) ),
      "ConveyorStation[" &amp; (Q$2 + COUNTIFS($B$2:B35,"*C*",$B$2:B35,"&lt;&gt;*CT*") + COUNTIF($B$2:B35,"*TT*") - 1) &amp; "]",
      ""))</f>
        <v>ConveyorStation[121]</v>
      </c>
      <c r="F35" s="41" t="s">
        <v>657</v>
      </c>
      <c r="G35" s="9"/>
      <c r="H35" s="9"/>
      <c r="I35" s="9"/>
      <c r="J35" s="9" t="s">
        <v>658</v>
      </c>
      <c r="K35" s="10" t="s">
        <v>585</v>
      </c>
      <c r="L35" s="10" t="s">
        <v>350</v>
      </c>
      <c r="M35" s="146" t="s">
        <v>351</v>
      </c>
      <c r="N35" s="11"/>
    </row>
    <row r="36" spans="1:14" x14ac:dyDescent="0.35">
      <c r="A36" s="7" t="str">
        <f t="shared" si="0"/>
        <v>1641</v>
      </c>
      <c r="B36" s="8" t="s">
        <v>659</v>
      </c>
      <c r="C36" s="8" t="s">
        <v>583</v>
      </c>
      <c r="D36" s="8">
        <v>1</v>
      </c>
      <c r="E36" s="27" t="str">
        <f>IF(ISNUMBER(SEARCH("CT",B36)),
   "CrossTransferStation[" &amp; (Q$3 + COUNTIF($B$2:B40,"*CT*") - 1) &amp; "]",
   IF( OR(ISNUMBER(SEARCH("TT",B36)), AND(ISNUMBER(SEARCH("C",B36)), NOT(ISNUMBER(SEARCH("CT",B36)))) ),
      "ConveyorStation[" &amp; (Q$2 + COUNTIFS($B$2:B40,"*C*",$B$2:B40,"&lt;&gt;*CT*") + COUNTIF($B$2:B40,"*TT*") - 1) &amp; "]",
      ""))</f>
        <v>ConveyorStation[122]</v>
      </c>
      <c r="F36" s="9"/>
      <c r="G36" s="9"/>
      <c r="H36" s="9"/>
      <c r="I36" s="9"/>
      <c r="J36" s="9" t="s">
        <v>660</v>
      </c>
      <c r="K36" s="10" t="s">
        <v>585</v>
      </c>
      <c r="L36" s="10" t="s">
        <v>350</v>
      </c>
      <c r="M36" s="10" t="s">
        <v>350</v>
      </c>
      <c r="N36" s="11"/>
    </row>
    <row r="37" spans="1:14" x14ac:dyDescent="0.35">
      <c r="A37" s="7"/>
      <c r="B37" s="8" t="s">
        <v>1907</v>
      </c>
      <c r="C37" s="8" t="s">
        <v>583</v>
      </c>
      <c r="D37" s="8">
        <v>1</v>
      </c>
      <c r="E37" s="9" t="s">
        <v>1905</v>
      </c>
      <c r="F37" s="9"/>
      <c r="G37" s="9"/>
      <c r="H37" s="9"/>
      <c r="I37" s="9"/>
      <c r="J37" s="9"/>
      <c r="K37" s="10"/>
      <c r="L37" s="10"/>
      <c r="M37" s="10"/>
      <c r="N37" s="11"/>
    </row>
    <row r="38" spans="1:14" x14ac:dyDescent="0.35">
      <c r="A38" s="7"/>
      <c r="B38" s="8" t="s">
        <v>1908</v>
      </c>
      <c r="C38" s="8" t="s">
        <v>583</v>
      </c>
      <c r="D38" s="8">
        <v>1</v>
      </c>
      <c r="E38" s="9" t="s">
        <v>1906</v>
      </c>
      <c r="F38" s="9"/>
      <c r="G38" s="9"/>
      <c r="H38" s="9"/>
      <c r="I38" s="9"/>
      <c r="J38" s="9"/>
      <c r="K38" s="10"/>
      <c r="L38" s="10"/>
      <c r="M38" s="10"/>
      <c r="N38" s="11"/>
    </row>
    <row r="39" spans="1:14" x14ac:dyDescent="0.35">
      <c r="A39" s="7"/>
      <c r="B39" s="8" t="s">
        <v>1909</v>
      </c>
      <c r="C39" s="8" t="s">
        <v>583</v>
      </c>
      <c r="D39" s="8">
        <v>1</v>
      </c>
      <c r="E39" s="9" t="s">
        <v>1912</v>
      </c>
      <c r="F39" s="9"/>
      <c r="G39" s="9"/>
      <c r="H39" s="9"/>
      <c r="I39" s="9"/>
      <c r="J39" s="9"/>
      <c r="K39" s="10"/>
      <c r="L39" s="10"/>
      <c r="M39" s="10"/>
      <c r="N39" s="11"/>
    </row>
    <row r="40" spans="1:14" ht="26" x14ac:dyDescent="0.35">
      <c r="A40" s="7"/>
      <c r="B40" s="10" t="s">
        <v>1910</v>
      </c>
      <c r="C40" s="8" t="s">
        <v>583</v>
      </c>
      <c r="D40" s="8">
        <v>1</v>
      </c>
      <c r="E40" s="9" t="s">
        <v>1911</v>
      </c>
      <c r="F40" s="9"/>
      <c r="G40" s="9"/>
      <c r="H40" s="9"/>
      <c r="I40" s="9"/>
      <c r="J40" s="9"/>
      <c r="K40" s="10"/>
      <c r="L40" s="10"/>
      <c r="M40" s="10"/>
      <c r="N40" s="11"/>
    </row>
  </sheetData>
  <phoneticPr fontId="10" type="noConversion"/>
  <pageMargins left="0.7" right="0.7" top="0.75" bottom="0.75" header="0.3" footer="0.3"/>
  <ignoredErrors>
    <ignoredError sqref="E36:E40" calculatedColumn="1"/>
  </ignoredErrors>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74E5A-B782-4ABC-8773-197028A1BA9A}">
  <dimension ref="A1:Y32"/>
  <sheetViews>
    <sheetView zoomScale="75" zoomScaleNormal="100" workbookViewId="0">
      <selection activeCell="F25" sqref="F25"/>
    </sheetView>
  </sheetViews>
  <sheetFormatPr defaultColWidth="10.54296875" defaultRowHeight="14.5" x14ac:dyDescent="0.35"/>
  <cols>
    <col min="1" max="1" width="7.1796875" style="30" customWidth="1"/>
    <col min="2" max="2" width="18.81640625" style="30" customWidth="1"/>
    <col min="3" max="3" width="10.453125" style="30" bestFit="1" customWidth="1"/>
    <col min="4" max="4" width="11.453125" style="30" bestFit="1" customWidth="1"/>
    <col min="5" max="5" width="38" style="31" customWidth="1"/>
    <col min="6" max="6" width="23.81640625" style="31" customWidth="1"/>
    <col min="7" max="7" width="28.7265625" style="31" bestFit="1" customWidth="1"/>
    <col min="8" max="8" width="12.453125" bestFit="1" customWidth="1"/>
    <col min="9" max="9" width="16.453125" style="31" bestFit="1" customWidth="1"/>
    <col min="10" max="10" width="34.7265625" style="31" bestFit="1" customWidth="1"/>
    <col min="11" max="11" width="24" style="31" bestFit="1" customWidth="1"/>
    <col min="12" max="12" width="15.7265625" style="31" bestFit="1" customWidth="1"/>
    <col min="13" max="13" width="15.7265625" style="30" bestFit="1" customWidth="1"/>
    <col min="14" max="14" width="23.7265625" style="30" customWidth="1"/>
    <col min="15" max="15" width="12.26953125" style="30" bestFit="1" customWidth="1"/>
    <col min="16" max="16" width="18.453125" customWidth="1"/>
    <col min="17" max="17" width="4.453125" bestFit="1" customWidth="1"/>
    <col min="18" max="18" width="4.7265625" bestFit="1" customWidth="1"/>
    <col min="19" max="19" width="11.26953125" bestFit="1" customWidth="1"/>
    <col min="20" max="20" width="11.54296875" bestFit="1" customWidth="1"/>
    <col min="21" max="21" width="3" bestFit="1" customWidth="1"/>
    <col min="26" max="16384" width="10.54296875" style="6"/>
  </cols>
  <sheetData>
    <row r="1" spans="1:25" ht="39" x14ac:dyDescent="0.35">
      <c r="A1" s="1" t="s">
        <v>334</v>
      </c>
      <c r="B1" s="2" t="s">
        <v>308</v>
      </c>
      <c r="C1" s="2" t="s">
        <v>335</v>
      </c>
      <c r="D1" s="2" t="s">
        <v>336</v>
      </c>
      <c r="E1" s="250" t="s">
        <v>337</v>
      </c>
      <c r="F1" s="3" t="s">
        <v>338</v>
      </c>
      <c r="G1" s="3" t="s">
        <v>459</v>
      </c>
      <c r="H1" s="3" t="s">
        <v>340</v>
      </c>
      <c r="I1" s="3" t="s">
        <v>341</v>
      </c>
      <c r="J1" s="3" t="s">
        <v>342</v>
      </c>
      <c r="K1" s="3" t="s">
        <v>343</v>
      </c>
      <c r="L1" s="4" t="s">
        <v>344</v>
      </c>
      <c r="M1" s="4" t="s">
        <v>345</v>
      </c>
      <c r="N1" s="5" t="s">
        <v>346</v>
      </c>
      <c r="O1"/>
      <c r="Y1" s="6"/>
    </row>
    <row r="2" spans="1:25" ht="39" x14ac:dyDescent="0.35">
      <c r="A2" s="44" t="str">
        <f t="shared" ref="A2:A29" si="0">IF(ISNUMBER(SEARCH("CT",B2)),"1"&amp;MID(B2,2,FIND("CT",B2)-2)&amp;RIGHT(B2,1),MID(B2,2,FIND("C",B2)-2)&amp;RIGHT(B2,1))</f>
        <v>871</v>
      </c>
      <c r="B2" s="45" t="s">
        <v>661</v>
      </c>
      <c r="C2" s="45" t="s">
        <v>312</v>
      </c>
      <c r="D2" s="45">
        <v>1</v>
      </c>
      <c r="E2" s="251" t="str">
        <f>IF(ISNUMBER(SEARCH("CT",B2)),
   "CrossTransferStation[" &amp; (Q$3 + COUNTIF($B$2:B2,"*CT*") - 1) &amp; "]",
   IF( OR(ISNUMBER(SEARCH("TT",B2)), AND(ISNUMBER(SEARCH("C",B2)), NOT(ISNUMBER(SEARCH("CT",B2)))) ),
      "ConveyorStation[" &amp; (Q$2 + COUNTIFS($B$2:B2,"*C*",$B$2:B2,"&lt;&gt;*CT*") + COUNTIF($B$2:B2,"*TT*") - 1) &amp; "]",
      ""))</f>
        <v>ConveyorStation[133]</v>
      </c>
      <c r="F2" s="9" t="s">
        <v>662</v>
      </c>
      <c r="G2" s="53"/>
      <c r="H2" s="9"/>
      <c r="I2" s="9"/>
      <c r="J2" s="53" t="s">
        <v>663</v>
      </c>
      <c r="K2" s="10" t="s">
        <v>585</v>
      </c>
      <c r="L2" s="47" t="s">
        <v>351</v>
      </c>
      <c r="M2" s="47" t="s">
        <v>350</v>
      </c>
      <c r="N2" s="11"/>
      <c r="O2"/>
      <c r="P2" s="59" t="s">
        <v>352</v>
      </c>
      <c r="Q2" s="57">
        <v>133</v>
      </c>
      <c r="Y2" s="6"/>
    </row>
    <row r="3" spans="1:25" ht="26" x14ac:dyDescent="0.35">
      <c r="A3" s="44" t="str">
        <f t="shared" si="0"/>
        <v>1871</v>
      </c>
      <c r="B3" s="45" t="s">
        <v>664</v>
      </c>
      <c r="C3" s="45" t="s">
        <v>312</v>
      </c>
      <c r="D3" s="45">
        <v>1</v>
      </c>
      <c r="E3" s="251" t="str">
        <f>IF(ISNUMBER(SEARCH("CT",B3)),
   "CrossTransferStation[" &amp; (Q$3 + COUNTIF($B$2:B3,"*CT*") - 1) &amp; "]",
   IF( OR(ISNUMBER(SEARCH("TT",B3)), AND(ISNUMBER(SEARCH("C",B3)), NOT(ISNUMBER(SEARCH("CT",B3)))) ),
      "ConveyorStation[" &amp; (Q$2 + COUNTIFS($B$2:B3,"*C*",$B$2:B3,"&lt;&gt;*CT*") + COUNTIF($B$2:B3,"*TT*") - 1) &amp; "]",
      ""))</f>
        <v>CrossTransferStation[56]</v>
      </c>
      <c r="F3" s="9" t="s">
        <v>665</v>
      </c>
      <c r="G3" s="9"/>
      <c r="H3" s="9"/>
      <c r="I3" s="9"/>
      <c r="J3" s="9" t="s">
        <v>666</v>
      </c>
      <c r="K3" s="10" t="s">
        <v>585</v>
      </c>
      <c r="L3" s="47" t="s">
        <v>351</v>
      </c>
      <c r="M3" s="47" t="s">
        <v>350</v>
      </c>
      <c r="N3" s="11"/>
      <c r="O3"/>
      <c r="P3" s="59" t="s">
        <v>356</v>
      </c>
      <c r="Q3" s="57">
        <v>56</v>
      </c>
      <c r="Y3" s="6"/>
    </row>
    <row r="4" spans="1:25" s="214" customFormat="1" x14ac:dyDescent="0.35">
      <c r="A4" s="23" t="str">
        <f t="shared" si="0"/>
        <v>881</v>
      </c>
      <c r="B4" s="48" t="s">
        <v>667</v>
      </c>
      <c r="C4" s="45" t="s">
        <v>312</v>
      </c>
      <c r="D4" s="155">
        <v>1</v>
      </c>
      <c r="E4" s="252" t="str">
        <f>IF(ISNUMBER(SEARCH("CT",B4)),
   "CrossTransferStation[" &amp; (Q$3 + COUNTIF($B$2:B4,"*CT*") - 1) &amp; "]",
   IF( OR(ISNUMBER(SEARCH("TT",B4)), AND(ISNUMBER(SEARCH("C",B4)), NOT(ISNUMBER(SEARCH("CT",B4)))) ),
      "ConveyorStation[" &amp; (Q$2 + COUNTIFS($B$2:B4,"*C*",$B$2:B4,"&lt;&gt;*CT*") + COUNTIF($B$2:B4,"*TT*") - 1) &amp; "]",
      ""))</f>
        <v>ConveyorStation[134]</v>
      </c>
      <c r="F4" s="148"/>
      <c r="G4" s="148"/>
      <c r="H4" s="148"/>
      <c r="I4" s="148"/>
      <c r="J4" s="9" t="s">
        <v>668</v>
      </c>
      <c r="K4" s="208" t="s">
        <v>585</v>
      </c>
      <c r="L4" s="209" t="s">
        <v>350</v>
      </c>
      <c r="M4" s="209" t="s">
        <v>350</v>
      </c>
      <c r="N4" s="210"/>
      <c r="O4" s="211"/>
      <c r="P4" s="212"/>
      <c r="Q4" s="213"/>
      <c r="R4" s="211"/>
      <c r="S4" s="211"/>
      <c r="T4" s="211"/>
      <c r="U4" s="211"/>
      <c r="V4" s="211"/>
      <c r="W4" s="211"/>
      <c r="X4" s="211"/>
    </row>
    <row r="5" spans="1:25" s="214" customFormat="1" x14ac:dyDescent="0.35">
      <c r="A5" s="44" t="str">
        <f t="shared" si="0"/>
        <v>882</v>
      </c>
      <c r="B5" s="48" t="s">
        <v>669</v>
      </c>
      <c r="C5" s="45" t="s">
        <v>312</v>
      </c>
      <c r="D5" s="155">
        <v>1</v>
      </c>
      <c r="E5" s="252" t="str">
        <f>IF(ISNUMBER(SEARCH("CT",B5)),
   "CrossTransferStation[" &amp; (Q$3 + COUNTIF($B$2:B5,"*CT*") - 1) &amp; "]",
   IF( OR(ISNUMBER(SEARCH("TT",B5)), AND(ISNUMBER(SEARCH("C",B5)), NOT(ISNUMBER(SEARCH("CT",B5)))) ),
      "ConveyorStation[" &amp; (Q$2 + COUNTIFS($B$2:B5,"*C*",$B$2:B5,"&lt;&gt;*CT*") + COUNTIF($B$2:B5,"*TT*") - 1) &amp; "]",
      ""))</f>
        <v>ConveyorStation[135]</v>
      </c>
      <c r="F5" s="148"/>
      <c r="G5" s="148"/>
      <c r="H5" s="148"/>
      <c r="I5" s="148"/>
      <c r="J5" s="9" t="s">
        <v>670</v>
      </c>
      <c r="K5" s="208" t="s">
        <v>585</v>
      </c>
      <c r="L5" s="209" t="s">
        <v>350</v>
      </c>
      <c r="M5" s="209" t="s">
        <v>350</v>
      </c>
      <c r="N5" s="210"/>
      <c r="O5" s="211"/>
      <c r="P5" s="211"/>
      <c r="Q5" s="211"/>
      <c r="R5" s="211"/>
      <c r="S5" s="211"/>
      <c r="T5" s="211"/>
      <c r="U5" s="211"/>
      <c r="V5" s="211"/>
      <c r="W5" s="211"/>
      <c r="X5" s="211"/>
    </row>
    <row r="6" spans="1:25" ht="39" x14ac:dyDescent="0.35">
      <c r="A6" s="44" t="str">
        <f t="shared" si="0"/>
        <v>883</v>
      </c>
      <c r="B6" s="48" t="s">
        <v>671</v>
      </c>
      <c r="C6" s="45" t="s">
        <v>312</v>
      </c>
      <c r="D6" s="45">
        <v>1</v>
      </c>
      <c r="E6" s="251" t="str">
        <f>IF(ISNUMBER(SEARCH("CT",B6)),
   "CrossTransferStation[" &amp; (Q$3 + COUNTIF($B$2:B6,"*CT*") - 1) &amp; "]",
   IF( OR(ISNUMBER(SEARCH("TT",B6)), AND(ISNUMBER(SEARCH("C",B6)), NOT(ISNUMBER(SEARCH("CT",B6)))) ),
      "ConveyorStation[" &amp; (Q$2 + COUNTIFS($B$2:B6,"*C*",$B$2:B6,"&lt;&gt;*CT*") + COUNTIF($B$2:B6,"*TT*") - 1) &amp; "]",
      ""))</f>
        <v>ConveyorStation[136]</v>
      </c>
      <c r="F6" s="82" t="s">
        <v>672</v>
      </c>
      <c r="G6" s="9"/>
      <c r="H6" s="9"/>
      <c r="I6" s="9"/>
      <c r="J6" s="9" t="s">
        <v>673</v>
      </c>
      <c r="K6" s="10" t="s">
        <v>585</v>
      </c>
      <c r="L6" s="47" t="s">
        <v>350</v>
      </c>
      <c r="M6" s="146" t="s">
        <v>351</v>
      </c>
      <c r="N6" s="11"/>
      <c r="O6"/>
      <c r="P6" s="58" t="s">
        <v>308</v>
      </c>
      <c r="Q6" s="58" t="s">
        <v>365</v>
      </c>
      <c r="R6" s="58" t="s">
        <v>366</v>
      </c>
      <c r="S6" s="58" t="s">
        <v>367</v>
      </c>
      <c r="T6" s="58" t="s">
        <v>368</v>
      </c>
      <c r="Y6" s="6"/>
    </row>
    <row r="7" spans="1:25" s="214" customFormat="1" x14ac:dyDescent="0.35">
      <c r="A7" s="44" t="str">
        <f t="shared" si="0"/>
        <v>884</v>
      </c>
      <c r="B7" s="48" t="s">
        <v>674</v>
      </c>
      <c r="C7" s="155" t="s">
        <v>312</v>
      </c>
      <c r="D7" s="155">
        <v>1</v>
      </c>
      <c r="E7" s="252" t="str">
        <f>IF(ISNUMBER(SEARCH("CT",B7)),
   "CrossTransferStation[" &amp; (Q$3 + COUNTIF($B$2:B7,"*CT*") - 1) &amp; "]",
   IF( OR(ISNUMBER(SEARCH("TT",B7)), AND(ISNUMBER(SEARCH("C",B7)), NOT(ISNUMBER(SEARCH("CT",B7)))) ),
      "ConveyorStation[" &amp; (Q$2 + COUNTIFS($B$2:B7,"*C*",$B$2:B7,"&lt;&gt;*CT*") + COUNTIF($B$2:B7,"*TT*") - 1) &amp; "]",
      ""))</f>
        <v>ConveyorStation[137]</v>
      </c>
      <c r="F7" s="148"/>
      <c r="G7" s="148"/>
      <c r="H7" s="148"/>
      <c r="I7" s="148"/>
      <c r="J7" s="9" t="s">
        <v>675</v>
      </c>
      <c r="K7" s="208" t="s">
        <v>585</v>
      </c>
      <c r="L7" s="209" t="s">
        <v>350</v>
      </c>
      <c r="M7" s="209" t="s">
        <v>350</v>
      </c>
      <c r="N7" s="210"/>
      <c r="O7" s="211"/>
      <c r="P7" s="9" t="s">
        <v>322</v>
      </c>
      <c r="Q7" s="57">
        <v>133</v>
      </c>
      <c r="R7" s="57">
        <v>153</v>
      </c>
      <c r="S7" s="57">
        <v>10</v>
      </c>
      <c r="T7" s="56">
        <f>SUM(R7:S7)+1</f>
        <v>164</v>
      </c>
      <c r="U7" s="42">
        <f>T7-S7-Q7</f>
        <v>21</v>
      </c>
      <c r="V7" s="211"/>
      <c r="W7" s="211"/>
      <c r="X7" s="211"/>
    </row>
    <row r="8" spans="1:25" ht="39" x14ac:dyDescent="0.35">
      <c r="A8" s="23" t="str">
        <f t="shared" si="0"/>
        <v>1881</v>
      </c>
      <c r="B8" s="48" t="s">
        <v>676</v>
      </c>
      <c r="C8" s="45" t="s">
        <v>312</v>
      </c>
      <c r="D8" s="45">
        <v>1</v>
      </c>
      <c r="E8" s="251" t="str">
        <f>IF(ISNUMBER(SEARCH("CT",B8)),
   "CrossTransferStation[" &amp; (Q$3 + COUNTIF($B$2:B8,"*CT*") - 1) &amp; "]",
   IF( OR(ISNUMBER(SEARCH("TT",B8)), AND(ISNUMBER(SEARCH("C",B8)), NOT(ISNUMBER(SEARCH("CT",B8)))) ),
      "ConveyorStation[" &amp; (Q$2 + COUNTIFS($B$2:B8,"*C*",$B$2:B8,"&lt;&gt;*CT*") + COUNTIF($B$2:B8,"*TT*") - 1) &amp; "]",
      ""))</f>
        <v>CrossTransferStation[57]</v>
      </c>
      <c r="F8" s="9" t="s">
        <v>677</v>
      </c>
      <c r="G8" s="9"/>
      <c r="H8" s="9"/>
      <c r="I8" s="9"/>
      <c r="J8" s="9" t="s">
        <v>678</v>
      </c>
      <c r="K8" s="10" t="s">
        <v>470</v>
      </c>
      <c r="L8" s="24" t="s">
        <v>351</v>
      </c>
      <c r="M8" s="24" t="s">
        <v>351</v>
      </c>
      <c r="N8" s="11"/>
      <c r="O8"/>
      <c r="P8" s="9" t="s">
        <v>323</v>
      </c>
      <c r="Q8" s="57">
        <v>56</v>
      </c>
      <c r="R8" s="57">
        <v>62</v>
      </c>
      <c r="S8" s="57">
        <v>10</v>
      </c>
      <c r="T8" s="56">
        <f t="shared" ref="T8:T12" si="1">SUM(R8:S8)+1</f>
        <v>73</v>
      </c>
      <c r="U8" s="42">
        <f t="shared" ref="U8:U18" si="2">T8-S8-Q8</f>
        <v>7</v>
      </c>
      <c r="Y8" s="6"/>
    </row>
    <row r="9" spans="1:25" ht="39" x14ac:dyDescent="0.35">
      <c r="A9" s="23" t="str">
        <f t="shared" si="0"/>
        <v>1882</v>
      </c>
      <c r="B9" s="48" t="s">
        <v>679</v>
      </c>
      <c r="C9" s="45" t="s">
        <v>312</v>
      </c>
      <c r="D9" s="45">
        <v>1</v>
      </c>
      <c r="E9" s="251" t="str">
        <f>IF(ISNUMBER(SEARCH("CT",B9)),
   "CrossTransferStation[" &amp; (Q$3 + COUNTIF($B$2:B9,"*CT*") - 1) &amp; "]",
   IF( OR(ISNUMBER(SEARCH("TT",B9)), AND(ISNUMBER(SEARCH("C",B9)), NOT(ISNUMBER(SEARCH("CT",B9)))) ),
      "ConveyorStation[" &amp; (Q$2 + COUNTIFS($B$2:B9,"*C*",$B$2:B9,"&lt;&gt;*CT*") + COUNTIF($B$2:B9,"*TT*") - 1) &amp; "]",
      ""))</f>
        <v>CrossTransferStation[58]</v>
      </c>
      <c r="F9" s="9" t="s">
        <v>680</v>
      </c>
      <c r="G9" s="9"/>
      <c r="H9" s="9"/>
      <c r="I9" s="9"/>
      <c r="J9" s="9" t="s">
        <v>681</v>
      </c>
      <c r="K9" s="10" t="s">
        <v>470</v>
      </c>
      <c r="L9" s="47" t="s">
        <v>351</v>
      </c>
      <c r="M9" s="47" t="s">
        <v>351</v>
      </c>
      <c r="N9" s="11"/>
      <c r="O9"/>
      <c r="P9" s="9" t="s">
        <v>324</v>
      </c>
      <c r="Q9" s="57">
        <v>55</v>
      </c>
      <c r="R9" s="57">
        <v>59</v>
      </c>
      <c r="S9" s="57">
        <v>11</v>
      </c>
      <c r="T9" s="56">
        <f t="shared" si="1"/>
        <v>71</v>
      </c>
      <c r="U9" s="42">
        <f t="shared" si="2"/>
        <v>5</v>
      </c>
      <c r="Y9" s="6"/>
    </row>
    <row r="10" spans="1:25" ht="26" x14ac:dyDescent="0.35">
      <c r="A10" s="50" t="str">
        <f t="shared" si="0"/>
        <v>891</v>
      </c>
      <c r="B10" s="51" t="s">
        <v>682</v>
      </c>
      <c r="C10" s="45" t="s">
        <v>312</v>
      </c>
      <c r="D10" s="45">
        <v>1</v>
      </c>
      <c r="E10" s="251" t="str">
        <f>IF(ISNUMBER(SEARCH("CT",B10)),
   "CrossTransferStation[" &amp; (Q$3 + COUNTIF($B$2:B10,"*CT*") - 1) &amp; "]",
   IF( OR(ISNUMBER(SEARCH("TT",B10)), AND(ISNUMBER(SEARCH("C",B10)), NOT(ISNUMBER(SEARCH("CT",B10)))) ),
      "ConveyorStation[" &amp; (Q$2 + COUNTIFS($B$2:B10,"*C*",$B$2:B10,"&lt;&gt;*CT*") + COUNTIF($B$2:B10,"*TT*") - 1) &amp; "]",
      ""))</f>
        <v>ConveyorStation[138]</v>
      </c>
      <c r="F10" s="9"/>
      <c r="G10" s="9"/>
      <c r="H10" s="9"/>
      <c r="I10" s="9"/>
      <c r="J10" s="9" t="s">
        <v>683</v>
      </c>
      <c r="K10" s="10" t="s">
        <v>585</v>
      </c>
      <c r="L10" s="47" t="s">
        <v>350</v>
      </c>
      <c r="M10" s="47" t="s">
        <v>350</v>
      </c>
      <c r="N10" s="11"/>
      <c r="O10"/>
      <c r="P10" s="9" t="s">
        <v>325</v>
      </c>
      <c r="Q10" s="57">
        <v>30</v>
      </c>
      <c r="R10" s="57">
        <v>31</v>
      </c>
      <c r="S10" s="57">
        <v>10</v>
      </c>
      <c r="T10" s="56">
        <f t="shared" si="1"/>
        <v>42</v>
      </c>
      <c r="U10" s="42">
        <f t="shared" si="2"/>
        <v>2</v>
      </c>
      <c r="Y10" s="6"/>
    </row>
    <row r="11" spans="1:25" ht="26" x14ac:dyDescent="0.35">
      <c r="A11" s="44" t="str">
        <f t="shared" si="0"/>
        <v>901</v>
      </c>
      <c r="B11" s="45" t="s">
        <v>684</v>
      </c>
      <c r="C11" s="45" t="s">
        <v>312</v>
      </c>
      <c r="D11" s="45">
        <v>1</v>
      </c>
      <c r="E11" s="251" t="str">
        <f>IF(ISNUMBER(SEARCH("CT",B11)),
   "CrossTransferStation[" &amp; (Q$3 + COUNTIF($B$2:B11,"*CT*") - 1) &amp; "]",
   IF( OR(ISNUMBER(SEARCH("TT",B11)), AND(ISNUMBER(SEARCH("C",B11)), NOT(ISNUMBER(SEARCH("CT",B11)))) ),
      "ConveyorStation[" &amp; (Q$2 + COUNTIFS($B$2:B11,"*C*",$B$2:B11,"&lt;&gt;*CT*") + COUNTIF($B$2:B11,"*TT*") - 1) &amp; "]",
      ""))</f>
        <v>ConveyorStation[139]</v>
      </c>
      <c r="F11" s="9" t="s">
        <v>1855</v>
      </c>
      <c r="G11" s="9"/>
      <c r="H11" s="9"/>
      <c r="I11" s="9"/>
      <c r="J11" s="9" t="s">
        <v>685</v>
      </c>
      <c r="K11" s="10" t="s">
        <v>585</v>
      </c>
      <c r="L11" s="47" t="s">
        <v>350</v>
      </c>
      <c r="M11" s="47" t="s">
        <v>351</v>
      </c>
      <c r="N11" s="152"/>
      <c r="O11"/>
      <c r="P11" s="9" t="s">
        <v>326</v>
      </c>
      <c r="Q11" s="57">
        <v>44</v>
      </c>
      <c r="R11" s="57">
        <v>46</v>
      </c>
      <c r="S11" s="57">
        <v>10</v>
      </c>
      <c r="T11" s="56">
        <f t="shared" si="1"/>
        <v>57</v>
      </c>
      <c r="U11" s="42">
        <f t="shared" si="2"/>
        <v>3</v>
      </c>
      <c r="Y11" s="6"/>
    </row>
    <row r="12" spans="1:25" x14ac:dyDescent="0.35">
      <c r="A12" s="44" t="str">
        <f t="shared" si="0"/>
        <v>911</v>
      </c>
      <c r="B12" s="45" t="s">
        <v>686</v>
      </c>
      <c r="C12" s="45" t="s">
        <v>312</v>
      </c>
      <c r="D12" s="45">
        <v>1</v>
      </c>
      <c r="E12" s="251" t="str">
        <f>IF(ISNUMBER(SEARCH("CT",B12)),
   "CrossTransferStation[" &amp; (Q$3 + COUNTIF($B$2:B12,"*CT*") - 1) &amp; "]",
   IF( OR(ISNUMBER(SEARCH("TT",B12)), AND(ISNUMBER(SEARCH("C",B12)), NOT(ISNUMBER(SEARCH("CT",B12)))) ),
      "ConveyorStation[" &amp; (Q$2 + COUNTIFS($B$2:B12,"*C*",$B$2:B12,"&lt;&gt;*CT*") + COUNTIF($B$2:B12,"*TT*") - 1) &amp; "]",
      ""))</f>
        <v>ConveyorStation[140]</v>
      </c>
      <c r="F12" s="9" t="s">
        <v>687</v>
      </c>
      <c r="G12" s="9"/>
      <c r="H12" s="9"/>
      <c r="I12" s="9"/>
      <c r="J12" s="9" t="s">
        <v>688</v>
      </c>
      <c r="K12" s="10" t="s">
        <v>585</v>
      </c>
      <c r="L12" s="47" t="s">
        <v>350</v>
      </c>
      <c r="M12" s="47" t="s">
        <v>351</v>
      </c>
      <c r="N12" s="11"/>
      <c r="O12"/>
      <c r="P12" s="9" t="s">
        <v>327</v>
      </c>
      <c r="Q12" s="57">
        <v>15</v>
      </c>
      <c r="R12" s="57">
        <v>17</v>
      </c>
      <c r="S12" s="57">
        <v>10</v>
      </c>
      <c r="T12" s="56">
        <f t="shared" si="1"/>
        <v>28</v>
      </c>
      <c r="U12" s="42">
        <f t="shared" si="2"/>
        <v>3</v>
      </c>
      <c r="Y12" s="6"/>
    </row>
    <row r="13" spans="1:25" x14ac:dyDescent="0.35">
      <c r="A13" s="23" t="str">
        <f t="shared" si="0"/>
        <v>921</v>
      </c>
      <c r="B13" s="48" t="s">
        <v>689</v>
      </c>
      <c r="C13" s="45" t="s">
        <v>312</v>
      </c>
      <c r="D13" s="45">
        <v>1</v>
      </c>
      <c r="E13" s="251" t="str">
        <f>IF(ISNUMBER(SEARCH("CT",B13)),
   "CrossTransferStation[" &amp; (Q$3 + COUNTIF($B$2:B13,"*CT*") - 1) &amp; "]",
   IF( OR(ISNUMBER(SEARCH("TT",B13)), AND(ISNUMBER(SEARCH("C",B13)), NOT(ISNUMBER(SEARCH("CT",B13)))) ),
      "ConveyorStation[" &amp; (Q$2 + COUNTIFS($B$2:B13,"*C*",$B$2:B13,"&lt;&gt;*CT*") + COUNTIF($B$2:B13,"*TT*") - 1) &amp; "]",
      ""))</f>
        <v>ConveyorStation[141]</v>
      </c>
      <c r="F13" s="9" t="s">
        <v>690</v>
      </c>
      <c r="G13" s="9"/>
      <c r="H13" s="9"/>
      <c r="I13" s="9"/>
      <c r="J13" s="9" t="s">
        <v>691</v>
      </c>
      <c r="K13" s="10" t="s">
        <v>585</v>
      </c>
      <c r="L13" s="47" t="s">
        <v>351</v>
      </c>
      <c r="M13" s="47" t="s">
        <v>350</v>
      </c>
      <c r="N13" s="11"/>
      <c r="O13"/>
      <c r="P13" s="9" t="s">
        <v>328</v>
      </c>
      <c r="Q13" s="57"/>
      <c r="R13" s="57"/>
      <c r="S13" s="57"/>
      <c r="T13" s="56">
        <f>'EZ17 OB to Man Unwrapping'!T13</f>
        <v>12</v>
      </c>
      <c r="U13" s="42"/>
      <c r="Y13" s="6"/>
    </row>
    <row r="14" spans="1:25" ht="52" x14ac:dyDescent="0.35">
      <c r="A14" s="44" t="str">
        <f t="shared" si="0"/>
        <v>1921</v>
      </c>
      <c r="B14" s="48" t="s">
        <v>692</v>
      </c>
      <c r="C14" s="45" t="s">
        <v>312</v>
      </c>
      <c r="D14" s="45">
        <v>1</v>
      </c>
      <c r="E14" s="251" t="str">
        <f>IF(ISNUMBER(SEARCH("CT",B14)),
   "CrossTransferStation[" &amp; (Q$3 + COUNTIF($B$2:B14,"*CT*") - 1) &amp; "]",
   IF( OR(ISNUMBER(SEARCH("TT",B14)), AND(ISNUMBER(SEARCH("C",B14)), NOT(ISNUMBER(SEARCH("CT",B14)))) ),
      "ConveyorStation[" &amp; (Q$2 + COUNTIFS($B$2:B14,"*C*",$B$2:B14,"&lt;&gt;*CT*") + COUNTIF($B$2:B14,"*TT*") - 1) &amp; "]",
      ""))</f>
        <v>CrossTransferStation[59]</v>
      </c>
      <c r="F14" s="9"/>
      <c r="G14" s="9"/>
      <c r="H14" s="9"/>
      <c r="I14" s="9"/>
      <c r="J14" s="9" t="s">
        <v>693</v>
      </c>
      <c r="K14" s="10" t="s">
        <v>470</v>
      </c>
      <c r="L14" s="47" t="s">
        <v>350</v>
      </c>
      <c r="M14" s="47" t="s">
        <v>350</v>
      </c>
      <c r="N14" s="11"/>
      <c r="O14"/>
      <c r="P14" s="9" t="s">
        <v>329</v>
      </c>
      <c r="Q14" s="57"/>
      <c r="R14" s="57"/>
      <c r="S14" s="57"/>
      <c r="T14" s="56">
        <f>'EZ17 OB to Man Unwrapping'!T14</f>
        <v>13</v>
      </c>
      <c r="U14" s="42"/>
      <c r="Y14" s="6"/>
    </row>
    <row r="15" spans="1:25" x14ac:dyDescent="0.35">
      <c r="A15" s="44" t="str">
        <f t="shared" si="0"/>
        <v>931</v>
      </c>
      <c r="B15" s="45" t="s">
        <v>694</v>
      </c>
      <c r="C15" s="45" t="s">
        <v>312</v>
      </c>
      <c r="D15" s="45">
        <v>1</v>
      </c>
      <c r="E15" s="252" t="str">
        <f>IF(ISNUMBER(SEARCH("CT",B15)),
   "CrossTransferStation[" &amp; (Q$3 + COUNTIF($B$2:B15,"*CT*") - 1) &amp; "]",
   IF( OR(ISNUMBER(SEARCH("TT",B15)), AND(ISNUMBER(SEARCH("C",B15)), NOT(ISNUMBER(SEARCH("CT",B15)))) ),
      "ConveyorStation[" &amp; (Q$2 + COUNTIFS($B$2:B15,"*C*",$B$2:B15,"&lt;&gt;*CT*") + COUNTIF($B$2:B15,"*TT*") - 1) &amp; "]",
      ""))</f>
        <v>ConveyorStation[142]</v>
      </c>
      <c r="F15" s="9"/>
      <c r="G15" s="9"/>
      <c r="H15" s="9"/>
      <c r="I15" s="9"/>
      <c r="J15" s="9" t="s">
        <v>695</v>
      </c>
      <c r="K15" s="10" t="s">
        <v>585</v>
      </c>
      <c r="L15" s="47" t="s">
        <v>350</v>
      </c>
      <c r="M15" s="47" t="s">
        <v>350</v>
      </c>
      <c r="N15" s="11"/>
      <c r="O15"/>
      <c r="P15" s="9" t="s">
        <v>185</v>
      </c>
      <c r="Q15" s="56"/>
      <c r="R15" s="56"/>
      <c r="S15" s="56"/>
      <c r="T15" s="56">
        <f>'EZ17 OB to Man Unwrapping'!T15</f>
        <v>12</v>
      </c>
      <c r="U15" s="42"/>
      <c r="Y15" s="6"/>
    </row>
    <row r="16" spans="1:25" ht="26" x14ac:dyDescent="0.35">
      <c r="A16" s="44" t="str">
        <f t="shared" si="0"/>
        <v>932</v>
      </c>
      <c r="B16" s="45" t="s">
        <v>696</v>
      </c>
      <c r="C16" s="45" t="s">
        <v>312</v>
      </c>
      <c r="D16" s="45">
        <v>1</v>
      </c>
      <c r="E16" s="251" t="str">
        <f>IF(ISNUMBER(SEARCH("CT",B16)),
   "CrossTransferStation[" &amp; (Q$3 + COUNTIF($B$2:B16,"*CT*") - 1) &amp; "]",
   IF( OR(ISNUMBER(SEARCH("TT",B16)), AND(ISNUMBER(SEARCH("C",B16)), NOT(ISNUMBER(SEARCH("CT",B16)))) ),
      "ConveyorStation[" &amp; (Q$2 + COUNTIFS($B$2:B16,"*C*",$B$2:B16,"&lt;&gt;*CT*") + COUNTIF($B$2:B16,"*TT*") - 1) &amp; "]",
      ""))</f>
        <v>ConveyorStation[143]</v>
      </c>
      <c r="F16" s="82" t="s">
        <v>697</v>
      </c>
      <c r="G16" s="9"/>
      <c r="H16" s="9"/>
      <c r="I16" s="9"/>
      <c r="J16" s="9" t="s">
        <v>698</v>
      </c>
      <c r="K16" s="10" t="s">
        <v>585</v>
      </c>
      <c r="L16" s="47" t="s">
        <v>350</v>
      </c>
      <c r="M16" s="47" t="s">
        <v>351</v>
      </c>
      <c r="N16" s="11"/>
      <c r="O16"/>
      <c r="P16" s="41" t="s">
        <v>330</v>
      </c>
      <c r="Q16" s="56"/>
      <c r="R16" s="56"/>
      <c r="S16" s="56"/>
      <c r="T16" s="56">
        <f>'EZ17 OB to Man Unwrapping'!T16</f>
        <v>12</v>
      </c>
      <c r="U16" s="42"/>
      <c r="Y16" s="6"/>
    </row>
    <row r="17" spans="1:25" x14ac:dyDescent="0.35">
      <c r="A17" s="23" t="str">
        <f t="shared" si="0"/>
        <v>933</v>
      </c>
      <c r="B17" s="45" t="s">
        <v>699</v>
      </c>
      <c r="C17" s="45" t="s">
        <v>312</v>
      </c>
      <c r="D17" s="45">
        <v>1</v>
      </c>
      <c r="E17" s="252" t="str">
        <f>IF(ISNUMBER(SEARCH("CT",B17)),
   "CrossTransferStation[" &amp; (Q$3 + COUNTIF($B$2:B17,"*CT*") - 1) &amp; "]",
   IF( OR(ISNUMBER(SEARCH("TT",B17)), AND(ISNUMBER(SEARCH("C",B17)), NOT(ISNUMBER(SEARCH("CT",B17)))) ),
      "ConveyorStation[" &amp; (Q$2 + COUNTIFS($B$2:B17,"*C*",$B$2:B17,"&lt;&gt;*CT*") + COUNTIF($B$2:B17,"*TT*") - 1) &amp; "]",
      ""))</f>
        <v>ConveyorStation[144]</v>
      </c>
      <c r="F17" s="9"/>
      <c r="G17" s="9"/>
      <c r="H17" s="9"/>
      <c r="I17" s="9"/>
      <c r="J17" s="9" t="s">
        <v>700</v>
      </c>
      <c r="K17" s="10" t="s">
        <v>585</v>
      </c>
      <c r="L17" s="47" t="s">
        <v>350</v>
      </c>
      <c r="M17" s="47" t="s">
        <v>350</v>
      </c>
      <c r="N17" s="11"/>
      <c r="O17"/>
      <c r="P17" s="9" t="s">
        <v>331</v>
      </c>
      <c r="Q17" s="57">
        <v>1</v>
      </c>
      <c r="R17" s="57">
        <v>1</v>
      </c>
      <c r="S17" s="56">
        <v>10</v>
      </c>
      <c r="T17" s="56">
        <f>SUM(R17:S17)+1</f>
        <v>12</v>
      </c>
      <c r="U17" s="42">
        <f t="shared" si="2"/>
        <v>1</v>
      </c>
      <c r="Y17" s="6"/>
    </row>
    <row r="18" spans="1:25" x14ac:dyDescent="0.35">
      <c r="A18" s="23" t="str">
        <f t="shared" si="0"/>
        <v>941</v>
      </c>
      <c r="B18" s="48" t="s">
        <v>701</v>
      </c>
      <c r="C18" s="45" t="s">
        <v>312</v>
      </c>
      <c r="D18" s="45">
        <v>1</v>
      </c>
      <c r="E18" s="251" t="str">
        <f>IF(ISNUMBER(SEARCH("CT",B18)),
   "CrossTransferStation[" &amp; (Q$3 + COUNTIF($B$2:B18,"*CT*") - 1) &amp; "]",
   IF( OR(ISNUMBER(SEARCH("TT",B18)), AND(ISNUMBER(SEARCH("C",B18)), NOT(ISNUMBER(SEARCH("CT",B18)))) ),
      "ConveyorStation[" &amp; (Q$2 + COUNTIFS($B$2:B18,"*C*",$B$2:B18,"&lt;&gt;*CT*") + COUNTIF($B$2:B18,"*TT*") - 1) &amp; "]",
      ""))</f>
        <v>ConveyorStation[145]</v>
      </c>
      <c r="F18" s="9" t="s">
        <v>702</v>
      </c>
      <c r="G18" s="9"/>
      <c r="H18" s="9"/>
      <c r="I18" s="9"/>
      <c r="J18" s="9" t="s">
        <v>703</v>
      </c>
      <c r="K18" s="10" t="s">
        <v>585</v>
      </c>
      <c r="L18" s="47" t="s">
        <v>350</v>
      </c>
      <c r="M18" s="47" t="s">
        <v>351</v>
      </c>
      <c r="N18" s="11"/>
      <c r="O18"/>
      <c r="P18" s="82" t="s">
        <v>333</v>
      </c>
      <c r="Q18" s="56">
        <v>1</v>
      </c>
      <c r="R18" s="56">
        <v>2</v>
      </c>
      <c r="S18" s="56">
        <v>10</v>
      </c>
      <c r="T18" s="56">
        <f>SUM(R18:S18)+1</f>
        <v>13</v>
      </c>
      <c r="U18" s="42">
        <f t="shared" si="2"/>
        <v>2</v>
      </c>
      <c r="Y18" s="6"/>
    </row>
    <row r="19" spans="1:25" ht="39" x14ac:dyDescent="0.35">
      <c r="A19" s="23" t="str">
        <f t="shared" si="0"/>
        <v>1941</v>
      </c>
      <c r="B19" s="48" t="s">
        <v>704</v>
      </c>
      <c r="C19" s="45" t="s">
        <v>312</v>
      </c>
      <c r="D19" s="45">
        <v>1</v>
      </c>
      <c r="E19" s="251" t="str">
        <f>IF(ISNUMBER(SEARCH("CT",B19)),
   "CrossTransferStation[" &amp; (Q$3 + COUNTIF($B$2:B19,"*CT*") - 1) &amp; "]",
   IF( OR(ISNUMBER(SEARCH("TT",B19)), AND(ISNUMBER(SEARCH("C",B19)), NOT(ISNUMBER(SEARCH("CT",B19)))) ),
      "ConveyorStation[" &amp; (Q$2 + COUNTIFS($B$2:B19,"*C*",$B$2:B19,"&lt;&gt;*CT*") + COUNTIF($B$2:B19,"*TT*") - 1) &amp; "]",
      ""))</f>
        <v>CrossTransferStation[60]</v>
      </c>
      <c r="F19" s="9"/>
      <c r="G19" s="9"/>
      <c r="H19" s="9"/>
      <c r="I19" s="9"/>
      <c r="J19" s="9" t="s">
        <v>705</v>
      </c>
      <c r="K19" s="10" t="s">
        <v>585</v>
      </c>
      <c r="L19" s="47" t="s">
        <v>350</v>
      </c>
      <c r="M19" s="47" t="s">
        <v>350</v>
      </c>
      <c r="N19" s="11"/>
      <c r="O19"/>
      <c r="Y19" s="6"/>
    </row>
    <row r="20" spans="1:25" x14ac:dyDescent="0.35">
      <c r="A20" s="52" t="str">
        <f t="shared" si="0"/>
        <v>951</v>
      </c>
      <c r="B20" s="48" t="s">
        <v>706</v>
      </c>
      <c r="C20" s="45" t="s">
        <v>312</v>
      </c>
      <c r="D20" s="45">
        <v>1</v>
      </c>
      <c r="E20" s="251" t="str">
        <f>IF(ISNUMBER(SEARCH("CT",B20)),
   "CrossTransferStation[" &amp; (Q$3 + COUNTIF($B$2:B20,"*CT*") - 1) &amp; "]",
   IF( OR(ISNUMBER(SEARCH("TT",B20)), AND(ISNUMBER(SEARCH("C",B20)), NOT(ISNUMBER(SEARCH("CT",B20)))) ),
      "ConveyorStation[" &amp; (Q$2 + COUNTIFS($B$2:B20,"*C*",$B$2:B20,"&lt;&gt;*CT*") + COUNTIF($B$2:B20,"*TT*") - 1) &amp; "]",
      ""))</f>
        <v>ConveyorStation[146]</v>
      </c>
      <c r="F20" s="9"/>
      <c r="G20" s="9"/>
      <c r="H20" s="9"/>
      <c r="I20" s="9"/>
      <c r="J20" s="9" t="s">
        <v>707</v>
      </c>
      <c r="K20" s="10" t="s">
        <v>585</v>
      </c>
      <c r="L20" s="47" t="s">
        <v>350</v>
      </c>
      <c r="M20" s="47" t="s">
        <v>350</v>
      </c>
      <c r="N20" s="11"/>
      <c r="O20"/>
      <c r="Y20" s="6"/>
    </row>
    <row r="21" spans="1:25" ht="39" x14ac:dyDescent="0.35">
      <c r="A21" s="50" t="str">
        <f t="shared" si="0"/>
        <v>952</v>
      </c>
      <c r="B21" s="48" t="s">
        <v>708</v>
      </c>
      <c r="C21" s="45" t="s">
        <v>312</v>
      </c>
      <c r="D21" s="45">
        <v>1</v>
      </c>
      <c r="E21" s="251" t="str">
        <f>IF(ISNUMBER(SEARCH("CT",B21)),
   "CrossTransferStation[" &amp; (Q$3 + COUNTIF($B$2:B21,"*CT*") - 1) &amp; "]",
   IF( OR(ISNUMBER(SEARCH("TT",B21)), AND(ISNUMBER(SEARCH("C",B21)), NOT(ISNUMBER(SEARCH("CT",B21)))) ),
      "ConveyorStation[" &amp; (Q$2 + COUNTIFS($B$2:B21,"*C*",$B$2:B21,"&lt;&gt;*CT*") + COUNTIF($B$2:B21,"*TT*") - 1) &amp; "]",
      ""))</f>
        <v>ConveyorStation[147]</v>
      </c>
      <c r="F21" s="9"/>
      <c r="G21" s="9"/>
      <c r="H21" s="9"/>
      <c r="I21" s="9"/>
      <c r="J21" s="9" t="s">
        <v>709</v>
      </c>
      <c r="K21" s="10" t="s">
        <v>585</v>
      </c>
      <c r="L21" s="47" t="s">
        <v>350</v>
      </c>
      <c r="M21" s="47" t="s">
        <v>350</v>
      </c>
      <c r="N21" s="11"/>
      <c r="O21"/>
      <c r="Y21" s="6"/>
    </row>
    <row r="22" spans="1:25" ht="26" x14ac:dyDescent="0.35">
      <c r="A22" s="50" t="str">
        <f t="shared" si="0"/>
        <v>1951</v>
      </c>
      <c r="B22" s="48" t="s">
        <v>710</v>
      </c>
      <c r="C22" s="45" t="s">
        <v>312</v>
      </c>
      <c r="D22" s="45">
        <v>1</v>
      </c>
      <c r="E22" s="251" t="str">
        <f>IF(ISNUMBER(SEARCH("CT",B22)),
   "CrossTransferStation[" &amp; (Q$3 + COUNTIF($B$2:B22,"*CT*") - 1) &amp; "]",
   IF( OR(ISNUMBER(SEARCH("TT",B22)), AND(ISNUMBER(SEARCH("C",B22)), NOT(ISNUMBER(SEARCH("CT",B22)))) ),
      "ConveyorStation[" &amp; (Q$2 + COUNTIFS($B$2:B22,"*C*",$B$2:B22,"&lt;&gt;*CT*") + COUNTIF($B$2:B22,"*TT*") - 1) &amp; "]",
      ""))</f>
        <v>CrossTransferStation[61]</v>
      </c>
      <c r="F22" s="9" t="s">
        <v>711</v>
      </c>
      <c r="G22" s="9"/>
      <c r="H22" s="9"/>
      <c r="I22" s="9"/>
      <c r="J22" s="9" t="s">
        <v>712</v>
      </c>
      <c r="K22" s="10" t="s">
        <v>585</v>
      </c>
      <c r="L22" s="47" t="s">
        <v>351</v>
      </c>
      <c r="M22" s="47" t="s">
        <v>351</v>
      </c>
      <c r="N22" s="11"/>
      <c r="O22"/>
      <c r="Y22" s="6"/>
    </row>
    <row r="23" spans="1:25" x14ac:dyDescent="0.35">
      <c r="A23" s="50" t="str">
        <f t="shared" si="0"/>
        <v>961</v>
      </c>
      <c r="B23" s="51" t="s">
        <v>713</v>
      </c>
      <c r="C23" s="45" t="s">
        <v>312</v>
      </c>
      <c r="D23" s="45">
        <v>1</v>
      </c>
      <c r="E23" s="251" t="str">
        <f>IF(ISNUMBER(SEARCH("CT",B23)),
   "CrossTransferStation[" &amp; (Q$3 + COUNTIF($B$2:B23,"*CT*") - 1) &amp; "]",
   IF( OR(ISNUMBER(SEARCH("TT",B23)), AND(ISNUMBER(SEARCH("C",B23)), NOT(ISNUMBER(SEARCH("CT",B23)))) ),
      "ConveyorStation[" &amp; (Q$2 + COUNTIFS($B$2:B23,"*C*",$B$2:B23,"&lt;&gt;*CT*") + COUNTIF($B$2:B23,"*TT*") - 1) &amp; "]",
      ""))</f>
        <v>ConveyorStation[148]</v>
      </c>
      <c r="F23" s="9" t="s">
        <v>714</v>
      </c>
      <c r="G23" s="9"/>
      <c r="H23" s="9"/>
      <c r="I23" s="9"/>
      <c r="J23" s="9" t="s">
        <v>715</v>
      </c>
      <c r="K23" s="10" t="s">
        <v>585</v>
      </c>
      <c r="L23" s="47" t="s">
        <v>350</v>
      </c>
      <c r="M23" s="47" t="s">
        <v>351</v>
      </c>
      <c r="N23" s="11"/>
      <c r="O23"/>
      <c r="Y23" s="6"/>
    </row>
    <row r="24" spans="1:25" x14ac:dyDescent="0.35">
      <c r="A24" s="7" t="str">
        <f t="shared" si="0"/>
        <v>1651</v>
      </c>
      <c r="B24" s="8" t="s">
        <v>716</v>
      </c>
      <c r="C24" s="45" t="s">
        <v>312</v>
      </c>
      <c r="D24" s="45">
        <v>1</v>
      </c>
      <c r="E24" s="251" t="str">
        <f>IF(ISNUMBER(SEARCH("CT",B24)),
   "CrossTransferStation[" &amp; (Q$3 + COUNTIF($B$2:B24,"*CT*") - 1) &amp; "]",
   IF( OR(ISNUMBER(SEARCH("TT",B24)), AND(ISNUMBER(SEARCH("C",B24)), NOT(ISNUMBER(SEARCH("CT",B24)))) ),
      "ConveyorStation[" &amp; (Q$2 + COUNTIFS($B$2:B24,"*C*",$B$2:B24,"&lt;&gt;*CT*") + COUNTIF($B$2:B24,"*TT*") - 1) &amp; "]",
      ""))</f>
        <v>ConveyorStation[149]</v>
      </c>
      <c r="F24" s="41"/>
      <c r="G24" s="9"/>
      <c r="H24" s="9"/>
      <c r="I24" s="9"/>
      <c r="J24" s="9" t="s">
        <v>717</v>
      </c>
      <c r="K24" s="10" t="s">
        <v>585</v>
      </c>
      <c r="L24" s="47" t="s">
        <v>350</v>
      </c>
      <c r="M24" s="47" t="s">
        <v>350</v>
      </c>
      <c r="N24" s="11"/>
      <c r="O24"/>
      <c r="Y24" s="6"/>
    </row>
    <row r="25" spans="1:25" x14ac:dyDescent="0.35">
      <c r="A25" s="7" t="str">
        <f t="shared" si="0"/>
        <v>1652</v>
      </c>
      <c r="B25" s="8" t="s">
        <v>718</v>
      </c>
      <c r="C25" s="45" t="s">
        <v>312</v>
      </c>
      <c r="D25" s="45">
        <v>1</v>
      </c>
      <c r="E25" s="251" t="str">
        <f>IF(ISNUMBER(SEARCH("CT",B25)),
   "CrossTransferStation[" &amp; (Q$3 + COUNTIF($B$2:B25,"*CT*") - 1) &amp; "]",
   IF( OR(ISNUMBER(SEARCH("TT",B25)), AND(ISNUMBER(SEARCH("C",B25)), NOT(ISNUMBER(SEARCH("CT",B25)))) ),
      "ConveyorStation[" &amp; (Q$2 + COUNTIFS($B$2:B25,"*C*",$B$2:B25,"&lt;&gt;*CT*") + COUNTIF($B$2:B25,"*TT*") - 1) &amp; "]",
      ""))</f>
        <v>ConveyorStation[150]</v>
      </c>
      <c r="F25" s="9"/>
      <c r="G25" s="9"/>
      <c r="H25" s="9"/>
      <c r="I25" s="9"/>
      <c r="J25" s="9" t="s">
        <v>719</v>
      </c>
      <c r="K25" s="10" t="s">
        <v>585</v>
      </c>
      <c r="L25" s="47" t="s">
        <v>350</v>
      </c>
      <c r="M25" s="47" t="s">
        <v>350</v>
      </c>
      <c r="N25" s="11"/>
      <c r="O25"/>
      <c r="Y25" s="6"/>
    </row>
    <row r="26" spans="1:25" ht="39" x14ac:dyDescent="0.35">
      <c r="A26" s="7" t="str">
        <f t="shared" si="0"/>
        <v>11</v>
      </c>
      <c r="B26" s="8" t="s">
        <v>720</v>
      </c>
      <c r="C26" s="45" t="s">
        <v>312</v>
      </c>
      <c r="D26" s="45">
        <v>1</v>
      </c>
      <c r="E26" s="251" t="str">
        <f>IF(ISNUMBER(SEARCH("CT",B26)),
   "CrossTransferStation[" &amp; (Q$3 + COUNTIF($B$2:B26,"*CT*") - 1) &amp; "]",
   IF( OR(ISNUMBER(SEARCH("TT",B26)), AND(ISNUMBER(SEARCH("C",B26)), NOT(ISNUMBER(SEARCH("CT",B26)))) ),
      "ConveyorStation[" &amp; (Q$2 + COUNTIFS($B$2:B26,"*C*",$B$2:B26,"&lt;&gt;*CT*") + COUNTIF($B$2:B26,"*TT*") - 1) &amp; "]",
      ""))</f>
        <v>ConveyorStation[151]</v>
      </c>
      <c r="F26" s="9" t="s">
        <v>721</v>
      </c>
      <c r="G26" s="9"/>
      <c r="H26" s="9"/>
      <c r="I26" s="9"/>
      <c r="J26" s="53" t="s">
        <v>722</v>
      </c>
      <c r="K26" s="10" t="s">
        <v>585</v>
      </c>
      <c r="L26" s="10" t="s">
        <v>351</v>
      </c>
      <c r="M26" s="10" t="s">
        <v>350</v>
      </c>
      <c r="N26" s="11"/>
      <c r="O26"/>
      <c r="Y26" s="6"/>
    </row>
    <row r="27" spans="1:25" ht="39" x14ac:dyDescent="0.35">
      <c r="A27" s="7" t="str">
        <f t="shared" si="0"/>
        <v>12</v>
      </c>
      <c r="B27" s="8" t="s">
        <v>723</v>
      </c>
      <c r="C27" s="45" t="s">
        <v>312</v>
      </c>
      <c r="D27" s="45">
        <v>1</v>
      </c>
      <c r="E27" s="251" t="str">
        <f>IF(ISNUMBER(SEARCH("CT",B27)),
   "CrossTransferStation[" &amp; (Q$3 + COUNTIF($B$2:B27,"*CT*") - 1) &amp; "]",
   IF( OR(ISNUMBER(SEARCH("TT",B27)), AND(ISNUMBER(SEARCH("C",B27)), NOT(ISNUMBER(SEARCH("CT",B27)))) ),
      "ConveyorStation[" &amp; (Q$2 + COUNTIFS($B$2:B27,"*C*",$B$2:B27,"&lt;&gt;*CT*") + COUNTIF($B$2:B27,"*TT*") - 1) &amp; "]",
      ""))</f>
        <v>ConveyorStation[152]</v>
      </c>
      <c r="F27" s="9" t="s">
        <v>724</v>
      </c>
      <c r="G27" s="9"/>
      <c r="H27" s="9"/>
      <c r="I27" s="9"/>
      <c r="J27" s="53" t="s">
        <v>725</v>
      </c>
      <c r="K27" s="10" t="s">
        <v>585</v>
      </c>
      <c r="L27" s="10" t="s">
        <v>350</v>
      </c>
      <c r="M27" s="10" t="s">
        <v>351</v>
      </c>
      <c r="N27" s="11"/>
      <c r="O27"/>
      <c r="Y27" s="6"/>
    </row>
    <row r="28" spans="1:25" x14ac:dyDescent="0.35">
      <c r="A28" s="7" t="str">
        <f t="shared" si="0"/>
        <v>13</v>
      </c>
      <c r="B28" s="8" t="s">
        <v>726</v>
      </c>
      <c r="C28" s="45" t="s">
        <v>312</v>
      </c>
      <c r="D28" s="45">
        <v>1</v>
      </c>
      <c r="E28" s="251" t="str">
        <f>IF(ISNUMBER(SEARCH("CT",B28)),
   "CrossTransferStation[" &amp; (Q$3 + COUNTIF($B$2:B28,"*CT*") - 1) &amp; "]",
   IF( OR(ISNUMBER(SEARCH("TT",B28)), AND(ISNUMBER(SEARCH("C",B28)), NOT(ISNUMBER(SEARCH("CT",B28)))) ),
      "ConveyorStation[" &amp; (Q$2 + COUNTIFS($B$2:B28,"*C*",$B$2:B28,"&lt;&gt;*CT*") + COUNTIF($B$2:B28,"*TT*") - 1) &amp; "]",
      ""))</f>
        <v>ConveyorStation[153]</v>
      </c>
      <c r="F28" s="9"/>
      <c r="G28" s="9"/>
      <c r="H28" s="9"/>
      <c r="I28" s="9"/>
      <c r="J28" s="9" t="s">
        <v>727</v>
      </c>
      <c r="K28" s="10" t="s">
        <v>585</v>
      </c>
      <c r="L28" s="47" t="s">
        <v>350</v>
      </c>
      <c r="M28" s="47" t="s">
        <v>350</v>
      </c>
      <c r="N28" s="11"/>
      <c r="O28"/>
      <c r="Y28" s="6"/>
    </row>
    <row r="29" spans="1:25" ht="39" x14ac:dyDescent="0.35">
      <c r="A29" s="7" t="str">
        <f t="shared" si="0"/>
        <v>111</v>
      </c>
      <c r="B29" s="8" t="s">
        <v>728</v>
      </c>
      <c r="C29" s="45" t="s">
        <v>312</v>
      </c>
      <c r="D29" s="45">
        <v>1</v>
      </c>
      <c r="E29" s="253" t="str">
        <f>IF(ISNUMBER(SEARCH("CT",B29)),
   "CrossTransferStation[" &amp; (Q$3 + COUNTIF($B$2:B32,"*CT*") - 1) &amp; "]",
   IF( OR(ISNUMBER(SEARCH("TT",B29)), AND(ISNUMBER(SEARCH("C",B29)), NOT(ISNUMBER(SEARCH("CT",B29)))) ),
      "ConveyorStation[" &amp; (Q$2 + COUNTIFS($B$2:B32,"*C*",$B$2:B32,"&lt;&gt;*CT*") + COUNTIF($B$2:B32,"*TT*") - 1) &amp; "]",
      ""))</f>
        <v>CrossTransferStation[62]</v>
      </c>
      <c r="F29" s="9" t="s">
        <v>729</v>
      </c>
      <c r="G29" s="27"/>
      <c r="H29" s="9"/>
      <c r="I29" s="9"/>
      <c r="J29" s="9" t="s">
        <v>730</v>
      </c>
      <c r="K29" s="10" t="s">
        <v>470</v>
      </c>
      <c r="L29" s="10" t="s">
        <v>351</v>
      </c>
      <c r="M29" s="10" t="s">
        <v>351</v>
      </c>
      <c r="N29" s="11"/>
      <c r="O29"/>
      <c r="Y29" s="6"/>
    </row>
    <row r="30" spans="1:25" s="181" customFormat="1" ht="27" customHeight="1" x14ac:dyDescent="0.35">
      <c r="A30" s="249"/>
      <c r="B30" s="10" t="s">
        <v>1914</v>
      </c>
      <c r="C30" s="47" t="s">
        <v>312</v>
      </c>
      <c r="D30" s="47">
        <v>1</v>
      </c>
      <c r="E30" s="251" t="s">
        <v>1913</v>
      </c>
      <c r="F30" s="9"/>
      <c r="G30" s="9"/>
      <c r="H30" s="46"/>
      <c r="I30" s="9"/>
      <c r="J30" s="9"/>
      <c r="K30" s="9"/>
      <c r="L30" s="10"/>
      <c r="M30" s="10"/>
      <c r="N30" s="219"/>
      <c r="O30" s="221"/>
      <c r="P30" s="77"/>
      <c r="Q30" s="77"/>
      <c r="R30" s="77"/>
      <c r="S30" s="77"/>
      <c r="T30" s="77"/>
      <c r="U30" s="77"/>
      <c r="V30" s="77"/>
      <c r="W30" s="77"/>
      <c r="X30" s="77"/>
      <c r="Y30" s="77"/>
    </row>
    <row r="31" spans="1:25" s="181" customFormat="1" ht="27" customHeight="1" x14ac:dyDescent="0.35">
      <c r="A31" s="249"/>
      <c r="B31" s="10" t="s">
        <v>1915</v>
      </c>
      <c r="C31" s="47" t="s">
        <v>312</v>
      </c>
      <c r="D31" s="47">
        <v>1</v>
      </c>
      <c r="E31" s="251" t="s">
        <v>1917</v>
      </c>
      <c r="F31" s="9"/>
      <c r="G31" s="9"/>
      <c r="H31" s="46"/>
      <c r="I31" s="9"/>
      <c r="J31" s="9"/>
      <c r="K31" s="9"/>
      <c r="L31" s="10"/>
      <c r="M31" s="10"/>
      <c r="N31" s="219"/>
      <c r="O31" s="221"/>
      <c r="P31" s="77"/>
      <c r="Q31" s="77"/>
      <c r="R31" s="77"/>
      <c r="S31" s="77"/>
      <c r="T31" s="77"/>
      <c r="U31" s="77"/>
      <c r="V31" s="77"/>
      <c r="W31" s="77"/>
      <c r="X31" s="77"/>
      <c r="Y31" s="77"/>
    </row>
    <row r="32" spans="1:25" s="181" customFormat="1" ht="27" customHeight="1" x14ac:dyDescent="0.35">
      <c r="A32" s="249"/>
      <c r="B32" s="10" t="s">
        <v>1916</v>
      </c>
      <c r="C32" s="47" t="s">
        <v>312</v>
      </c>
      <c r="D32" s="47">
        <v>1</v>
      </c>
      <c r="E32" s="251" t="s">
        <v>1918</v>
      </c>
      <c r="F32" s="9"/>
      <c r="G32" s="9"/>
      <c r="H32" s="46"/>
      <c r="I32" s="9"/>
      <c r="J32" s="9"/>
      <c r="K32" s="9"/>
      <c r="L32" s="10"/>
      <c r="M32" s="10"/>
      <c r="N32" s="219"/>
      <c r="O32" s="221"/>
      <c r="P32" s="77"/>
      <c r="Q32" s="77"/>
      <c r="R32" s="77"/>
      <c r="S32" s="77"/>
      <c r="T32" s="77"/>
      <c r="U32" s="77"/>
      <c r="V32" s="77"/>
      <c r="W32" s="77"/>
      <c r="X32" s="77"/>
      <c r="Y32" s="77"/>
    </row>
  </sheetData>
  <phoneticPr fontId="10" type="noConversion"/>
  <pageMargins left="0.7" right="0.7" top="0.75" bottom="0.75" header="0.3" footer="0.3"/>
  <ignoredErrors>
    <ignoredError sqref="E29:E32" calculatedColumn="1"/>
  </ignoredErrors>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701B3-B771-41A3-B653-6AAAFC04D129}">
  <dimension ref="A1:Y45"/>
  <sheetViews>
    <sheetView zoomScaleNormal="100" workbookViewId="0">
      <selection activeCell="E41" sqref="E41:E45"/>
    </sheetView>
  </sheetViews>
  <sheetFormatPr defaultColWidth="10.54296875" defaultRowHeight="14.5" x14ac:dyDescent="0.35"/>
  <cols>
    <col min="1" max="1" width="7.1796875" style="30" customWidth="1"/>
    <col min="2" max="2" width="11.81640625" style="30" customWidth="1"/>
    <col min="3" max="3" width="10.453125" style="30" bestFit="1" customWidth="1"/>
    <col min="4" max="4" width="11.453125" style="30" bestFit="1" customWidth="1"/>
    <col min="5" max="5" width="33.1796875" style="31" bestFit="1" customWidth="1"/>
    <col min="6" max="6" width="20.26953125" style="31" bestFit="1" customWidth="1"/>
    <col min="7" max="7" width="18.81640625" style="31" bestFit="1" customWidth="1"/>
    <col min="8" max="8" width="31.1796875" customWidth="1"/>
    <col min="9" max="9" width="16.453125" style="31" bestFit="1" customWidth="1"/>
    <col min="10" max="10" width="34.54296875" style="31" customWidth="1"/>
    <col min="11" max="11" width="29.54296875" style="31" customWidth="1"/>
    <col min="12" max="12" width="16.453125" style="31" customWidth="1"/>
    <col min="13" max="13" width="15.7265625" style="30" bestFit="1" customWidth="1"/>
    <col min="14" max="14" width="28.453125" style="30" customWidth="1"/>
    <col min="15" max="15" width="12.26953125" style="30" bestFit="1" customWidth="1"/>
    <col min="16" max="16" width="26.7265625" style="61" customWidth="1"/>
    <col min="17" max="17" width="17.81640625" style="61" bestFit="1" customWidth="1"/>
    <col min="18" max="18" width="4.453125" style="61" bestFit="1" customWidth="1"/>
    <col min="19" max="19" width="10" style="61" bestFit="1" customWidth="1"/>
    <col min="20" max="20" width="11.26953125" style="61" bestFit="1" customWidth="1"/>
    <col min="21" max="21" width="11.54296875" style="61" bestFit="1" customWidth="1"/>
    <col min="22" max="25" width="10.54296875" style="61"/>
    <col min="26" max="16384" width="10.54296875" style="6"/>
  </cols>
  <sheetData>
    <row r="1" spans="1:25" ht="26" x14ac:dyDescent="0.3">
      <c r="A1" s="1" t="s">
        <v>334</v>
      </c>
      <c r="B1" s="2" t="s">
        <v>308</v>
      </c>
      <c r="C1" s="2" t="s">
        <v>335</v>
      </c>
      <c r="D1" s="2" t="s">
        <v>336</v>
      </c>
      <c r="E1" s="3" t="s">
        <v>337</v>
      </c>
      <c r="F1" s="3" t="s">
        <v>338</v>
      </c>
      <c r="G1" s="3" t="s">
        <v>459</v>
      </c>
      <c r="H1" s="3" t="s">
        <v>340</v>
      </c>
      <c r="I1" s="3" t="s">
        <v>341</v>
      </c>
      <c r="J1" s="3" t="s">
        <v>342</v>
      </c>
      <c r="K1" s="3" t="s">
        <v>343</v>
      </c>
      <c r="L1" s="4" t="s">
        <v>344</v>
      </c>
      <c r="M1" s="4" t="s">
        <v>345</v>
      </c>
      <c r="N1" s="5" t="s">
        <v>346</v>
      </c>
      <c r="O1" s="61"/>
      <c r="Y1" s="6"/>
    </row>
    <row r="2" spans="1:25" ht="39" x14ac:dyDescent="0.3">
      <c r="A2" s="44" t="str">
        <f t="shared" ref="A2:A29" si="0">IF(ISNUMBER(SEARCH("CT",B2)),"1"&amp;MID(B2,2,FIND("CT",B2)-2)&amp;RIGHT(B2,1),MID(B2,2,FIND("C",B2)-2)&amp;RIGHT(B2,1))</f>
        <v>21</v>
      </c>
      <c r="B2" s="45" t="s">
        <v>731</v>
      </c>
      <c r="C2" s="45" t="s">
        <v>313</v>
      </c>
      <c r="D2" s="45">
        <v>1</v>
      </c>
      <c r="E2" s="46" t="str">
        <f>IF(ISNUMBER(SEARCH("CT",B2)),
   "CrossTransferStation[" &amp; (Q$3 + COUNTIF($B$2:B2,"*CT*") - 1) &amp; "]",
   IF( OR(ISNUMBER(SEARCH("TT",B2)), AND(ISNUMBER(SEARCH("C",B2)), NOT(ISNUMBER(SEARCH("CT",B2)))) ),
      "ConveyorStation[" &amp; (Q$2 + COUNTIFS($B$2:B2,"*C*",$B$2:B2,"&lt;&gt;*CT*") + COUNTIF($B$2:B2,"*TT*") - 1) &amp; "]",
      ""))</f>
        <v>ConveyorStation[164]</v>
      </c>
      <c r="F2" s="9" t="s">
        <v>732</v>
      </c>
      <c r="G2" s="53"/>
      <c r="H2" s="9"/>
      <c r="I2" s="9"/>
      <c r="J2" s="53" t="s">
        <v>733</v>
      </c>
      <c r="K2" s="9"/>
      <c r="L2" s="47" t="s">
        <v>351</v>
      </c>
      <c r="M2" s="146" t="s">
        <v>351</v>
      </c>
      <c r="N2" s="11"/>
      <c r="O2" s="61"/>
      <c r="P2" s="62" t="s">
        <v>352</v>
      </c>
      <c r="Q2" s="63">
        <v>164</v>
      </c>
      <c r="Y2" s="6"/>
    </row>
    <row r="3" spans="1:25" ht="39" x14ac:dyDescent="0.3">
      <c r="A3" s="44" t="str">
        <f t="shared" si="0"/>
        <v>22</v>
      </c>
      <c r="B3" s="45" t="s">
        <v>734</v>
      </c>
      <c r="C3" s="45" t="s">
        <v>313</v>
      </c>
      <c r="D3" s="45">
        <v>1</v>
      </c>
      <c r="E3" s="46" t="str">
        <f>IF(ISNUMBER(SEARCH("CT",B3)),
   "CrossTransferStation[" &amp; (Q$3 + COUNTIF($B$2:B3,"*CT*") - 1) &amp; "]",
   IF( OR(ISNUMBER(SEARCH("TT",B3)), AND(ISNUMBER(SEARCH("C",B3)), NOT(ISNUMBER(SEARCH("CT",B3)))) ),
      "ConveyorStation[" &amp; (Q$2 + COUNTIFS($B$2:B3,"*C*",$B$2:B3,"&lt;&gt;*CT*") + COUNTIF($B$2:B3,"*TT*") - 1) &amp; "]",
      ""))</f>
        <v>ConveyorStation[165]</v>
      </c>
      <c r="F3" s="9" t="s">
        <v>735</v>
      </c>
      <c r="G3" s="9"/>
      <c r="H3" s="9"/>
      <c r="I3" s="9"/>
      <c r="J3" s="53" t="s">
        <v>736</v>
      </c>
      <c r="K3" s="9"/>
      <c r="L3" s="146" t="s">
        <v>351</v>
      </c>
      <c r="M3" s="47" t="s">
        <v>351</v>
      </c>
      <c r="N3" s="11"/>
      <c r="O3" s="61"/>
      <c r="P3" s="62" t="s">
        <v>356</v>
      </c>
      <c r="Q3" s="63">
        <v>73</v>
      </c>
      <c r="Y3" s="6"/>
    </row>
    <row r="4" spans="1:25" ht="39" x14ac:dyDescent="0.3">
      <c r="A4" s="23" t="str">
        <f t="shared" si="0"/>
        <v>121</v>
      </c>
      <c r="B4" s="48" t="s">
        <v>737</v>
      </c>
      <c r="C4" s="45" t="s">
        <v>313</v>
      </c>
      <c r="D4" s="45">
        <v>1</v>
      </c>
      <c r="E4" s="46" t="str">
        <f>IF(ISNUMBER(SEARCH("CT",B4)),
   "CrossTransferStation[" &amp; (Q$3 + COUNTIF($B$2:B4,"*CT*") - 1) &amp; "]",
   IF( OR(ISNUMBER(SEARCH("TT",B4)), AND(ISNUMBER(SEARCH("C",B4)), NOT(ISNUMBER(SEARCH("CT",B4)))) ),
      "ConveyorStation[" &amp; (Q$2 + COUNTIFS($B$2:B4,"*C*",$B$2:B4,"&lt;&gt;*CT*") + COUNTIF($B$2:B4,"*TT*") - 1) &amp; "]",
      ""))</f>
        <v>CrossTransferStation[73]</v>
      </c>
      <c r="F4" s="9" t="s">
        <v>738</v>
      </c>
      <c r="G4" s="9"/>
      <c r="H4" s="9"/>
      <c r="I4" s="9"/>
      <c r="J4" s="9" t="s">
        <v>739</v>
      </c>
      <c r="K4" s="10" t="s">
        <v>470</v>
      </c>
      <c r="L4" s="24" t="s">
        <v>351</v>
      </c>
      <c r="M4" s="24" t="s">
        <v>351</v>
      </c>
      <c r="N4" s="11"/>
      <c r="O4" s="61"/>
      <c r="P4" s="62"/>
      <c r="Q4" s="64"/>
      <c r="Y4" s="6"/>
    </row>
    <row r="5" spans="1:25" ht="13" x14ac:dyDescent="0.3">
      <c r="A5" s="44" t="str">
        <f t="shared" si="0"/>
        <v>1161</v>
      </c>
      <c r="B5" s="48" t="s">
        <v>740</v>
      </c>
      <c r="C5" s="45" t="s">
        <v>313</v>
      </c>
      <c r="D5" s="45">
        <v>1</v>
      </c>
      <c r="E5" s="46" t="str">
        <f>IF(ISNUMBER(SEARCH("CT",B5)),
   "CrossTransferStation[" &amp; (Q$3 + COUNTIF($B$2:B5,"*CT*") - 1) &amp; "]",
   IF( OR(ISNUMBER(SEARCH("TT",B5)), AND(ISNUMBER(SEARCH("C",B5)), NOT(ISNUMBER(SEARCH("CT",B5)))) ),
      "ConveyorStation[" &amp; (Q$2 + COUNTIFS($B$2:B5,"*C*",$B$2:B5,"&lt;&gt;*CT*") + COUNTIF($B$2:B5,"*TT*") - 1) &amp; "]",
      ""))</f>
        <v>ConveyorStation[166]</v>
      </c>
      <c r="F5" s="9"/>
      <c r="G5" s="9"/>
      <c r="H5" s="9"/>
      <c r="I5" s="9"/>
      <c r="J5" s="9" t="s">
        <v>741</v>
      </c>
      <c r="K5" s="9"/>
      <c r="L5" s="47" t="s">
        <v>350</v>
      </c>
      <c r="M5" s="47" t="s">
        <v>350</v>
      </c>
      <c r="N5" s="11"/>
      <c r="O5" s="61"/>
      <c r="Y5" s="6"/>
    </row>
    <row r="6" spans="1:25" ht="13" x14ac:dyDescent="0.3">
      <c r="A6" s="44" t="str">
        <f t="shared" si="0"/>
        <v>1162</v>
      </c>
      <c r="B6" s="48" t="s">
        <v>742</v>
      </c>
      <c r="C6" s="45" t="s">
        <v>313</v>
      </c>
      <c r="D6" s="45">
        <v>1</v>
      </c>
      <c r="E6" s="46" t="str">
        <f>IF(ISNUMBER(SEARCH("CT",B6)),
   "CrossTransferStation[" &amp; (Q$3 + COUNTIF($B$2:B6,"*CT*") - 1) &amp; "]",
   IF( OR(ISNUMBER(SEARCH("TT",B6)), AND(ISNUMBER(SEARCH("C",B6)), NOT(ISNUMBER(SEARCH("CT",B6)))) ),
      "ConveyorStation[" &amp; (Q$2 + COUNTIFS($B$2:B6,"*C*",$B$2:B6,"&lt;&gt;*CT*") + COUNTIF($B$2:B6,"*TT*") - 1) &amp; "]",
      ""))</f>
        <v>ConveyorStation[167]</v>
      </c>
      <c r="F6" s="9" t="s">
        <v>743</v>
      </c>
      <c r="G6" s="9"/>
      <c r="H6" s="9"/>
      <c r="I6" s="9"/>
      <c r="J6" s="9" t="s">
        <v>744</v>
      </c>
      <c r="K6" s="27"/>
      <c r="L6" s="49" t="s">
        <v>350</v>
      </c>
      <c r="M6" s="49" t="s">
        <v>351</v>
      </c>
      <c r="N6" s="11"/>
      <c r="O6" s="61"/>
      <c r="P6" s="65" t="s">
        <v>308</v>
      </c>
      <c r="Q6" s="65" t="s">
        <v>365</v>
      </c>
      <c r="R6" s="65" t="s">
        <v>366</v>
      </c>
      <c r="S6" s="65" t="s">
        <v>367</v>
      </c>
      <c r="T6" s="65" t="s">
        <v>368</v>
      </c>
      <c r="Y6" s="6"/>
    </row>
    <row r="7" spans="1:25" x14ac:dyDescent="0.3">
      <c r="A7" s="44" t="str">
        <f t="shared" si="0"/>
        <v>1163</v>
      </c>
      <c r="B7" s="48" t="s">
        <v>745</v>
      </c>
      <c r="C7" s="45" t="s">
        <v>313</v>
      </c>
      <c r="D7" s="45">
        <v>1</v>
      </c>
      <c r="E7" s="46" t="str">
        <f>IF(ISNUMBER(SEARCH("CT",B7)),
   "CrossTransferStation[" &amp; (Q$3 + COUNTIF($B$2:B7,"*CT*") - 1) &amp; "]",
   IF( OR(ISNUMBER(SEARCH("TT",B7)), AND(ISNUMBER(SEARCH("C",B7)), NOT(ISNUMBER(SEARCH("CT",B7)))) ),
      "ConveyorStation[" &amp; (Q$2 + COUNTIFS($B$2:B7,"*C*",$B$2:B7,"&lt;&gt;*CT*") + COUNTIF($B$2:B7,"*TT*") - 1) &amp; "]",
      ""))</f>
        <v>ConveyorStation[168]</v>
      </c>
      <c r="F7" s="9" t="s">
        <v>746</v>
      </c>
      <c r="G7" s="9"/>
      <c r="H7" s="9"/>
      <c r="I7" s="9"/>
      <c r="J7" s="9" t="s">
        <v>747</v>
      </c>
      <c r="K7" s="9"/>
      <c r="L7" s="47" t="s">
        <v>351</v>
      </c>
      <c r="M7" s="47" t="s">
        <v>350</v>
      </c>
      <c r="N7" s="11"/>
      <c r="O7" s="61"/>
      <c r="P7" s="9" t="s">
        <v>322</v>
      </c>
      <c r="Q7" s="63">
        <v>164</v>
      </c>
      <c r="R7" s="63">
        <v>194</v>
      </c>
      <c r="S7" s="63">
        <v>10</v>
      </c>
      <c r="T7" s="66">
        <f>SUM(R7:S7)+1</f>
        <v>205</v>
      </c>
      <c r="U7" s="42">
        <f>T7-S7-Q7</f>
        <v>31</v>
      </c>
      <c r="Y7" s="6"/>
    </row>
    <row r="8" spans="1:25" x14ac:dyDescent="0.3">
      <c r="A8" s="23" t="str">
        <f t="shared" si="0"/>
        <v>1164</v>
      </c>
      <c r="B8" s="48" t="s">
        <v>748</v>
      </c>
      <c r="C8" s="45" t="s">
        <v>313</v>
      </c>
      <c r="D8" s="45">
        <v>1</v>
      </c>
      <c r="E8" s="46" t="str">
        <f>IF(ISNUMBER(SEARCH("CT",B8)),
   "CrossTransferStation[" &amp; (Q$3 + COUNTIF($B$2:B8,"*CT*") - 1) &amp; "]",
   IF( OR(ISNUMBER(SEARCH("TT",B8)), AND(ISNUMBER(SEARCH("C",B8)), NOT(ISNUMBER(SEARCH("CT",B8)))) ),
      "ConveyorStation[" &amp; (Q$2 + COUNTIFS($B$2:B8,"*C*",$B$2:B8,"&lt;&gt;*CT*") + COUNTIF($B$2:B8,"*TT*") - 1) &amp; "]",
      ""))</f>
        <v>ConveyorStation[169]</v>
      </c>
      <c r="F8" s="9"/>
      <c r="G8" s="9"/>
      <c r="H8" s="9"/>
      <c r="I8" s="9"/>
      <c r="J8" s="9" t="s">
        <v>749</v>
      </c>
      <c r="K8" s="9"/>
      <c r="L8" s="47" t="s">
        <v>350</v>
      </c>
      <c r="M8" s="47" t="s">
        <v>350</v>
      </c>
      <c r="N8" s="11"/>
      <c r="O8" s="61"/>
      <c r="P8" s="9" t="s">
        <v>323</v>
      </c>
      <c r="Q8" s="63">
        <v>73</v>
      </c>
      <c r="R8" s="63">
        <v>81</v>
      </c>
      <c r="S8" s="63">
        <v>10</v>
      </c>
      <c r="T8" s="66">
        <f t="shared" ref="T8:T17" si="1">SUM(R8:S8)+1</f>
        <v>92</v>
      </c>
      <c r="U8" s="42">
        <f t="shared" ref="U8:U17" si="2">T8-S8-Q8</f>
        <v>9</v>
      </c>
      <c r="Y8" s="6"/>
    </row>
    <row r="9" spans="1:25" ht="26" x14ac:dyDescent="0.3">
      <c r="A9" s="23" t="str">
        <f t="shared" si="0"/>
        <v>11161</v>
      </c>
      <c r="B9" s="48" t="s">
        <v>750</v>
      </c>
      <c r="C9" s="45" t="s">
        <v>313</v>
      </c>
      <c r="D9" s="45">
        <v>1</v>
      </c>
      <c r="E9" s="46" t="str">
        <f>IF(ISNUMBER(SEARCH("CT",B9)),
   "CrossTransferStation[" &amp; (Q$3 + COUNTIF($B$2:B9,"*CT*") - 1) &amp; "]",
   IF( OR(ISNUMBER(SEARCH("TT",B9)), AND(ISNUMBER(SEARCH("C",B9)), NOT(ISNUMBER(SEARCH("CT",B9)))) ),
      "ConveyorStation[" &amp; (Q$2 + COUNTIFS($B$2:B9,"*C*",$B$2:B9,"&lt;&gt;*CT*") + COUNTIF($B$2:B9,"*TT*") - 1) &amp; "]",
      ""))</f>
        <v>CrossTransferStation[74]</v>
      </c>
      <c r="F9" s="9" t="s">
        <v>751</v>
      </c>
      <c r="G9" s="9"/>
      <c r="H9" s="9"/>
      <c r="I9" s="9"/>
      <c r="J9" s="9" t="s">
        <v>752</v>
      </c>
      <c r="K9" s="9"/>
      <c r="L9" s="47" t="s">
        <v>351</v>
      </c>
      <c r="M9" s="47" t="s">
        <v>351</v>
      </c>
      <c r="N9" s="11"/>
      <c r="O9" s="61"/>
      <c r="P9" s="9" t="s">
        <v>324</v>
      </c>
      <c r="Q9" s="63">
        <v>71</v>
      </c>
      <c r="R9" s="63">
        <v>79</v>
      </c>
      <c r="S9" s="63">
        <v>10</v>
      </c>
      <c r="T9" s="66">
        <f t="shared" si="1"/>
        <v>90</v>
      </c>
      <c r="U9" s="42">
        <f t="shared" si="2"/>
        <v>9</v>
      </c>
      <c r="Y9" s="6"/>
    </row>
    <row r="10" spans="1:25" ht="78" x14ac:dyDescent="0.3">
      <c r="A10" s="50" t="str">
        <f t="shared" si="0"/>
        <v>231</v>
      </c>
      <c r="B10" s="51" t="s">
        <v>753</v>
      </c>
      <c r="C10" s="45" t="s">
        <v>313</v>
      </c>
      <c r="D10" s="45">
        <v>1</v>
      </c>
      <c r="E10" s="46" t="str">
        <f>IF(ISNUMBER(SEARCH("CT",B10)),
   "CrossTransferStation[" &amp; (Q$3 + COUNTIF($B$2:B10,"*CT*") - 1) &amp; "]",
   IF( OR(ISNUMBER(SEARCH("TT",B10)), AND(ISNUMBER(SEARCH("C",B10)), NOT(ISNUMBER(SEARCH("CT",B10)))) ),
      "ConveyorStation[" &amp; (Q$2 + COUNTIFS($B$2:B10,"*C*",$B$2:B10,"&lt;&gt;*CT*") + COUNTIF($B$2:B10,"*TT*") - 1) &amp; "]",
      ""))</f>
        <v>ConveyorStation[170]</v>
      </c>
      <c r="F10" s="9" t="s">
        <v>754</v>
      </c>
      <c r="G10" s="9" t="s">
        <v>755</v>
      </c>
      <c r="H10" s="9" t="s">
        <v>757</v>
      </c>
      <c r="I10" s="9"/>
      <c r="J10" s="9" t="s">
        <v>756</v>
      </c>
      <c r="K10" s="27"/>
      <c r="L10" s="49" t="s">
        <v>351</v>
      </c>
      <c r="M10" s="49" t="s">
        <v>351</v>
      </c>
      <c r="N10" s="152" t="s">
        <v>1783</v>
      </c>
      <c r="O10" s="61"/>
      <c r="P10" s="9" t="s">
        <v>325</v>
      </c>
      <c r="Q10" s="63">
        <v>42</v>
      </c>
      <c r="R10" s="63">
        <v>50</v>
      </c>
      <c r="S10" s="63">
        <v>10</v>
      </c>
      <c r="T10" s="66">
        <f t="shared" si="1"/>
        <v>61</v>
      </c>
      <c r="U10" s="42">
        <f t="shared" si="2"/>
        <v>9</v>
      </c>
      <c r="Y10" s="6"/>
    </row>
    <row r="11" spans="1:25" x14ac:dyDescent="0.3">
      <c r="A11" s="44" t="str">
        <f t="shared" si="0"/>
        <v>232</v>
      </c>
      <c r="B11" s="51" t="s">
        <v>758</v>
      </c>
      <c r="C11" s="45" t="s">
        <v>313</v>
      </c>
      <c r="D11" s="45">
        <v>1</v>
      </c>
      <c r="E11" s="46" t="str">
        <f>IF(ISNUMBER(SEARCH("CT",B11)),
   "CrossTransferStation[" &amp; (Q$3 + COUNTIF($B$2:B11,"*CT*") - 1) &amp; "]",
   IF( OR(ISNUMBER(SEARCH("TT",B11)), AND(ISNUMBER(SEARCH("C",B11)), NOT(ISNUMBER(SEARCH("CT",B11)))) ),
      "ConveyorStation[" &amp; (Q$2 + COUNTIFS($B$2:B11,"*C*",$B$2:B11,"&lt;&gt;*CT*") + COUNTIF($B$2:B11,"*TT*") - 1) &amp; "]",
      ""))</f>
        <v>ConveyorStation[171]</v>
      </c>
      <c r="F11" s="9" t="s">
        <v>759</v>
      </c>
      <c r="G11" s="9"/>
      <c r="H11" s="9"/>
      <c r="I11" s="9"/>
      <c r="J11" s="9" t="s">
        <v>760</v>
      </c>
      <c r="K11" s="9"/>
      <c r="L11" s="47" t="s">
        <v>351</v>
      </c>
      <c r="M11" s="47" t="s">
        <v>350</v>
      </c>
      <c r="N11" s="11"/>
      <c r="O11" s="61"/>
      <c r="P11" s="9" t="s">
        <v>326</v>
      </c>
      <c r="Q11" s="63">
        <v>57</v>
      </c>
      <c r="R11" s="63">
        <v>67</v>
      </c>
      <c r="S11" s="63">
        <v>10</v>
      </c>
      <c r="T11" s="66">
        <f t="shared" si="1"/>
        <v>78</v>
      </c>
      <c r="U11" s="42">
        <f t="shared" si="2"/>
        <v>11</v>
      </c>
      <c r="Y11" s="6"/>
    </row>
    <row r="12" spans="1:25" x14ac:dyDescent="0.3">
      <c r="A12" s="44" t="str">
        <f t="shared" si="0"/>
        <v>233</v>
      </c>
      <c r="B12" s="51" t="s">
        <v>761</v>
      </c>
      <c r="C12" s="45" t="s">
        <v>313</v>
      </c>
      <c r="D12" s="45">
        <v>1</v>
      </c>
      <c r="E12" s="46" t="str">
        <f>IF(ISNUMBER(SEARCH("CT",B12)),
   "CrossTransferStation[" &amp; (Q$3 + COUNTIF($B$2:B12,"*CT*") - 1) &amp; "]",
   IF( OR(ISNUMBER(SEARCH("TT",B12)), AND(ISNUMBER(SEARCH("C",B12)), NOT(ISNUMBER(SEARCH("CT",B12)))) ),
      "ConveyorStation[" &amp; (Q$2 + COUNTIFS($B$2:B12,"*C*",$B$2:B12,"&lt;&gt;*CT*") + COUNTIF($B$2:B12,"*TT*") - 1) &amp; "]",
      ""))</f>
        <v>ConveyorStation[172]</v>
      </c>
      <c r="F12" s="9"/>
      <c r="G12" s="9"/>
      <c r="H12" s="9"/>
      <c r="I12" s="9"/>
      <c r="J12" s="9" t="s">
        <v>762</v>
      </c>
      <c r="K12" s="9"/>
      <c r="L12" s="47" t="s">
        <v>350</v>
      </c>
      <c r="M12" s="47" t="s">
        <v>350</v>
      </c>
      <c r="N12" s="11"/>
      <c r="O12" s="61"/>
      <c r="P12" s="9" t="s">
        <v>327</v>
      </c>
      <c r="Q12" s="63">
        <v>28</v>
      </c>
      <c r="R12" s="63">
        <v>31</v>
      </c>
      <c r="S12" s="63">
        <v>10</v>
      </c>
      <c r="T12" s="66">
        <f t="shared" si="1"/>
        <v>42</v>
      </c>
      <c r="U12" s="42">
        <f t="shared" si="2"/>
        <v>4</v>
      </c>
      <c r="Y12" s="6"/>
    </row>
    <row r="13" spans="1:25" ht="39" x14ac:dyDescent="0.3">
      <c r="A13" s="23" t="str">
        <f t="shared" si="0"/>
        <v>1231</v>
      </c>
      <c r="B13" s="51" t="s">
        <v>763</v>
      </c>
      <c r="C13" s="45" t="s">
        <v>313</v>
      </c>
      <c r="D13" s="45">
        <v>1</v>
      </c>
      <c r="E13" s="46" t="str">
        <f>IF(ISNUMBER(SEARCH("CT",B13)),
   "CrossTransferStation[" &amp; (Q$3 + COUNTIF($B$2:B13,"*CT*") - 1) &amp; "]",
   IF( OR(ISNUMBER(SEARCH("TT",B13)), AND(ISNUMBER(SEARCH("C",B13)), NOT(ISNUMBER(SEARCH("CT",B13)))) ),
      "ConveyorStation[" &amp; (Q$2 + COUNTIFS($B$2:B13,"*C*",$B$2:B13,"&lt;&gt;*CT*") + COUNTIF($B$2:B13,"*TT*") - 1) &amp; "]",
      ""))</f>
        <v>CrossTransferStation[75]</v>
      </c>
      <c r="F13" s="9" t="s">
        <v>764</v>
      </c>
      <c r="G13" s="9"/>
      <c r="H13" s="9"/>
      <c r="I13" s="9"/>
      <c r="J13" s="9" t="s">
        <v>765</v>
      </c>
      <c r="K13" s="10" t="s">
        <v>470</v>
      </c>
      <c r="L13" s="47" t="s">
        <v>351</v>
      </c>
      <c r="M13" s="47" t="s">
        <v>351</v>
      </c>
      <c r="N13" s="11"/>
      <c r="O13" s="61"/>
      <c r="P13" s="9" t="s">
        <v>328</v>
      </c>
      <c r="Q13" s="63">
        <v>12</v>
      </c>
      <c r="R13" s="63">
        <v>12</v>
      </c>
      <c r="S13" s="63">
        <v>10</v>
      </c>
      <c r="T13" s="66">
        <f t="shared" si="1"/>
        <v>23</v>
      </c>
      <c r="U13" s="42">
        <f t="shared" si="2"/>
        <v>1</v>
      </c>
      <c r="Y13" s="6"/>
    </row>
    <row r="14" spans="1:25" ht="78" x14ac:dyDescent="0.3">
      <c r="A14" s="44" t="str">
        <f t="shared" si="0"/>
        <v>241</v>
      </c>
      <c r="B14" s="48" t="s">
        <v>766</v>
      </c>
      <c r="C14" s="45" t="s">
        <v>313</v>
      </c>
      <c r="D14" s="45">
        <v>1</v>
      </c>
      <c r="E14" s="46" t="str">
        <f>IF(ISNUMBER(SEARCH("CT",B14)),
   "CrossTransferStation[" &amp; (Q$3 + COUNTIF($B$2:B14,"*CT*") - 1) &amp; "]",
   IF( OR(ISNUMBER(SEARCH("TT",B14)), AND(ISNUMBER(SEARCH("C",B14)), NOT(ISNUMBER(SEARCH("CT",B14)))) ),
      "ConveyorStation[" &amp; (Q$2 + COUNTIFS($B$2:B14,"*C*",$B$2:B14,"&lt;&gt;*CT*") + COUNTIF($B$2:B14,"*TT*") - 1) &amp; "]",
      ""))</f>
        <v>ConveyorStation[173]</v>
      </c>
      <c r="F14" s="9" t="s">
        <v>767</v>
      </c>
      <c r="G14" s="9" t="s">
        <v>768</v>
      </c>
      <c r="H14" s="9" t="s">
        <v>770</v>
      </c>
      <c r="I14" s="9"/>
      <c r="J14" s="9" t="s">
        <v>769</v>
      </c>
      <c r="K14" s="27"/>
      <c r="L14" s="49" t="s">
        <v>351</v>
      </c>
      <c r="M14" s="49" t="s">
        <v>351</v>
      </c>
      <c r="N14" s="152" t="s">
        <v>1783</v>
      </c>
      <c r="O14" s="61"/>
      <c r="P14" s="9" t="s">
        <v>329</v>
      </c>
      <c r="Q14" s="63"/>
      <c r="R14" s="63"/>
      <c r="S14" s="63"/>
      <c r="T14" s="66">
        <f>'EZ10 GTP'!T14</f>
        <v>13</v>
      </c>
      <c r="U14" s="42"/>
      <c r="Y14" s="6"/>
    </row>
    <row r="15" spans="1:25" x14ac:dyDescent="0.3">
      <c r="A15" s="44" t="str">
        <f t="shared" si="0"/>
        <v>242</v>
      </c>
      <c r="B15" s="48" t="s">
        <v>771</v>
      </c>
      <c r="C15" s="45" t="s">
        <v>313</v>
      </c>
      <c r="D15" s="45">
        <v>1</v>
      </c>
      <c r="E15" s="46" t="str">
        <f>IF(ISNUMBER(SEARCH("CT",B15)),
   "CrossTransferStation[" &amp; (Q$3 + COUNTIF($B$2:B15,"*CT*") - 1) &amp; "]",
   IF( OR(ISNUMBER(SEARCH("TT",B15)), AND(ISNUMBER(SEARCH("C",B15)), NOT(ISNUMBER(SEARCH("CT",B15)))) ),
      "ConveyorStation[" &amp; (Q$2 + COUNTIFS($B$2:B15,"*C*",$B$2:B15,"&lt;&gt;*CT*") + COUNTIF($B$2:B15,"*TT*") - 1) &amp; "]",
      ""))</f>
        <v>ConveyorStation[174]</v>
      </c>
      <c r="F15" s="9" t="s">
        <v>772</v>
      </c>
      <c r="G15" s="9"/>
      <c r="H15" s="9"/>
      <c r="I15" s="9"/>
      <c r="J15" s="9" t="s">
        <v>773</v>
      </c>
      <c r="K15" s="9"/>
      <c r="L15" s="47" t="s">
        <v>351</v>
      </c>
      <c r="M15" s="47" t="s">
        <v>350</v>
      </c>
      <c r="N15" s="11"/>
      <c r="O15" s="61"/>
      <c r="P15" s="9" t="s">
        <v>185</v>
      </c>
      <c r="Q15" s="63">
        <v>12</v>
      </c>
      <c r="R15" s="66">
        <v>12</v>
      </c>
      <c r="S15" s="63">
        <v>10</v>
      </c>
      <c r="T15" s="66">
        <f t="shared" si="1"/>
        <v>23</v>
      </c>
      <c r="U15" s="42">
        <f t="shared" si="2"/>
        <v>1</v>
      </c>
      <c r="Y15" s="6"/>
    </row>
    <row r="16" spans="1:25" x14ac:dyDescent="0.3">
      <c r="A16" s="44" t="str">
        <f t="shared" si="0"/>
        <v>243</v>
      </c>
      <c r="B16" s="48" t="s">
        <v>774</v>
      </c>
      <c r="C16" s="45" t="s">
        <v>313</v>
      </c>
      <c r="D16" s="45">
        <v>1</v>
      </c>
      <c r="E16" s="46" t="str">
        <f>IF(ISNUMBER(SEARCH("CT",B16)),
   "CrossTransferStation[" &amp; (Q$3 + COUNTIF($B$2:B16,"*CT*") - 1) &amp; "]",
   IF( OR(ISNUMBER(SEARCH("TT",B16)), AND(ISNUMBER(SEARCH("C",B16)), NOT(ISNUMBER(SEARCH("CT",B16)))) ),
      "ConveyorStation[" &amp; (Q$2 + COUNTIFS($B$2:B16,"*C*",$B$2:B16,"&lt;&gt;*CT*") + COUNTIF($B$2:B16,"*TT*") - 1) &amp; "]",
      ""))</f>
        <v>ConveyorStation[175]</v>
      </c>
      <c r="F16" s="9"/>
      <c r="G16" s="9"/>
      <c r="H16" s="9"/>
      <c r="I16" s="9"/>
      <c r="J16" s="9" t="s">
        <v>775</v>
      </c>
      <c r="K16" s="9"/>
      <c r="L16" s="47" t="s">
        <v>350</v>
      </c>
      <c r="M16" s="47" t="s">
        <v>350</v>
      </c>
      <c r="N16" s="11"/>
      <c r="O16" s="61"/>
      <c r="P16" s="9" t="s">
        <v>330</v>
      </c>
      <c r="Q16" s="63">
        <v>12</v>
      </c>
      <c r="R16" s="66">
        <v>12</v>
      </c>
      <c r="S16" s="63">
        <v>10</v>
      </c>
      <c r="T16" s="66">
        <f t="shared" si="1"/>
        <v>23</v>
      </c>
      <c r="U16" s="42">
        <f t="shared" si="2"/>
        <v>1</v>
      </c>
      <c r="Y16" s="6"/>
    </row>
    <row r="17" spans="1:25" ht="39" x14ac:dyDescent="0.3">
      <c r="A17" s="23" t="str">
        <f t="shared" si="0"/>
        <v>1241</v>
      </c>
      <c r="B17" s="48" t="s">
        <v>776</v>
      </c>
      <c r="C17" s="45" t="s">
        <v>313</v>
      </c>
      <c r="D17" s="45">
        <v>1</v>
      </c>
      <c r="E17" s="46" t="str">
        <f>IF(ISNUMBER(SEARCH("CT",B17)),
   "CrossTransferStation[" &amp; (Q$3 + COUNTIF($B$2:B17,"*CT*") - 1) &amp; "]",
   IF( OR(ISNUMBER(SEARCH("TT",B17)), AND(ISNUMBER(SEARCH("C",B17)), NOT(ISNUMBER(SEARCH("CT",B17)))) ),
      "ConveyorStation[" &amp; (Q$2 + COUNTIFS($B$2:B17,"*C*",$B$2:B17,"&lt;&gt;*CT*") + COUNTIF($B$2:B17,"*TT*") - 1) &amp; "]",
      ""))</f>
        <v>CrossTransferStation[76]</v>
      </c>
      <c r="F17" s="9" t="s">
        <v>777</v>
      </c>
      <c r="G17" s="9"/>
      <c r="H17" s="9"/>
      <c r="I17" s="9"/>
      <c r="J17" s="9" t="s">
        <v>778</v>
      </c>
      <c r="K17" s="10" t="s">
        <v>470</v>
      </c>
      <c r="L17" s="47" t="s">
        <v>351</v>
      </c>
      <c r="M17" s="47" t="s">
        <v>351</v>
      </c>
      <c r="N17" s="11"/>
      <c r="O17" s="61"/>
      <c r="P17" s="9" t="s">
        <v>331</v>
      </c>
      <c r="Q17" s="66">
        <v>12</v>
      </c>
      <c r="R17" s="63">
        <v>15</v>
      </c>
      <c r="S17" s="63">
        <v>10</v>
      </c>
      <c r="T17" s="66">
        <f t="shared" si="1"/>
        <v>26</v>
      </c>
      <c r="U17" s="42">
        <f t="shared" si="2"/>
        <v>4</v>
      </c>
      <c r="Y17" s="6"/>
    </row>
    <row r="18" spans="1:25" ht="78" x14ac:dyDescent="0.3">
      <c r="A18" s="23" t="str">
        <f t="shared" si="0"/>
        <v>251</v>
      </c>
      <c r="B18" s="48" t="s">
        <v>779</v>
      </c>
      <c r="C18" s="45" t="s">
        <v>313</v>
      </c>
      <c r="D18" s="45">
        <v>1</v>
      </c>
      <c r="E18" s="46" t="str">
        <f>IF(ISNUMBER(SEARCH("CT",B18)),
   "CrossTransferStation[" &amp; (Q$3 + COUNTIF($B$2:B18,"*CT*") - 1) &amp; "]",
   IF( OR(ISNUMBER(SEARCH("TT",B18)), AND(ISNUMBER(SEARCH("C",B18)), NOT(ISNUMBER(SEARCH("CT",B18)))) ),
      "ConveyorStation[" &amp; (Q$2 + COUNTIFS($B$2:B18,"*C*",$B$2:B18,"&lt;&gt;*CT*") + COUNTIF($B$2:B18,"*TT*") - 1) &amp; "]",
      ""))</f>
        <v>ConveyorStation[176]</v>
      </c>
      <c r="F18" s="9" t="s">
        <v>780</v>
      </c>
      <c r="G18" s="9" t="s">
        <v>781</v>
      </c>
      <c r="H18" s="9" t="s">
        <v>783</v>
      </c>
      <c r="I18" s="9"/>
      <c r="J18" s="9" t="s">
        <v>782</v>
      </c>
      <c r="K18" s="27"/>
      <c r="L18" s="49" t="s">
        <v>351</v>
      </c>
      <c r="M18" s="49" t="s">
        <v>351</v>
      </c>
      <c r="N18" s="152" t="s">
        <v>1783</v>
      </c>
      <c r="O18" s="61"/>
      <c r="Y18" s="6"/>
    </row>
    <row r="19" spans="1:25" ht="13" x14ac:dyDescent="0.3">
      <c r="A19" s="23" t="str">
        <f t="shared" si="0"/>
        <v>252</v>
      </c>
      <c r="B19" s="48" t="s">
        <v>784</v>
      </c>
      <c r="C19" s="45" t="s">
        <v>313</v>
      </c>
      <c r="D19" s="45">
        <v>1</v>
      </c>
      <c r="E19" s="46" t="str">
        <f>IF(ISNUMBER(SEARCH("CT",B19)),
   "CrossTransferStation[" &amp; (Q$3 + COUNTIF($B$2:B19,"*CT*") - 1) &amp; "]",
   IF( OR(ISNUMBER(SEARCH("TT",B19)), AND(ISNUMBER(SEARCH("C",B19)), NOT(ISNUMBER(SEARCH("CT",B19)))) ),
      "ConveyorStation[" &amp; (Q$2 + COUNTIFS($B$2:B19,"*C*",$B$2:B19,"&lt;&gt;*CT*") + COUNTIF($B$2:B19,"*TT*") - 1) &amp; "]",
      ""))</f>
        <v>ConveyorStation[177]</v>
      </c>
      <c r="F19" s="9" t="s">
        <v>785</v>
      </c>
      <c r="G19" s="9"/>
      <c r="H19" s="9"/>
      <c r="I19" s="9"/>
      <c r="J19" s="9" t="s">
        <v>786</v>
      </c>
      <c r="K19" s="9"/>
      <c r="L19" s="47" t="s">
        <v>351</v>
      </c>
      <c r="M19" s="47" t="s">
        <v>350</v>
      </c>
      <c r="N19" s="11"/>
      <c r="O19" s="61"/>
      <c r="Y19" s="6"/>
    </row>
    <row r="20" spans="1:25" ht="13" x14ac:dyDescent="0.3">
      <c r="A20" s="52" t="str">
        <f t="shared" si="0"/>
        <v>253</v>
      </c>
      <c r="B20" s="48" t="s">
        <v>787</v>
      </c>
      <c r="C20" s="45" t="s">
        <v>313</v>
      </c>
      <c r="D20" s="45">
        <v>1</v>
      </c>
      <c r="E20" s="46" t="str">
        <f>IF(ISNUMBER(SEARCH("CT",B20)),
   "CrossTransferStation[" &amp; (Q$3 + COUNTIF($B$2:B20,"*CT*") - 1) &amp; "]",
   IF( OR(ISNUMBER(SEARCH("TT",B20)), AND(ISNUMBER(SEARCH("C",B20)), NOT(ISNUMBER(SEARCH("CT",B20)))) ),
      "ConveyorStation[" &amp; (Q$2 + COUNTIFS($B$2:B20,"*C*",$B$2:B20,"&lt;&gt;*CT*") + COUNTIF($B$2:B20,"*TT*") - 1) &amp; "]",
      ""))</f>
        <v>ConveyorStation[178]</v>
      </c>
      <c r="F20" s="9"/>
      <c r="G20" s="9"/>
      <c r="H20" s="9"/>
      <c r="I20" s="9"/>
      <c r="J20" s="9" t="s">
        <v>788</v>
      </c>
      <c r="K20" s="9"/>
      <c r="L20" s="47" t="s">
        <v>350</v>
      </c>
      <c r="M20" s="47" t="s">
        <v>350</v>
      </c>
      <c r="N20" s="11"/>
      <c r="O20" s="61"/>
      <c r="Y20" s="6"/>
    </row>
    <row r="21" spans="1:25" ht="39" x14ac:dyDescent="0.3">
      <c r="A21" s="50" t="str">
        <f t="shared" si="0"/>
        <v>1251</v>
      </c>
      <c r="B21" s="48" t="s">
        <v>789</v>
      </c>
      <c r="C21" s="45" t="s">
        <v>313</v>
      </c>
      <c r="D21" s="45">
        <v>1</v>
      </c>
      <c r="E21" s="46" t="str">
        <f>IF(ISNUMBER(SEARCH("CT",B21)),
   "CrossTransferStation[" &amp; (Q$3 + COUNTIF($B$2:B21,"*CT*") - 1) &amp; "]",
   IF( OR(ISNUMBER(SEARCH("TT",B21)), AND(ISNUMBER(SEARCH("C",B21)), NOT(ISNUMBER(SEARCH("CT",B21)))) ),
      "ConveyorStation[" &amp; (Q$2 + COUNTIFS($B$2:B21,"*C*",$B$2:B21,"&lt;&gt;*CT*") + COUNTIF($B$2:B21,"*TT*") - 1) &amp; "]",
      ""))</f>
        <v>CrossTransferStation[77]</v>
      </c>
      <c r="F21" s="9" t="s">
        <v>790</v>
      </c>
      <c r="G21" s="9"/>
      <c r="H21" s="9"/>
      <c r="I21" s="9"/>
      <c r="J21" s="9" t="s">
        <v>791</v>
      </c>
      <c r="K21" s="10" t="s">
        <v>470</v>
      </c>
      <c r="L21" s="47" t="s">
        <v>351</v>
      </c>
      <c r="M21" s="47" t="s">
        <v>351</v>
      </c>
      <c r="N21" s="11"/>
      <c r="O21" s="61"/>
      <c r="Y21" s="6"/>
    </row>
    <row r="22" spans="1:25" ht="78" x14ac:dyDescent="0.3">
      <c r="A22" s="50" t="str">
        <f t="shared" si="0"/>
        <v>261</v>
      </c>
      <c r="B22" s="48" t="s">
        <v>792</v>
      </c>
      <c r="C22" s="45" t="s">
        <v>313</v>
      </c>
      <c r="D22" s="45">
        <v>1</v>
      </c>
      <c r="E22" s="46" t="str">
        <f>IF(ISNUMBER(SEARCH("CT",B22)),
   "CrossTransferStation[" &amp; (Q$3 + COUNTIF($B$2:B22,"*CT*") - 1) &amp; "]",
   IF( OR(ISNUMBER(SEARCH("TT",B22)), AND(ISNUMBER(SEARCH("C",B22)), NOT(ISNUMBER(SEARCH("CT",B22)))) ),
      "ConveyorStation[" &amp; (Q$2 + COUNTIFS($B$2:B22,"*C*",$B$2:B22,"&lt;&gt;*CT*") + COUNTIF($B$2:B22,"*TT*") - 1) &amp; "]",
      ""))</f>
        <v>ConveyorStation[179]</v>
      </c>
      <c r="F22" s="9" t="s">
        <v>793</v>
      </c>
      <c r="G22" s="9" t="s">
        <v>794</v>
      </c>
      <c r="H22" s="9" t="s">
        <v>796</v>
      </c>
      <c r="I22" s="9"/>
      <c r="J22" s="9" t="s">
        <v>795</v>
      </c>
      <c r="K22" s="27"/>
      <c r="L22" s="49" t="s">
        <v>351</v>
      </c>
      <c r="M22" s="49" t="s">
        <v>351</v>
      </c>
      <c r="N22" s="152" t="s">
        <v>1783</v>
      </c>
      <c r="O22" s="61"/>
      <c r="Y22" s="6"/>
    </row>
    <row r="23" spans="1:25" ht="13" x14ac:dyDescent="0.3">
      <c r="A23" s="50" t="str">
        <f t="shared" si="0"/>
        <v>262</v>
      </c>
      <c r="B23" s="48" t="s">
        <v>797</v>
      </c>
      <c r="C23" s="45" t="s">
        <v>313</v>
      </c>
      <c r="D23" s="45">
        <v>1</v>
      </c>
      <c r="E23" s="46" t="str">
        <f>IF(ISNUMBER(SEARCH("CT",B23)),
   "CrossTransferStation[" &amp; (Q$3 + COUNTIF($B$2:B23,"*CT*") - 1) &amp; "]",
   IF( OR(ISNUMBER(SEARCH("TT",B23)), AND(ISNUMBER(SEARCH("C",B23)), NOT(ISNUMBER(SEARCH("CT",B23)))) ),
      "ConveyorStation[" &amp; (Q$2 + COUNTIFS($B$2:B23,"*C*",$B$2:B23,"&lt;&gt;*CT*") + COUNTIF($B$2:B23,"*TT*") - 1) &amp; "]",
      ""))</f>
        <v>ConveyorStation[180]</v>
      </c>
      <c r="F23" s="9" t="s">
        <v>798</v>
      </c>
      <c r="G23" s="9"/>
      <c r="H23" s="9"/>
      <c r="I23" s="9"/>
      <c r="J23" s="9" t="s">
        <v>799</v>
      </c>
      <c r="K23" s="9"/>
      <c r="L23" s="47" t="s">
        <v>351</v>
      </c>
      <c r="M23" s="47" t="s">
        <v>350</v>
      </c>
      <c r="N23" s="11"/>
      <c r="O23" s="61"/>
      <c r="Y23" s="6"/>
    </row>
    <row r="24" spans="1:25" ht="52" x14ac:dyDescent="0.3">
      <c r="A24" s="7" t="str">
        <f t="shared" si="0"/>
        <v>263</v>
      </c>
      <c r="B24" s="48" t="s">
        <v>800</v>
      </c>
      <c r="C24" s="45" t="s">
        <v>313</v>
      </c>
      <c r="D24" s="45">
        <v>1</v>
      </c>
      <c r="E24" s="46" t="str">
        <f>IF(ISNUMBER(SEARCH("CT",B24)),
   "CrossTransferStation[" &amp; (Q$3 + COUNTIF($B$2:B24,"*CT*") - 1) &amp; "]",
   IF( OR(ISNUMBER(SEARCH("TT",B24)), AND(ISNUMBER(SEARCH("C",B24)), NOT(ISNUMBER(SEARCH("CT",B24)))) ),
      "ConveyorStation[" &amp; (Q$2 + COUNTIFS($B$2:B24,"*C*",$B$2:B24,"&lt;&gt;*CT*") + COUNTIF($B$2:B24,"*TT*") - 1) &amp; "]",
      ""))</f>
        <v>ConveyorStation[181]</v>
      </c>
      <c r="F24" s="9" t="s">
        <v>801</v>
      </c>
      <c r="G24" s="9"/>
      <c r="H24" s="9"/>
      <c r="I24" s="9"/>
      <c r="J24" s="9" t="s">
        <v>1929</v>
      </c>
      <c r="K24" s="9"/>
      <c r="L24" s="10" t="s">
        <v>350</v>
      </c>
      <c r="M24" s="10" t="s">
        <v>351</v>
      </c>
      <c r="N24" s="11"/>
      <c r="O24" s="61"/>
      <c r="Y24" s="6"/>
    </row>
    <row r="25" spans="1:25" ht="13" x14ac:dyDescent="0.3">
      <c r="A25" s="7" t="str">
        <f t="shared" si="0"/>
        <v>264</v>
      </c>
      <c r="B25" s="48" t="s">
        <v>802</v>
      </c>
      <c r="C25" s="45" t="s">
        <v>313</v>
      </c>
      <c r="D25" s="45">
        <v>1</v>
      </c>
      <c r="E25" s="46" t="str">
        <f>IF(ISNUMBER(SEARCH("CT",B25)),
   "CrossTransferStation[" &amp; (Q$3 + COUNTIF($B$2:B25,"*CT*") - 1) &amp; "]",
   IF( OR(ISNUMBER(SEARCH("TT",B25)), AND(ISNUMBER(SEARCH("C",B25)), NOT(ISNUMBER(SEARCH("CT",B25)))) ),
      "ConveyorStation[" &amp; (Q$2 + COUNTIFS($B$2:B25,"*C*",$B$2:B25,"&lt;&gt;*CT*") + COUNTIF($B$2:B25,"*TT*") - 1) &amp; "]",
      ""))</f>
        <v>ConveyorStation[182]</v>
      </c>
      <c r="F25" s="9" t="s">
        <v>803</v>
      </c>
      <c r="G25" s="9"/>
      <c r="H25" s="9"/>
      <c r="I25" s="9"/>
      <c r="J25" s="9" t="s">
        <v>804</v>
      </c>
      <c r="K25" s="9"/>
      <c r="L25" s="10" t="s">
        <v>350</v>
      </c>
      <c r="M25" s="10" t="s">
        <v>351</v>
      </c>
      <c r="N25" s="11"/>
      <c r="O25" s="61"/>
      <c r="Y25" s="6"/>
    </row>
    <row r="26" spans="1:25" ht="13" x14ac:dyDescent="0.3">
      <c r="A26" s="7" t="str">
        <f t="shared" si="0"/>
        <v>265</v>
      </c>
      <c r="B26" s="48" t="s">
        <v>805</v>
      </c>
      <c r="C26" s="45" t="s">
        <v>313</v>
      </c>
      <c r="D26" s="45">
        <v>1</v>
      </c>
      <c r="E26" s="46" t="str">
        <f>IF(ISNUMBER(SEARCH("CT",B26)),
   "CrossTransferStation[" &amp; (Q$3 + COUNTIF($B$2:B26,"*CT*") - 1) &amp; "]",
   IF( OR(ISNUMBER(SEARCH("TT",B26)), AND(ISNUMBER(SEARCH("C",B26)), NOT(ISNUMBER(SEARCH("CT",B26)))) ),
      "ConveyorStation[" &amp; (Q$2 + COUNTIFS($B$2:B26,"*C*",$B$2:B26,"&lt;&gt;*CT*") + COUNTIF($B$2:B26,"*TT*") - 1) &amp; "]",
      ""))</f>
        <v>ConveyorStation[183]</v>
      </c>
      <c r="F26" s="9" t="s">
        <v>806</v>
      </c>
      <c r="G26" s="9"/>
      <c r="H26" s="9"/>
      <c r="I26" s="9"/>
      <c r="J26" s="9" t="s">
        <v>807</v>
      </c>
      <c r="K26" s="9"/>
      <c r="L26" s="10" t="s">
        <v>350</v>
      </c>
      <c r="M26" s="10" t="s">
        <v>351</v>
      </c>
      <c r="N26" s="11"/>
      <c r="O26" s="61"/>
      <c r="Y26" s="6"/>
    </row>
    <row r="27" spans="1:25" ht="39" x14ac:dyDescent="0.3">
      <c r="A27" s="7" t="str">
        <f t="shared" si="0"/>
        <v>1261</v>
      </c>
      <c r="B27" s="48" t="s">
        <v>808</v>
      </c>
      <c r="C27" s="45" t="s">
        <v>313</v>
      </c>
      <c r="D27" s="45">
        <v>1</v>
      </c>
      <c r="E27" s="46" t="str">
        <f>IF(ISNUMBER(SEARCH("CT",B27)),
   "CrossTransferStation[" &amp; (Q$3 + COUNTIF($B$2:B27,"*CT*") - 1) &amp; "]",
   IF( OR(ISNUMBER(SEARCH("TT",B27)), AND(ISNUMBER(SEARCH("C",B27)), NOT(ISNUMBER(SEARCH("CT",B27)))) ),
      "ConveyorStation[" &amp; (Q$2 + COUNTIFS($B$2:B27,"*C*",$B$2:B27,"&lt;&gt;*CT*") + COUNTIF($B$2:B27,"*TT*") - 1) &amp; "]",
      ""))</f>
        <v>CrossTransferStation[78]</v>
      </c>
      <c r="F27" s="9" t="s">
        <v>809</v>
      </c>
      <c r="G27" s="9"/>
      <c r="H27" s="9"/>
      <c r="I27" s="9"/>
      <c r="J27" s="9" t="s">
        <v>810</v>
      </c>
      <c r="K27" s="10" t="s">
        <v>470</v>
      </c>
      <c r="L27" s="47" t="s">
        <v>351</v>
      </c>
      <c r="M27" s="47" t="s">
        <v>351</v>
      </c>
      <c r="N27" s="11"/>
      <c r="O27" s="61"/>
      <c r="Y27" s="6"/>
    </row>
    <row r="28" spans="1:25" ht="26" x14ac:dyDescent="0.3">
      <c r="A28" s="7" t="str">
        <f t="shared" si="0"/>
        <v>1262</v>
      </c>
      <c r="B28" s="48" t="s">
        <v>811</v>
      </c>
      <c r="C28" s="45" t="s">
        <v>313</v>
      </c>
      <c r="D28" s="45">
        <v>1</v>
      </c>
      <c r="E28" s="46" t="str">
        <f>IF(ISNUMBER(SEARCH("CT",B28)),
   "CrossTransferStation[" &amp; (Q$3 + COUNTIF($B$2:B28,"*CT*") - 1) &amp; "]",
   IF( OR(ISNUMBER(SEARCH("TT",B28)), AND(ISNUMBER(SEARCH("C",B28)), NOT(ISNUMBER(SEARCH("CT",B28)))) ),
      "ConveyorStation[" &amp; (Q$2 + COUNTIFS($B$2:B28,"*C*",$B$2:B28,"&lt;&gt;*CT*") + COUNTIF($B$2:B28,"*TT*") - 1) &amp; "]",
      ""))</f>
        <v>CrossTransferStation[79]</v>
      </c>
      <c r="F28" s="9" t="s">
        <v>812</v>
      </c>
      <c r="G28" s="9"/>
      <c r="H28" s="9"/>
      <c r="I28" s="9"/>
      <c r="J28" s="9" t="s">
        <v>813</v>
      </c>
      <c r="K28" s="9"/>
      <c r="L28" s="47" t="s">
        <v>350</v>
      </c>
      <c r="M28" s="47" t="s">
        <v>351</v>
      </c>
      <c r="N28" s="11"/>
      <c r="O28" s="61"/>
      <c r="Y28" s="6"/>
    </row>
    <row r="29" spans="1:25" ht="39" x14ac:dyDescent="0.3">
      <c r="A29" s="7" t="str">
        <f t="shared" si="0"/>
        <v>271</v>
      </c>
      <c r="B29" s="8" t="s">
        <v>814</v>
      </c>
      <c r="C29" s="45" t="s">
        <v>313</v>
      </c>
      <c r="D29" s="45">
        <v>1</v>
      </c>
      <c r="E29" s="46" t="str">
        <f>IF(ISNUMBER(SEARCH("CT",B29)),
   "CrossTransferStation[" &amp; (Q$3 + COUNTIF($B$2:B29,"*CT*") - 1) &amp; "]",
   IF( OR(ISNUMBER(SEARCH("TT",B29)), AND(ISNUMBER(SEARCH("C",B29)), NOT(ISNUMBER(SEARCH("CT",B29)))) ),
      "ConveyorStation[" &amp; (Q$2 + COUNTIFS($B$2:B29,"*C*",$B$2:B29,"&lt;&gt;*CT*") + COUNTIF($B$2:B29,"*TT*") - 1) &amp; "]",
      ""))</f>
        <v>ConveyorStation[184]</v>
      </c>
      <c r="F29" s="9" t="s">
        <v>815</v>
      </c>
      <c r="G29" s="9"/>
      <c r="H29" s="9"/>
      <c r="I29" s="9"/>
      <c r="J29" s="9" t="s">
        <v>1930</v>
      </c>
      <c r="K29" s="10" t="s">
        <v>470</v>
      </c>
      <c r="L29" s="10" t="s">
        <v>350</v>
      </c>
      <c r="M29" s="10" t="s">
        <v>351</v>
      </c>
      <c r="N29" s="11"/>
      <c r="O29" s="61"/>
      <c r="Y29" s="6"/>
    </row>
    <row r="30" spans="1:25" ht="13" x14ac:dyDescent="0.3">
      <c r="A30" s="7" t="str">
        <f t="shared" ref="A30:A32" si="3">IF(ISNUMBER(SEARCH("CT",B30)),"1"&amp;MID(B30,2,FIND("CT",B30)-2)&amp;RIGHT(B30,1),MID(B30,2,FIND("C",B30)-2)&amp;RIGHT(B30,1))</f>
        <v>272</v>
      </c>
      <c r="B30" s="8" t="s">
        <v>816</v>
      </c>
      <c r="C30" s="45" t="s">
        <v>313</v>
      </c>
      <c r="D30" s="45">
        <v>1</v>
      </c>
      <c r="E30" s="46" t="str">
        <f>IF(ISNUMBER(SEARCH("CT",B30)),
   "CrossTransferStation[" &amp; (Q$3 + COUNTIF($B$2:B30,"*CT*") - 1) &amp; "]",
   IF( OR(ISNUMBER(SEARCH("TT",B30)), AND(ISNUMBER(SEARCH("C",B30)), NOT(ISNUMBER(SEARCH("CT",B30)))) ),
      "ConveyorStation[" &amp; (Q$2 + COUNTIFS($B$2:B30,"*C*",$B$2:B30,"&lt;&gt;*CT*") + COUNTIF($B$2:B30,"*TT*") - 1) &amp; "]",
      ""))</f>
        <v>ConveyorStation[185]</v>
      </c>
      <c r="F30" s="9"/>
      <c r="G30" s="9"/>
      <c r="H30" s="9"/>
      <c r="I30" s="9"/>
      <c r="J30" s="9" t="s">
        <v>817</v>
      </c>
      <c r="K30" s="9"/>
      <c r="L30" s="47" t="s">
        <v>350</v>
      </c>
      <c r="M30" s="47" t="s">
        <v>350</v>
      </c>
      <c r="N30" s="11"/>
      <c r="O30" s="61"/>
      <c r="Y30" s="6"/>
    </row>
    <row r="31" spans="1:25" ht="13" x14ac:dyDescent="0.3">
      <c r="A31" s="7" t="str">
        <f t="shared" si="3"/>
        <v>273</v>
      </c>
      <c r="B31" s="8" t="s">
        <v>818</v>
      </c>
      <c r="C31" s="45" t="s">
        <v>313</v>
      </c>
      <c r="D31" s="45">
        <v>1</v>
      </c>
      <c r="E31" s="46" t="str">
        <f>IF(ISNUMBER(SEARCH("CT",B31)),
   "CrossTransferStation[" &amp; (Q$3 + COUNTIF($B$2:B31,"*CT*") - 1) &amp; "]",
   IF( OR(ISNUMBER(SEARCH("TT",B31)), AND(ISNUMBER(SEARCH("C",B31)), NOT(ISNUMBER(SEARCH("CT",B31)))) ),
      "ConveyorStation[" &amp; (Q$2 + COUNTIFS($B$2:B31,"*C*",$B$2:B31,"&lt;&gt;*CT*") + COUNTIF($B$2:B31,"*TT*") - 1) &amp; "]",
      ""))</f>
        <v>ConveyorStation[186]</v>
      </c>
      <c r="F31" s="9" t="s">
        <v>819</v>
      </c>
      <c r="G31" s="9"/>
      <c r="H31" s="9"/>
      <c r="I31" s="9"/>
      <c r="J31" s="9" t="s">
        <v>820</v>
      </c>
      <c r="K31" s="9"/>
      <c r="L31" s="10" t="s">
        <v>350</v>
      </c>
      <c r="M31" s="10" t="s">
        <v>351</v>
      </c>
      <c r="N31" s="11"/>
      <c r="O31" s="61"/>
      <c r="Y31" s="6"/>
    </row>
    <row r="32" spans="1:25" ht="13" x14ac:dyDescent="0.3">
      <c r="A32" s="7" t="str">
        <f t="shared" si="3"/>
        <v>274</v>
      </c>
      <c r="B32" s="8" t="s">
        <v>821</v>
      </c>
      <c r="C32" s="45" t="s">
        <v>313</v>
      </c>
      <c r="D32" s="45">
        <v>1</v>
      </c>
      <c r="E32" s="46" t="str">
        <f>IF(ISNUMBER(SEARCH("CT",B32)),
   "CrossTransferStation[" &amp; (Q$3 + COUNTIF($B$2:B32,"*CT*") - 1) &amp; "]",
   IF( OR(ISNUMBER(SEARCH("TT",B32)), AND(ISNUMBER(SEARCH("C",B32)), NOT(ISNUMBER(SEARCH("CT",B32)))) ),
      "ConveyorStation[" &amp; (Q$2 + COUNTIFS($B$2:B32,"*C*",$B$2:B32,"&lt;&gt;*CT*") + COUNTIF($B$2:B32,"*TT*") - 1) &amp; "]",
      ""))</f>
        <v>ConveyorStation[187]</v>
      </c>
      <c r="F32" s="9"/>
      <c r="G32" s="9"/>
      <c r="H32" s="9"/>
      <c r="I32" s="9"/>
      <c r="J32" s="9" t="s">
        <v>822</v>
      </c>
      <c r="K32" s="9"/>
      <c r="L32" s="47" t="s">
        <v>350</v>
      </c>
      <c r="M32" s="47" t="s">
        <v>350</v>
      </c>
      <c r="N32" s="11"/>
      <c r="O32" s="61"/>
      <c r="Y32" s="6"/>
    </row>
    <row r="33" spans="1:25" ht="13" x14ac:dyDescent="0.3">
      <c r="A33" s="60" t="str">
        <f>IF(ISNUMBER(SEARCH("CT",B33)),"1"&amp;MID(B33,2,FIND("CT",B33)-2)&amp;RIGHT(B33,1),MID(B33,2,FIND("C",B33)-2)&amp;RIGHT(B33,1))</f>
        <v>281</v>
      </c>
      <c r="B33" s="26" t="s">
        <v>823</v>
      </c>
      <c r="C33" s="45" t="s">
        <v>313</v>
      </c>
      <c r="D33" s="45">
        <v>1</v>
      </c>
      <c r="E33" s="46" t="str">
        <f>IF(ISNUMBER(SEARCH("CT",B33)),
   "CrossTransferStation[" &amp; (Q$3 + COUNTIF($B$2:B33,"*CT*") - 1) &amp; "]",
   IF( OR(ISNUMBER(SEARCH("TT",B33)), AND(ISNUMBER(SEARCH("C",B33)), NOT(ISNUMBER(SEARCH("CT",B33)))) ),
      "ConveyorStation[" &amp; (Q$2 + COUNTIFS($B$2:B33,"*C*",$B$2:B33,"&lt;&gt;*CT*") + COUNTIF($B$2:B33,"*TT*") - 1) &amp; "]",
      ""))</f>
        <v>ConveyorStation[188]</v>
      </c>
      <c r="F33" s="9" t="s">
        <v>824</v>
      </c>
      <c r="G33" s="27"/>
      <c r="H33" s="27"/>
      <c r="I33" s="27"/>
      <c r="J33" s="9" t="s">
        <v>825</v>
      </c>
      <c r="K33" s="27"/>
      <c r="L33" s="10" t="s">
        <v>350</v>
      </c>
      <c r="M33" s="10" t="s">
        <v>351</v>
      </c>
      <c r="N33" s="29"/>
      <c r="O33" s="61"/>
      <c r="Y33" s="6"/>
    </row>
    <row r="34" spans="1:25" ht="13" x14ac:dyDescent="0.3">
      <c r="A34" s="7" t="str">
        <f t="shared" ref="A34:A35" si="4">IF(ISNUMBER(SEARCH("CT",B34)),"1"&amp;MID(B34,2,FIND("CT",B34)-2)&amp;RIGHT(B34,1),MID(B34,2,FIND("C",B34)-2)&amp;RIGHT(B34,1))</f>
        <v>282</v>
      </c>
      <c r="B34" s="26" t="s">
        <v>826</v>
      </c>
      <c r="C34" s="45" t="s">
        <v>313</v>
      </c>
      <c r="D34" s="45">
        <v>1</v>
      </c>
      <c r="E34" s="46" t="str">
        <f>IF(ISNUMBER(SEARCH("CT",B34)),
   "CrossTransferStation[" &amp; (Q$3 + COUNTIF($B$2:B34,"*CT*") - 1) &amp; "]",
   IF( OR(ISNUMBER(SEARCH("TT",B34)), AND(ISNUMBER(SEARCH("C",B34)), NOT(ISNUMBER(SEARCH("CT",B34)))) ),
      "ConveyorStation[" &amp; (Q$2 + COUNTIFS($B$2:B34,"*C*",$B$2:B34,"&lt;&gt;*CT*") + COUNTIF($B$2:B34,"*TT*") - 1) &amp; "]",
      ""))</f>
        <v>ConveyorStation[189]</v>
      </c>
      <c r="F34" s="9" t="s">
        <v>827</v>
      </c>
      <c r="G34" s="9"/>
      <c r="H34" s="9"/>
      <c r="I34" s="9"/>
      <c r="J34" s="9" t="s">
        <v>828</v>
      </c>
      <c r="K34" s="9"/>
      <c r="L34" s="10" t="s">
        <v>350</v>
      </c>
      <c r="M34" s="10" t="s">
        <v>351</v>
      </c>
      <c r="N34" s="11"/>
      <c r="O34" s="61"/>
      <c r="Y34" s="6"/>
    </row>
    <row r="35" spans="1:25" ht="39" x14ac:dyDescent="0.3">
      <c r="A35" s="7" t="str">
        <f t="shared" si="4"/>
        <v>1281</v>
      </c>
      <c r="B35" s="26" t="s">
        <v>829</v>
      </c>
      <c r="C35" s="45" t="s">
        <v>313</v>
      </c>
      <c r="D35" s="45">
        <v>1</v>
      </c>
      <c r="E35" s="46" t="str">
        <f>IF(ISNUMBER(SEARCH("CT",B35)),
   "CrossTransferStation[" &amp; (Q$3 + COUNTIF($B$2:B35,"*CT*") - 1) &amp; "]",
   IF( OR(ISNUMBER(SEARCH("TT",B35)), AND(ISNUMBER(SEARCH("C",B35)), NOT(ISNUMBER(SEARCH("CT",B35)))) ),
      "ConveyorStation[" &amp; (Q$2 + COUNTIFS($B$2:B35,"*C*",$B$2:B35,"&lt;&gt;*CT*") + COUNTIF($B$2:B35,"*TT*") - 1) &amp; "]",
      ""))</f>
        <v>CrossTransferStation[80]</v>
      </c>
      <c r="F35" s="9" t="s">
        <v>830</v>
      </c>
      <c r="G35" s="9"/>
      <c r="H35" s="9"/>
      <c r="I35" s="9"/>
      <c r="J35" s="9" t="s">
        <v>831</v>
      </c>
      <c r="K35" s="10" t="s">
        <v>470</v>
      </c>
      <c r="L35" s="47" t="s">
        <v>350</v>
      </c>
      <c r="M35" s="47" t="s">
        <v>351</v>
      </c>
      <c r="N35" s="11"/>
      <c r="O35" s="61"/>
      <c r="Y35" s="6"/>
    </row>
    <row r="36" spans="1:25" ht="13" x14ac:dyDescent="0.3">
      <c r="A36" s="60" t="str">
        <f>IF(ISNUMBER(SEARCH("CT",B36)),"1"&amp;MID(B36,2,FIND("CT",B36)-2)&amp;RIGHT(B36,1),MID(B36,2,FIND("C",B36)-2)&amp;RIGHT(B36,1))</f>
        <v>291</v>
      </c>
      <c r="B36" s="26" t="s">
        <v>832</v>
      </c>
      <c r="C36" s="45" t="s">
        <v>313</v>
      </c>
      <c r="D36" s="45">
        <v>1</v>
      </c>
      <c r="E36" s="46" t="str">
        <f>IF(ISNUMBER(SEARCH("CT",B36)),
   "CrossTransferStation[" &amp; (Q$3 + COUNTIF($B$2:B36,"*CT*") - 1) &amp; "]",
   IF( OR(ISNUMBER(SEARCH("TT",B36)), AND(ISNUMBER(SEARCH("C",B36)), NOT(ISNUMBER(SEARCH("CT",B36)))) ),
      "ConveyorStation[" &amp; (Q$2 + COUNTIFS($B$2:B36,"*C*",$B$2:B36,"&lt;&gt;*CT*") + COUNTIF($B$2:B36,"*TT*") - 1) &amp; "]",
      ""))</f>
        <v>ConveyorStation[190]</v>
      </c>
      <c r="F36" s="27"/>
      <c r="G36" s="27"/>
      <c r="H36" s="27"/>
      <c r="I36" s="27"/>
      <c r="J36" s="9" t="s">
        <v>833</v>
      </c>
      <c r="K36" s="27"/>
      <c r="L36" s="47" t="s">
        <v>350</v>
      </c>
      <c r="M36" s="47" t="s">
        <v>350</v>
      </c>
      <c r="N36" s="29"/>
      <c r="O36" s="61"/>
      <c r="Y36" s="6"/>
    </row>
    <row r="37" spans="1:25" ht="13" x14ac:dyDescent="0.3">
      <c r="A37" s="7" t="str">
        <f t="shared" ref="A37:A39" si="5">IF(ISNUMBER(SEARCH("CT",B37)),"1"&amp;MID(B37,2,FIND("CT",B37)-2)&amp;RIGHT(B37,1),MID(B37,2,FIND("C",B37)-2)&amp;RIGHT(B37,1))</f>
        <v>292</v>
      </c>
      <c r="B37" s="26" t="s">
        <v>834</v>
      </c>
      <c r="C37" s="45" t="s">
        <v>313</v>
      </c>
      <c r="D37" s="45">
        <v>1</v>
      </c>
      <c r="E37" s="46" t="str">
        <f>IF(ISNUMBER(SEARCH("CT",B37)),
   "CrossTransferStation[" &amp; (Q$3 + COUNTIF($B$2:B37,"*CT*") - 1) &amp; "]",
   IF( OR(ISNUMBER(SEARCH("TT",B37)), AND(ISNUMBER(SEARCH("C",B37)), NOT(ISNUMBER(SEARCH("CT",B37)))) ),
      "ConveyorStation[" &amp; (Q$2 + COUNTIFS($B$2:B37,"*C*",$B$2:B37,"&lt;&gt;*CT*") + COUNTIF($B$2:B37,"*TT*") - 1) &amp; "]",
      ""))</f>
        <v>ConveyorStation[191]</v>
      </c>
      <c r="F37" s="9" t="s">
        <v>835</v>
      </c>
      <c r="G37" s="9"/>
      <c r="H37" s="9"/>
      <c r="I37" s="9"/>
      <c r="J37" s="9" t="s">
        <v>836</v>
      </c>
      <c r="K37" s="9"/>
      <c r="L37" s="10" t="s">
        <v>350</v>
      </c>
      <c r="M37" s="10" t="s">
        <v>351</v>
      </c>
      <c r="N37" s="11"/>
      <c r="O37" s="61"/>
      <c r="Y37" s="6"/>
    </row>
    <row r="38" spans="1:25" ht="13" x14ac:dyDescent="0.3">
      <c r="A38" s="7" t="str">
        <f t="shared" si="5"/>
        <v>293</v>
      </c>
      <c r="B38" s="26" t="s">
        <v>837</v>
      </c>
      <c r="C38" s="45" t="s">
        <v>313</v>
      </c>
      <c r="D38" s="45">
        <v>1</v>
      </c>
      <c r="E38" s="46" t="str">
        <f>IF(ISNUMBER(SEARCH("CT",B38)),
   "CrossTransferStation[" &amp; (Q$3 + COUNTIF($B$2:B38,"*CT*") - 1) &amp; "]",
   IF( OR(ISNUMBER(SEARCH("TT",B38)), AND(ISNUMBER(SEARCH("C",B38)), NOT(ISNUMBER(SEARCH("CT",B38)))) ),
      "ConveyorStation[" &amp; (Q$2 + COUNTIFS($B$2:B38,"*C*",$B$2:B38,"&lt;&gt;*CT*") + COUNTIF($B$2:B38,"*TT*") - 1) &amp; "]",
      ""))</f>
        <v>ConveyorStation[192]</v>
      </c>
      <c r="F38" s="9" t="s">
        <v>838</v>
      </c>
      <c r="G38" s="9"/>
      <c r="H38" s="9"/>
      <c r="I38" s="9"/>
      <c r="J38" s="9" t="s">
        <v>839</v>
      </c>
      <c r="K38" s="9"/>
      <c r="L38" s="10" t="s">
        <v>350</v>
      </c>
      <c r="M38" s="10" t="s">
        <v>351</v>
      </c>
      <c r="N38" s="11"/>
      <c r="O38" s="61"/>
      <c r="Y38" s="6"/>
    </row>
    <row r="39" spans="1:25" ht="39" x14ac:dyDescent="0.3">
      <c r="A39" s="7" t="str">
        <f t="shared" si="5"/>
        <v>1291</v>
      </c>
      <c r="B39" s="26" t="s">
        <v>840</v>
      </c>
      <c r="C39" s="45" t="s">
        <v>313</v>
      </c>
      <c r="D39" s="45">
        <v>1</v>
      </c>
      <c r="E39" s="46" t="str">
        <f>IF(ISNUMBER(SEARCH("CT",B39)),
   "CrossTransferStation[" &amp; (Q$3 + COUNTIF($B$2:B39,"*CT*") - 1) &amp; "]",
   IF( OR(ISNUMBER(SEARCH("TT",B39)), AND(ISNUMBER(SEARCH("C",B39)), NOT(ISNUMBER(SEARCH("CT",B39)))) ),
      "ConveyorStation[" &amp; (Q$2 + COUNTIFS($B$2:B39,"*C*",$B$2:B39,"&lt;&gt;*CT*") + COUNTIF($B$2:B39,"*TT*") - 1) &amp; "]",
      ""))</f>
        <v>CrossTransferStation[81]</v>
      </c>
      <c r="F39" s="9" t="s">
        <v>841</v>
      </c>
      <c r="G39" s="9"/>
      <c r="H39" s="9"/>
      <c r="I39" s="9"/>
      <c r="J39" s="9" t="s">
        <v>842</v>
      </c>
      <c r="K39" s="10" t="s">
        <v>470</v>
      </c>
      <c r="L39" s="47" t="s">
        <v>350</v>
      </c>
      <c r="M39" s="47" t="s">
        <v>351</v>
      </c>
      <c r="N39" s="11"/>
      <c r="O39" s="61"/>
      <c r="Y39" s="6"/>
    </row>
    <row r="40" spans="1:25" ht="39" x14ac:dyDescent="0.3">
      <c r="A40" s="60" t="str">
        <f>IF(ISNUMBER(SEARCH("CT",B40)),"1"&amp;MID(B40,2,FIND("CT",B40)-2)&amp;RIGHT(B40,1),MID(B40,2,FIND("C",B40)-2)&amp;RIGHT(B40,1))</f>
        <v>302</v>
      </c>
      <c r="B40" s="26" t="s">
        <v>843</v>
      </c>
      <c r="C40" s="45" t="s">
        <v>313</v>
      </c>
      <c r="D40" s="45">
        <v>1</v>
      </c>
      <c r="E40" s="46" t="str">
        <f>IF(ISNUMBER(SEARCH("CT",B40)),
   "CrossTransferStation[" &amp; (Q$3 + COUNTIF($B$2:B40,"*CT*") - 1) &amp; "]",
   IF( OR(ISNUMBER(SEARCH("TT",B40)), AND(ISNUMBER(SEARCH("C",B40)), NOT(ISNUMBER(SEARCH("CT",B40)))) ),
      "ConveyorStation[" &amp; (Q$2 + COUNTIFS($B$2:B40,"*C*",$B$2:B40,"&lt;&gt;*CT*") + COUNTIF($B$2:B40,"*TT*") - 1) &amp; "]",
      ""))</f>
        <v>ConveyorStation[193]</v>
      </c>
      <c r="F40" s="9" t="s">
        <v>844</v>
      </c>
      <c r="G40" s="27"/>
      <c r="H40" s="27"/>
      <c r="I40" s="27"/>
      <c r="J40" s="53" t="s">
        <v>845</v>
      </c>
      <c r="K40" s="27"/>
      <c r="L40" s="28" t="s">
        <v>351</v>
      </c>
      <c r="M40" s="28" t="s">
        <v>351</v>
      </c>
      <c r="N40" s="29"/>
      <c r="O40" s="61"/>
      <c r="Y40" s="6"/>
    </row>
    <row r="41" spans="1:25" ht="39" x14ac:dyDescent="0.3">
      <c r="A41" s="7" t="str">
        <f>IF(ISNUMBER(SEARCH("CT",B41)),"1"&amp;MID(B41,2,FIND("CT",B41)-2)&amp;RIGHT(B41,1),MID(B41,2,FIND("C",B41)-2)&amp;RIGHT(B41,1))</f>
        <v>303</v>
      </c>
      <c r="B41" s="26" t="s">
        <v>846</v>
      </c>
      <c r="C41" s="45" t="s">
        <v>313</v>
      </c>
      <c r="D41" s="45">
        <v>1</v>
      </c>
      <c r="E41" s="46" t="str">
        <f>IF(ISNUMBER(SEARCH("CT",B41)),
   "CrossTransferStation[" &amp; (Q$3 + COUNTIF($B$2:B45,"*CT*") - 1) &amp; "]",
   IF( OR(ISNUMBER(SEARCH("TT",B41)), AND(ISNUMBER(SEARCH("C",B41)), NOT(ISNUMBER(SEARCH("CT",B41)))) ),
      "ConveyorStation[" &amp; (Q$2 + COUNTIFS($B$2:B45,"*C*",$B$2:B45,"&lt;&gt;*CT*") + COUNTIF($B$2:B45,"*TT*") - 1) &amp; "]",
      ""))</f>
        <v>ConveyorStation[194]</v>
      </c>
      <c r="F41" s="9" t="s">
        <v>847</v>
      </c>
      <c r="G41" s="9"/>
      <c r="H41" s="9"/>
      <c r="I41" s="9"/>
      <c r="J41" s="53" t="s">
        <v>848</v>
      </c>
      <c r="K41" s="9"/>
      <c r="L41" s="10" t="s">
        <v>351</v>
      </c>
      <c r="M41" s="10" t="s">
        <v>351</v>
      </c>
      <c r="N41" s="11"/>
      <c r="O41" s="61"/>
      <c r="Y41" s="6"/>
    </row>
    <row r="42" spans="1:25" ht="13" x14ac:dyDescent="0.3">
      <c r="A42" s="7"/>
      <c r="B42" s="8" t="s">
        <v>1923</v>
      </c>
      <c r="C42" s="8"/>
      <c r="D42" s="8"/>
      <c r="E42" s="9" t="s">
        <v>1919</v>
      </c>
      <c r="F42" s="9"/>
      <c r="G42" s="9"/>
      <c r="H42" s="46"/>
      <c r="I42" s="9"/>
      <c r="J42" s="9"/>
      <c r="K42" s="27"/>
      <c r="L42" s="10"/>
      <c r="M42" s="10"/>
      <c r="N42" s="11"/>
    </row>
    <row r="43" spans="1:25" ht="13" x14ac:dyDescent="0.3">
      <c r="A43" s="7"/>
      <c r="B43" s="8" t="s">
        <v>1924</v>
      </c>
      <c r="C43" s="8"/>
      <c r="D43" s="8"/>
      <c r="E43" s="9" t="s">
        <v>1920</v>
      </c>
      <c r="F43" s="9"/>
      <c r="G43" s="9"/>
      <c r="H43" s="46"/>
      <c r="I43" s="9"/>
      <c r="J43" s="9"/>
      <c r="K43" s="88"/>
      <c r="L43" s="10"/>
      <c r="M43" s="10"/>
      <c r="N43" s="11"/>
    </row>
    <row r="44" spans="1:25" ht="13" x14ac:dyDescent="0.3">
      <c r="A44" s="7"/>
      <c r="B44" s="8" t="s">
        <v>1925</v>
      </c>
      <c r="C44" s="8"/>
      <c r="D44" s="8"/>
      <c r="E44" s="9" t="s">
        <v>1921</v>
      </c>
      <c r="F44" s="9"/>
      <c r="G44" s="9"/>
      <c r="H44" s="46"/>
      <c r="I44" s="9"/>
      <c r="J44" s="9"/>
      <c r="K44" s="88"/>
      <c r="L44" s="10"/>
      <c r="M44" s="10"/>
      <c r="N44" s="11"/>
    </row>
    <row r="45" spans="1:25" ht="13" x14ac:dyDescent="0.3">
      <c r="A45" s="7"/>
      <c r="B45" s="8" t="s">
        <v>1926</v>
      </c>
      <c r="C45" s="8"/>
      <c r="D45" s="8"/>
      <c r="E45" s="9" t="s">
        <v>1922</v>
      </c>
      <c r="F45" s="9"/>
      <c r="G45" s="9"/>
      <c r="H45" s="46"/>
      <c r="I45" s="9"/>
      <c r="J45" s="9"/>
      <c r="K45" s="88"/>
      <c r="L45" s="10"/>
      <c r="M45" s="10"/>
      <c r="N45" s="11"/>
    </row>
  </sheetData>
  <phoneticPr fontId="10" type="noConversion"/>
  <pageMargins left="0.7" right="0.7" top="0.75" bottom="0.75" header="0.3" footer="0.3"/>
  <ignoredErrors>
    <ignoredError sqref="T14" formula="1"/>
    <ignoredError sqref="E41:E45" calculatedColumn="1"/>
  </ignoredErrors>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EDDC1-C1C5-4E9C-8A0D-10FCFF79DB0F}">
  <dimension ref="A1:Y16"/>
  <sheetViews>
    <sheetView zoomScaleNormal="100" workbookViewId="0">
      <selection activeCell="I8" sqref="I8"/>
    </sheetView>
  </sheetViews>
  <sheetFormatPr defaultColWidth="10.54296875" defaultRowHeight="14.5" x14ac:dyDescent="0.35"/>
  <cols>
    <col min="1" max="1" width="7.1796875" style="30" customWidth="1"/>
    <col min="2" max="2" width="10.81640625" style="30" bestFit="1" customWidth="1"/>
    <col min="3" max="3" width="10.453125" style="30" bestFit="1" customWidth="1"/>
    <col min="4" max="4" width="11.453125" style="30" bestFit="1" customWidth="1"/>
    <col min="5" max="5" width="34.1796875" style="31" bestFit="1" customWidth="1"/>
    <col min="6" max="6" width="20.26953125" style="31" bestFit="1" customWidth="1"/>
    <col min="7" max="7" width="24" customWidth="1"/>
    <col min="8" max="8" width="18.81640625" style="31" customWidth="1"/>
    <col min="9" max="9" width="28.7265625" style="31" bestFit="1" customWidth="1"/>
    <col min="10" max="10" width="38.453125" style="31" customWidth="1"/>
    <col min="11" max="11" width="27" style="31" customWidth="1"/>
    <col min="12" max="12" width="16.453125" style="31" customWidth="1"/>
    <col min="13" max="13" width="15.7265625" style="30" bestFit="1" customWidth="1"/>
    <col min="14" max="14" width="28.26953125" style="30" customWidth="1"/>
    <col min="15" max="15" width="12.26953125" style="30" bestFit="1" customWidth="1"/>
    <col min="16" max="16" width="10.81640625" style="61" bestFit="1" customWidth="1"/>
    <col min="17" max="17" width="17.81640625" style="61" bestFit="1" customWidth="1"/>
    <col min="18" max="18" width="4.453125" style="61" bestFit="1" customWidth="1"/>
    <col min="19" max="19" width="4.7265625" style="61" bestFit="1" customWidth="1"/>
    <col min="20" max="20" width="11.26953125" style="61" bestFit="1" customWidth="1"/>
    <col min="21" max="21" width="11.54296875" style="61" bestFit="1" customWidth="1"/>
    <col min="22" max="25" width="10.54296875" style="61"/>
    <col min="26" max="16384" width="10.54296875" style="6"/>
  </cols>
  <sheetData>
    <row r="1" spans="1:25" ht="26" x14ac:dyDescent="0.3">
      <c r="A1" s="1" t="s">
        <v>334</v>
      </c>
      <c r="B1" s="2" t="s">
        <v>308</v>
      </c>
      <c r="C1" s="2" t="s">
        <v>335</v>
      </c>
      <c r="D1" s="2" t="s">
        <v>336</v>
      </c>
      <c r="E1" s="3" t="s">
        <v>337</v>
      </c>
      <c r="F1" s="3" t="s">
        <v>338</v>
      </c>
      <c r="G1" s="3" t="s">
        <v>459</v>
      </c>
      <c r="H1" s="3" t="s">
        <v>340</v>
      </c>
      <c r="I1" s="3" t="s">
        <v>341</v>
      </c>
      <c r="J1" s="3" t="s">
        <v>342</v>
      </c>
      <c r="K1" s="3" t="s">
        <v>343</v>
      </c>
      <c r="L1" s="4" t="s">
        <v>344</v>
      </c>
      <c r="M1" s="4" t="s">
        <v>345</v>
      </c>
      <c r="N1" s="5" t="s">
        <v>346</v>
      </c>
      <c r="O1" s="61"/>
      <c r="Y1" s="6"/>
    </row>
    <row r="2" spans="1:25" ht="13" x14ac:dyDescent="0.3">
      <c r="A2" s="44" t="str">
        <f t="shared" ref="A2:A7" si="0">IF(ISNUMBER(SEARCH("CT",B2)),"1"&amp;MID(B2,2,FIND("CT",B2)-2)&amp;RIGHT(B2,1),MID(B2,2,FIND("C",B2)-2)&amp;RIGHT(B2,1))</f>
        <v>321</v>
      </c>
      <c r="B2" s="45" t="s">
        <v>849</v>
      </c>
      <c r="C2" s="45" t="s">
        <v>314</v>
      </c>
      <c r="D2" s="45">
        <v>1</v>
      </c>
      <c r="E2" s="46" t="str">
        <f>IF(ISNUMBER(SEARCH("CT",B2)),
   "CrossTransferStation[" &amp; (Q$3 + COUNTIF($B$2:B2,"*CT*") - 1) &amp; "]",
   IF( OR(ISNUMBER(SEARCH("TT",B2)), AND(ISNUMBER(SEARCH("C",B2)), NOT(ISNUMBER(SEARCH("CT",B2)))) ),
      "ConveyorStation[" &amp; (Q$2 + COUNTIFS($B$2:B2,"*C*",$B$2:B2,"&lt;&gt;*CT*") + COUNTIF($B$2:B2,"*TT*") - 1) &amp; "]",
      ""))</f>
        <v>ConveyorStation[205]</v>
      </c>
      <c r="F2" s="9"/>
      <c r="G2" s="53"/>
      <c r="H2" s="9"/>
      <c r="I2" s="9"/>
      <c r="J2" s="53" t="s">
        <v>850</v>
      </c>
      <c r="K2" s="9"/>
      <c r="L2" s="47" t="s">
        <v>350</v>
      </c>
      <c r="M2" s="47" t="s">
        <v>350</v>
      </c>
      <c r="N2" s="11"/>
      <c r="O2" s="61"/>
      <c r="P2" s="62" t="s">
        <v>352</v>
      </c>
      <c r="Q2" s="63">
        <v>205</v>
      </c>
      <c r="Y2" s="6"/>
    </row>
    <row r="3" spans="1:25" ht="52" x14ac:dyDescent="0.3">
      <c r="A3" s="44" t="str">
        <f t="shared" si="0"/>
        <v>1321</v>
      </c>
      <c r="B3" s="45" t="s">
        <v>851</v>
      </c>
      <c r="C3" s="45" t="s">
        <v>314</v>
      </c>
      <c r="D3" s="45">
        <v>1</v>
      </c>
      <c r="E3" s="46" t="str">
        <f>IF(ISNUMBER(SEARCH("CT",B3)),
   "CrossTransferStation[" &amp; (Q$3 + COUNTIF($B$2:B3,"*CT*") - 1) &amp; "]",
   IF( OR(ISNUMBER(SEARCH("TT",B3)), AND(ISNUMBER(SEARCH("C",B3)), NOT(ISNUMBER(SEARCH("CT",B3)))) ),
      "ConveyorStation[" &amp; (Q$2 + COUNTIFS($B$2:B3,"*C*",$B$2:B3,"&lt;&gt;*CT*") + COUNTIF($B$2:B3,"*TT*") - 1) &amp; "]",
      ""))</f>
        <v>CrossTransferStation[92]</v>
      </c>
      <c r="F3" s="9"/>
      <c r="G3" s="9"/>
      <c r="H3" s="9"/>
      <c r="I3" s="9"/>
      <c r="J3" s="9" t="s">
        <v>852</v>
      </c>
      <c r="K3" s="9"/>
      <c r="L3" s="47" t="s">
        <v>350</v>
      </c>
      <c r="M3" s="47" t="s">
        <v>350</v>
      </c>
      <c r="N3" s="11"/>
      <c r="O3" s="61"/>
      <c r="P3" s="62" t="s">
        <v>356</v>
      </c>
      <c r="Q3" s="63">
        <v>92</v>
      </c>
      <c r="Y3" s="6"/>
    </row>
    <row r="4" spans="1:25" ht="39" x14ac:dyDescent="0.3">
      <c r="A4" s="23" t="str">
        <f t="shared" si="0"/>
        <v>331</v>
      </c>
      <c r="B4" s="48" t="s">
        <v>853</v>
      </c>
      <c r="C4" s="45" t="s">
        <v>314</v>
      </c>
      <c r="D4" s="45">
        <v>1</v>
      </c>
      <c r="E4" s="46" t="str">
        <f>IF(ISNUMBER(SEARCH("CT",B4)),
   "CrossTransferStation[" &amp; (Q$3 + COUNTIF($B$2:B4,"*CT*") - 1) &amp; "]",
   IF( OR(ISNUMBER(SEARCH("TT",B4)), AND(ISNUMBER(SEARCH("C",B4)), NOT(ISNUMBER(SEARCH("CT",B4)))) ),
      "ConveyorStation[" &amp; (Q$2 + COUNTIFS($B$2:B4,"*C*",$B$2:B4,"&lt;&gt;*CT*") + COUNTIF($B$2:B4,"*TT*") - 1) &amp; "]",
      ""))</f>
        <v>ConveyorStation[206]</v>
      </c>
      <c r="F4" s="9"/>
      <c r="G4" s="9"/>
      <c r="H4" s="9"/>
      <c r="I4" s="9"/>
      <c r="J4" s="9" t="s">
        <v>854</v>
      </c>
      <c r="K4" s="9"/>
      <c r="L4" s="24" t="s">
        <v>350</v>
      </c>
      <c r="M4" s="24" t="s">
        <v>350</v>
      </c>
      <c r="N4" s="11"/>
      <c r="O4" s="61"/>
      <c r="P4" s="62"/>
      <c r="Q4" s="64"/>
      <c r="Y4" s="6"/>
    </row>
    <row r="5" spans="1:25" ht="78" x14ac:dyDescent="0.3">
      <c r="A5" s="44" t="str">
        <f t="shared" si="0"/>
        <v>333</v>
      </c>
      <c r="B5" s="48" t="s">
        <v>855</v>
      </c>
      <c r="C5" s="45" t="s">
        <v>314</v>
      </c>
      <c r="D5" s="45">
        <v>1</v>
      </c>
      <c r="E5" s="46" t="str">
        <f>IF(ISNUMBER(SEARCH("CT",B5)),
   "CrossTransferStation[" &amp; (Q$3 + COUNTIF($B$2:B5,"*CT*") - 1) &amp; "]",
   IF( OR(ISNUMBER(SEARCH("TT",B5)), AND(ISNUMBER(SEARCH("C",B5)), NOT(ISNUMBER(SEARCH("CT",B5)))) ),
      "ConveyorStation[" &amp; (Q$2 + COUNTIFS($B$2:B5,"*C*",$B$2:B5,"&lt;&gt;*CT*") + COUNTIF($B$2:B5,"*TT*") - 1) &amp; "]",
      ""))</f>
        <v>ConveyorStation[207]</v>
      </c>
      <c r="F5" s="9" t="s">
        <v>856</v>
      </c>
      <c r="G5" s="149" t="s">
        <v>1780</v>
      </c>
      <c r="H5" s="149" t="s">
        <v>1781</v>
      </c>
      <c r="I5" s="9"/>
      <c r="J5" s="9" t="s">
        <v>857</v>
      </c>
      <c r="K5" s="9"/>
      <c r="L5" s="47" t="s">
        <v>351</v>
      </c>
      <c r="M5" s="146" t="s">
        <v>351</v>
      </c>
      <c r="N5" s="152" t="s">
        <v>1783</v>
      </c>
      <c r="O5" s="61"/>
      <c r="Y5" s="6"/>
    </row>
    <row r="6" spans="1:25" ht="26" x14ac:dyDescent="0.3">
      <c r="A6" s="44" t="str">
        <f t="shared" si="0"/>
        <v>342</v>
      </c>
      <c r="B6" s="48" t="s">
        <v>858</v>
      </c>
      <c r="C6" s="45" t="s">
        <v>314</v>
      </c>
      <c r="D6" s="45">
        <v>1</v>
      </c>
      <c r="E6" s="46" t="str">
        <f>IF(ISNUMBER(SEARCH("CT",B6)),
   "CrossTransferStation[" &amp; (Q$3 + COUNTIF($B$2:B6,"*CT*") - 1) &amp; "]",
   IF( OR(ISNUMBER(SEARCH("TT",B6)), AND(ISNUMBER(SEARCH("C",B6)), NOT(ISNUMBER(SEARCH("CT",B6)))) ),
      "ConveyorStation[" &amp; (Q$2 + COUNTIFS($B$2:B6,"*C*",$B$2:B6,"&lt;&gt;*CT*") + COUNTIF($B$2:B6,"*TT*") - 1) &amp; "]",
      ""))</f>
        <v>ConveyorStation[208]</v>
      </c>
      <c r="F6" s="9"/>
      <c r="G6" s="9"/>
      <c r="H6" s="9"/>
      <c r="I6" s="9"/>
      <c r="J6" s="9" t="s">
        <v>859</v>
      </c>
      <c r="K6" s="27"/>
      <c r="L6" s="49" t="s">
        <v>350</v>
      </c>
      <c r="M6" s="49" t="s">
        <v>350</v>
      </c>
      <c r="N6" s="11"/>
      <c r="O6" s="61"/>
      <c r="P6" s="65" t="s">
        <v>308</v>
      </c>
      <c r="Q6" s="65" t="s">
        <v>365</v>
      </c>
      <c r="R6" s="65" t="s">
        <v>366</v>
      </c>
      <c r="S6" s="65" t="s">
        <v>367</v>
      </c>
      <c r="T6" s="65" t="s">
        <v>368</v>
      </c>
      <c r="Y6" s="6"/>
    </row>
    <row r="7" spans="1:25" ht="78" x14ac:dyDescent="0.3">
      <c r="A7" s="44" t="str">
        <f t="shared" si="0"/>
        <v>343</v>
      </c>
      <c r="B7" s="48" t="s">
        <v>860</v>
      </c>
      <c r="C7" s="45" t="s">
        <v>314</v>
      </c>
      <c r="D7" s="45">
        <v>1</v>
      </c>
      <c r="E7" s="46" t="str">
        <f>IF(ISNUMBER(SEARCH("CT",B7)),
   "CrossTransferStation[" &amp; (Q$3 + COUNTIF($B$2:B8,"*CT*") - 1) &amp; "]",
   IF( OR(ISNUMBER(SEARCH("TT",B7)), AND(ISNUMBER(SEARCH("C",B7)), NOT(ISNUMBER(SEARCH("CT",B7)))) ),
      "ConveyorStation[" &amp; (Q$2 + COUNTIFS($B$2:B8,"*C*",$B$2:B8,"&lt;&gt;*CT*") + COUNTIF($B$2:B8,"*TT*") - 1) &amp; "]",
      ""))</f>
        <v>ConveyorStation[209]</v>
      </c>
      <c r="F7" s="9" t="s">
        <v>861</v>
      </c>
      <c r="G7" s="149" t="s">
        <v>1779</v>
      </c>
      <c r="H7" s="149" t="s">
        <v>1782</v>
      </c>
      <c r="I7" s="9"/>
      <c r="J7" s="9" t="s">
        <v>862</v>
      </c>
      <c r="K7" s="10" t="s">
        <v>470</v>
      </c>
      <c r="L7" s="146" t="s">
        <v>351</v>
      </c>
      <c r="M7" s="47" t="s">
        <v>351</v>
      </c>
      <c r="N7" s="152" t="s">
        <v>1783</v>
      </c>
      <c r="O7" s="61"/>
      <c r="P7" s="9" t="s">
        <v>322</v>
      </c>
      <c r="Q7" s="63">
        <v>205</v>
      </c>
      <c r="R7" s="63">
        <v>209</v>
      </c>
      <c r="S7" s="63">
        <v>10</v>
      </c>
      <c r="T7" s="66">
        <f>SUM(R7:S7)+1</f>
        <v>220</v>
      </c>
      <c r="U7" s="42">
        <f>T7-S7-Q7</f>
        <v>5</v>
      </c>
      <c r="Y7" s="6"/>
    </row>
    <row r="8" spans="1:25" ht="26" x14ac:dyDescent="0.3">
      <c r="A8" s="7"/>
      <c r="B8" s="8" t="s">
        <v>1928</v>
      </c>
      <c r="C8" s="45" t="s">
        <v>314</v>
      </c>
      <c r="D8" s="45">
        <v>1</v>
      </c>
      <c r="E8" s="46" t="s">
        <v>1927</v>
      </c>
      <c r="F8" s="9"/>
      <c r="G8" s="46"/>
      <c r="H8" s="9"/>
      <c r="I8" s="9"/>
      <c r="J8" s="9"/>
      <c r="K8" s="27"/>
      <c r="L8" s="10"/>
      <c r="M8" s="10"/>
      <c r="N8" s="11"/>
      <c r="P8" s="9" t="s">
        <v>323</v>
      </c>
      <c r="Q8" s="63">
        <v>92</v>
      </c>
      <c r="R8" s="63">
        <v>92</v>
      </c>
      <c r="S8" s="63">
        <v>10</v>
      </c>
      <c r="T8" s="66">
        <f t="shared" ref="T8:T10" si="1">SUM(R8:S8)+1</f>
        <v>103</v>
      </c>
      <c r="U8" s="42">
        <f t="shared" ref="U8:U10" si="2">T8-S8-Q8</f>
        <v>1</v>
      </c>
    </row>
    <row r="9" spans="1:25" ht="26" x14ac:dyDescent="0.35">
      <c r="P9" s="9" t="s">
        <v>325</v>
      </c>
      <c r="Q9" s="63">
        <v>61</v>
      </c>
      <c r="R9" s="63">
        <v>61</v>
      </c>
      <c r="S9" s="63">
        <v>10</v>
      </c>
      <c r="T9" s="66">
        <f t="shared" si="1"/>
        <v>72</v>
      </c>
      <c r="U9" s="42">
        <f t="shared" si="2"/>
        <v>1</v>
      </c>
      <c r="V9" s="6"/>
    </row>
    <row r="10" spans="1:25" ht="26" x14ac:dyDescent="0.35">
      <c r="P10" s="9" t="s">
        <v>326</v>
      </c>
      <c r="Q10" s="63">
        <v>78</v>
      </c>
      <c r="R10" s="63">
        <v>78</v>
      </c>
      <c r="S10" s="63">
        <v>10</v>
      </c>
      <c r="T10" s="66">
        <f t="shared" si="1"/>
        <v>89</v>
      </c>
      <c r="U10" s="42">
        <f t="shared" si="2"/>
        <v>1</v>
      </c>
      <c r="V10" s="6"/>
    </row>
    <row r="11" spans="1:25" ht="26" x14ac:dyDescent="0.35">
      <c r="P11" s="9" t="s">
        <v>327</v>
      </c>
      <c r="Q11" s="63"/>
      <c r="R11" s="63"/>
      <c r="S11" s="63"/>
      <c r="T11" s="66">
        <f>[2]Outbound!T12</f>
        <v>0</v>
      </c>
      <c r="U11" s="42"/>
      <c r="V11" s="6"/>
    </row>
    <row r="12" spans="1:25" ht="26" x14ac:dyDescent="0.35">
      <c r="P12" s="9" t="s">
        <v>328</v>
      </c>
      <c r="Q12" s="63"/>
      <c r="R12" s="63"/>
      <c r="S12" s="63"/>
      <c r="T12" s="66">
        <f>[2]Outbound!T13</f>
        <v>0</v>
      </c>
      <c r="U12" s="42"/>
      <c r="V12" s="6"/>
    </row>
    <row r="13" spans="1:25" ht="26" x14ac:dyDescent="0.35">
      <c r="P13" s="9" t="s">
        <v>329</v>
      </c>
      <c r="Q13" s="63"/>
      <c r="R13" s="63"/>
      <c r="S13" s="63"/>
      <c r="T13" s="66">
        <f>[2]Outbound!T14</f>
        <v>0</v>
      </c>
      <c r="U13" s="42"/>
      <c r="V13" s="6"/>
    </row>
    <row r="14" spans="1:25" ht="26" x14ac:dyDescent="0.35">
      <c r="P14" s="9" t="s">
        <v>185</v>
      </c>
      <c r="Q14" s="63"/>
      <c r="R14" s="66"/>
      <c r="S14" s="63"/>
      <c r="T14" s="66">
        <f>[2]Outbound!T15</f>
        <v>0</v>
      </c>
      <c r="U14" s="42"/>
    </row>
    <row r="15" spans="1:25" ht="26" x14ac:dyDescent="0.35">
      <c r="P15" s="9" t="s">
        <v>330</v>
      </c>
      <c r="Q15" s="63"/>
      <c r="R15" s="66"/>
      <c r="S15" s="63"/>
      <c r="T15" s="66">
        <f>[2]Outbound!T16</f>
        <v>0</v>
      </c>
      <c r="U15" s="42"/>
    </row>
    <row r="16" spans="1:25" x14ac:dyDescent="0.35">
      <c r="P16" s="9" t="s">
        <v>331</v>
      </c>
      <c r="Q16" s="63">
        <v>5</v>
      </c>
      <c r="R16" s="63">
        <v>6</v>
      </c>
      <c r="S16" s="63"/>
      <c r="T16" s="66">
        <f>[2]Outbound!T17</f>
        <v>0</v>
      </c>
      <c r="U16" s="42"/>
    </row>
  </sheetData>
  <phoneticPr fontId="10" type="noConversion"/>
  <pageMargins left="0.7" right="0.7" top="0.75" bottom="0.75" header="0.3" footer="0.3"/>
  <ignoredErrors>
    <ignoredError sqref="E7:E8" calculatedColumn="1"/>
  </ignoredErrors>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27BB4-1F71-4756-A3F2-2B5D99700654}">
  <dimension ref="A1:X52"/>
  <sheetViews>
    <sheetView topLeftCell="A35" zoomScale="89" zoomScaleNormal="100" workbookViewId="0">
      <selection activeCell="G46" sqref="G46"/>
    </sheetView>
  </sheetViews>
  <sheetFormatPr defaultColWidth="10.54296875" defaultRowHeight="13" x14ac:dyDescent="0.3"/>
  <cols>
    <col min="1" max="1" width="7.1796875" style="30" customWidth="1"/>
    <col min="2" max="2" width="21.453125" style="30" customWidth="1"/>
    <col min="3" max="3" width="11.26953125" style="30" bestFit="1" customWidth="1"/>
    <col min="4" max="4" width="12.26953125" style="30" bestFit="1" customWidth="1"/>
    <col min="5" max="5" width="38.26953125" style="31" bestFit="1" customWidth="1"/>
    <col min="6" max="6" width="23.1796875" style="31" customWidth="1"/>
    <col min="7" max="7" width="18.81640625" style="31" customWidth="1"/>
    <col min="8" max="9" width="16.453125" style="31" customWidth="1"/>
    <col min="10" max="10" width="31.26953125" style="31" customWidth="1"/>
    <col min="11" max="11" width="27.26953125" style="31" customWidth="1"/>
    <col min="12" max="13" width="15.7265625" style="30" bestFit="1" customWidth="1"/>
    <col min="14" max="14" width="12.26953125" style="30" bestFit="1" customWidth="1"/>
    <col min="15" max="15" width="4.453125" style="61" customWidth="1"/>
    <col min="16" max="16" width="18.81640625" style="61" bestFit="1" customWidth="1"/>
    <col min="17" max="17" width="5.1796875" style="61" bestFit="1" customWidth="1"/>
    <col min="18" max="18" width="4.7265625" style="61" bestFit="1" customWidth="1"/>
    <col min="19" max="19" width="11.26953125" style="61" bestFit="1" customWidth="1"/>
    <col min="20" max="20" width="11.54296875" style="61" bestFit="1" customWidth="1"/>
    <col min="21" max="24" width="10.54296875" style="61"/>
    <col min="25" max="16384" width="10.54296875" style="6"/>
  </cols>
  <sheetData>
    <row r="1" spans="1:21" ht="26" x14ac:dyDescent="0.3">
      <c r="A1" s="1" t="s">
        <v>334</v>
      </c>
      <c r="B1" s="2" t="s">
        <v>308</v>
      </c>
      <c r="C1" s="2" t="s">
        <v>335</v>
      </c>
      <c r="D1" s="2" t="s">
        <v>336</v>
      </c>
      <c r="E1" s="3" t="s">
        <v>337</v>
      </c>
      <c r="F1" s="3" t="s">
        <v>338</v>
      </c>
      <c r="G1" s="3" t="s">
        <v>459</v>
      </c>
      <c r="H1" s="3" t="s">
        <v>340</v>
      </c>
      <c r="I1" s="3" t="s">
        <v>341</v>
      </c>
      <c r="J1" s="3" t="s">
        <v>342</v>
      </c>
      <c r="K1" s="3" t="s">
        <v>343</v>
      </c>
      <c r="L1" s="4" t="s">
        <v>344</v>
      </c>
      <c r="M1" s="4" t="s">
        <v>345</v>
      </c>
      <c r="N1" s="5" t="s">
        <v>346</v>
      </c>
    </row>
    <row r="2" spans="1:21" x14ac:dyDescent="0.3">
      <c r="A2" s="44" t="str">
        <f t="shared" ref="A2:A7" si="0">IF(ISNUMBER(SEARCH("CT",B2)),"1"&amp;MID(B2,2,FIND("CT",B2)-2)&amp;RIGHT(B2,1),MID(B2,2,FIND("C",B2)-2)&amp;RIGHT(B2,1))</f>
        <v>351</v>
      </c>
      <c r="B2" s="45" t="s">
        <v>863</v>
      </c>
      <c r="C2" s="45" t="s">
        <v>315</v>
      </c>
      <c r="D2" s="45">
        <v>1</v>
      </c>
      <c r="E2" s="46" t="str">
        <f>IF(ISNUMBER(SEARCH("CT",B2)),
   "CrossTransferStation[" &amp; (Q$3 + COUNTIF($B$2:B2,"*CT*") - 1) &amp; "]",
   IF( OR(ISNUMBER(SEARCH("TT",B2)), AND(ISNUMBER(SEARCH("C",B2)), NOT(ISNUMBER(SEARCH("CT",B2)))) ),
      "ConveyorStation[" &amp; (Q$2 + COUNTIFS($B$2:B2,"*C*",$B$2:B2,"&lt;&gt;*CT*") + COUNTIF($B$2:B2,"*TT*") - 1) &amp; "]",
      ""))</f>
        <v>ConveyorStation[220]</v>
      </c>
      <c r="F2" s="9" t="s">
        <v>864</v>
      </c>
      <c r="G2" s="53"/>
      <c r="H2" s="9"/>
      <c r="I2" s="9"/>
      <c r="J2" s="9" t="s">
        <v>865</v>
      </c>
      <c r="K2" s="9"/>
      <c r="L2" s="47" t="s">
        <v>351</v>
      </c>
      <c r="M2" s="47" t="s">
        <v>350</v>
      </c>
      <c r="N2" s="11"/>
      <c r="P2" s="62" t="s">
        <v>352</v>
      </c>
      <c r="Q2" s="63">
        <v>220</v>
      </c>
    </row>
    <row r="3" spans="1:21" ht="26" x14ac:dyDescent="0.3">
      <c r="A3" s="44" t="str">
        <f t="shared" si="0"/>
        <v>1361</v>
      </c>
      <c r="B3" s="45" t="s">
        <v>866</v>
      </c>
      <c r="C3" s="45" t="s">
        <v>315</v>
      </c>
      <c r="D3" s="45">
        <v>1</v>
      </c>
      <c r="E3" s="46" t="str">
        <f>IF(ISNUMBER(SEARCH("CT",B3)),
   "CrossTransferStation[" &amp; (Q$3 + COUNTIF($B$2:B3,"*CT*") - 1) &amp; "]",
   IF( OR(ISNUMBER(SEARCH("TT",B3)), AND(ISNUMBER(SEARCH("C",B3)), NOT(ISNUMBER(SEARCH("CT",B3)))) ),
      "ConveyorStation[" &amp; (Q$2 + COUNTIFS($B$2:B3,"*C*",$B$2:B3,"&lt;&gt;*CT*") + COUNTIF($B$2:B3,"*TT*") - 1) &amp; "]",
      ""))</f>
        <v>CrossTransferStation[103]</v>
      </c>
      <c r="F3" s="9" t="s">
        <v>867</v>
      </c>
      <c r="G3" s="9"/>
      <c r="H3" s="9"/>
      <c r="I3" s="9"/>
      <c r="J3" s="9" t="s">
        <v>868</v>
      </c>
      <c r="K3" s="9"/>
      <c r="L3" s="47" t="s">
        <v>351</v>
      </c>
      <c r="M3" s="47" t="s">
        <v>350</v>
      </c>
      <c r="N3" s="11"/>
      <c r="P3" s="62" t="s">
        <v>356</v>
      </c>
      <c r="Q3" s="63">
        <v>103</v>
      </c>
    </row>
    <row r="4" spans="1:21" ht="52" x14ac:dyDescent="0.3">
      <c r="A4" s="23" t="str">
        <f t="shared" si="0"/>
        <v>371</v>
      </c>
      <c r="B4" s="48" t="s">
        <v>869</v>
      </c>
      <c r="C4" s="45" t="s">
        <v>315</v>
      </c>
      <c r="D4" s="45">
        <v>1</v>
      </c>
      <c r="E4" s="46" t="str">
        <f>IF(ISNUMBER(SEARCH("CT",B4)),
   "CrossTransferStation[" &amp; (Q$3 + COUNTIF($B$2:B4,"*CT*") - 1) &amp; "]",
   IF( OR(ISNUMBER(SEARCH("TT",B4)), AND(ISNUMBER(SEARCH("C",B4)), NOT(ISNUMBER(SEARCH("CT",B4)))) ),
      "ConveyorStation[" &amp; (Q$2 + COUNTIFS($B$2:B4,"*C*",$B$2:B4,"&lt;&gt;*CT*") + COUNTIF($B$2:B4,"*TT*") - 1) &amp; "]",
      ""))</f>
        <v>ConveyorStation[221]</v>
      </c>
      <c r="F4" s="9" t="s">
        <v>870</v>
      </c>
      <c r="G4" s="9"/>
      <c r="H4" s="9"/>
      <c r="I4" s="9"/>
      <c r="J4" s="9" t="s">
        <v>871</v>
      </c>
      <c r="K4" s="9"/>
      <c r="L4" s="24" t="s">
        <v>350</v>
      </c>
      <c r="M4" s="24" t="s">
        <v>350</v>
      </c>
      <c r="N4" s="11"/>
      <c r="P4" s="62"/>
      <c r="Q4" s="64"/>
    </row>
    <row r="5" spans="1:21" ht="39" x14ac:dyDescent="0.3">
      <c r="A5" s="44" t="str">
        <f t="shared" si="0"/>
        <v>372</v>
      </c>
      <c r="B5" s="48" t="s">
        <v>872</v>
      </c>
      <c r="C5" s="45" t="s">
        <v>315</v>
      </c>
      <c r="D5" s="45">
        <v>1</v>
      </c>
      <c r="E5" s="46" t="str">
        <f>IF(ISNUMBER(SEARCH("CT",B5)),
   "CrossTransferStation[" &amp; (Q$3 + COUNTIF($B$2:B5,"*CT*") - 1) &amp; "]",
   IF( OR(ISNUMBER(SEARCH("TT",B5)), AND(ISNUMBER(SEARCH("C",B5)), NOT(ISNUMBER(SEARCH("CT",B5)))) ),
      "ConveyorStation[" &amp; (Q$2 + COUNTIFS($B$2:B5,"*C*",$B$2:B5,"&lt;&gt;*CT*") + COUNTIF($B$2:B5,"*TT*") - 1) &amp; "]",
      ""))</f>
        <v>ConveyorStation[222]</v>
      </c>
      <c r="F5" s="9" t="s">
        <v>873</v>
      </c>
      <c r="G5" s="9"/>
      <c r="H5" s="9"/>
      <c r="I5" s="9"/>
      <c r="J5" s="9" t="s">
        <v>874</v>
      </c>
      <c r="K5" s="10" t="s">
        <v>470</v>
      </c>
      <c r="L5" s="47" t="s">
        <v>350</v>
      </c>
      <c r="M5" s="47" t="s">
        <v>351</v>
      </c>
      <c r="N5" s="11"/>
    </row>
    <row r="6" spans="1:21" ht="26" x14ac:dyDescent="0.3">
      <c r="A6" s="44" t="str">
        <f t="shared" si="0"/>
        <v>1371</v>
      </c>
      <c r="B6" s="48" t="s">
        <v>875</v>
      </c>
      <c r="C6" s="45" t="s">
        <v>315</v>
      </c>
      <c r="D6" s="45">
        <v>1</v>
      </c>
      <c r="E6" s="46" t="str">
        <f>IF(ISNUMBER(SEARCH("CT",B6)),
   "CrossTransferStation[" &amp; (Q$3 + COUNTIF($B$2:B6,"*CT*") - 1) &amp; "]",
   IF( OR(ISNUMBER(SEARCH("TT",B6)), AND(ISNUMBER(SEARCH("C",B6)), NOT(ISNUMBER(SEARCH("CT",B6)))) ),
      "ConveyorStation[" &amp; (Q$2 + COUNTIFS($B$2:B6,"*C*",$B$2:B6,"&lt;&gt;*CT*") + COUNTIF($B$2:B6,"*TT*") - 1) &amp; "]",
      ""))</f>
        <v>CrossTransferStation[104]</v>
      </c>
      <c r="F6" s="9" t="s">
        <v>876</v>
      </c>
      <c r="G6" s="9"/>
      <c r="H6" s="9"/>
      <c r="I6" s="9"/>
      <c r="J6" s="9" t="s">
        <v>877</v>
      </c>
      <c r="K6" s="27"/>
      <c r="L6" s="49" t="s">
        <v>350</v>
      </c>
      <c r="M6" s="49" t="s">
        <v>351</v>
      </c>
      <c r="N6" s="11"/>
      <c r="P6" s="65" t="s">
        <v>308</v>
      </c>
      <c r="Q6" s="65" t="s">
        <v>365</v>
      </c>
      <c r="R6" s="65" t="s">
        <v>366</v>
      </c>
      <c r="S6" s="65" t="s">
        <v>367</v>
      </c>
      <c r="T6" s="65" t="s">
        <v>368</v>
      </c>
    </row>
    <row r="7" spans="1:21" ht="14.5" x14ac:dyDescent="0.3">
      <c r="A7" s="44" t="str">
        <f t="shared" si="0"/>
        <v>1171</v>
      </c>
      <c r="B7" s="48" t="s">
        <v>878</v>
      </c>
      <c r="C7" s="45" t="s">
        <v>315</v>
      </c>
      <c r="D7" s="45">
        <v>1</v>
      </c>
      <c r="E7" s="46" t="str">
        <f>IF(ISNUMBER(SEARCH("CT",B7)),
   "CrossTransferStation[" &amp; (Q$3 + COUNTIF($B$2:B7,"*CT*") - 1) &amp; "]",
   IF( OR(ISNUMBER(SEARCH("TT",B7)), AND(ISNUMBER(SEARCH("C",B7)), NOT(ISNUMBER(SEARCH("CT",B7)))) ),
      "ConveyorStation[" &amp; (Q$2 + COUNTIFS($B$2:B7,"*C*",$B$2:B7,"&lt;&gt;*CT*") + COUNTIF($B$2:B7,"*TT*") - 1) &amp; "]",
      ""))</f>
        <v>ConveyorStation[223]</v>
      </c>
      <c r="F7" s="9"/>
      <c r="G7" s="9"/>
      <c r="H7" s="9"/>
      <c r="I7" s="9"/>
      <c r="J7" s="9" t="s">
        <v>879</v>
      </c>
      <c r="K7" s="9"/>
      <c r="L7" s="47" t="s">
        <v>350</v>
      </c>
      <c r="M7" s="47" t="s">
        <v>350</v>
      </c>
      <c r="N7" s="11"/>
      <c r="P7" s="9" t="s">
        <v>322</v>
      </c>
      <c r="Q7" s="63">
        <v>220</v>
      </c>
      <c r="R7" s="63">
        <v>255</v>
      </c>
      <c r="S7" s="63">
        <v>10</v>
      </c>
      <c r="T7" s="66">
        <f>SUM(R7:S7)+1</f>
        <v>266</v>
      </c>
      <c r="U7" s="42">
        <f>T7-S7-Q7</f>
        <v>36</v>
      </c>
    </row>
    <row r="8" spans="1:21" ht="39" x14ac:dyDescent="0.3">
      <c r="A8" s="7" t="str">
        <f t="shared" ref="A8:A35" si="1">IF(ISNUMBER(SEARCH("CT",B8)),"1"&amp;MID(B8,2,FIND("CT",B8)-2)&amp;RIGHT(B8,1),MID(B8,2,FIND("C",B8)-2)&amp;RIGHT(B8,1))</f>
        <v>1172</v>
      </c>
      <c r="B8" s="48" t="s">
        <v>880</v>
      </c>
      <c r="C8" s="45" t="s">
        <v>315</v>
      </c>
      <c r="D8" s="45">
        <v>1</v>
      </c>
      <c r="E8" s="46" t="str">
        <f>IF(ISNUMBER(SEARCH("CT",B8)),
   "CrossTransferStation[" &amp; (Q$3 + COUNTIF($B$2:B8,"*CT*") - 1) &amp; "]",
   IF( OR(ISNUMBER(SEARCH("TT",B8)), AND(ISNUMBER(SEARCH("C",B8)), NOT(ISNUMBER(SEARCH("CT",B8)))) ),
      "ConveyorStation[" &amp; (Q$2 + COUNTIFS($B$2:B8,"*C*",$B$2:B8,"&lt;&gt;*CT*") + COUNTIF($B$2:B8,"*TT*") - 1) &amp; "]",
      ""))</f>
        <v>ConveyorStation[224]</v>
      </c>
      <c r="F8" s="9"/>
      <c r="G8" s="9"/>
      <c r="H8" s="9"/>
      <c r="I8" s="9"/>
      <c r="J8" s="9" t="s">
        <v>881</v>
      </c>
      <c r="K8" s="10" t="s">
        <v>470</v>
      </c>
      <c r="L8" s="47" t="s">
        <v>350</v>
      </c>
      <c r="M8" s="47" t="s">
        <v>350</v>
      </c>
      <c r="N8" s="11"/>
      <c r="P8" s="9" t="s">
        <v>323</v>
      </c>
      <c r="Q8" s="63">
        <v>103</v>
      </c>
      <c r="R8" s="63">
        <v>112</v>
      </c>
      <c r="S8" s="63">
        <v>10</v>
      </c>
      <c r="T8" s="66">
        <f t="shared" ref="T8:T13" si="2">SUM(R8:S8)+1</f>
        <v>123</v>
      </c>
      <c r="U8" s="42">
        <f t="shared" ref="U8:U18" si="3">T8-S8-Q8</f>
        <v>10</v>
      </c>
    </row>
    <row r="9" spans="1:21" ht="14.5" x14ac:dyDescent="0.3">
      <c r="A9" s="7" t="str">
        <f t="shared" si="1"/>
        <v>1181</v>
      </c>
      <c r="B9" s="48" t="s">
        <v>882</v>
      </c>
      <c r="C9" s="45" t="s">
        <v>315</v>
      </c>
      <c r="D9" s="45">
        <v>1</v>
      </c>
      <c r="E9" s="46" t="str">
        <f>IF(ISNUMBER(SEARCH("CT",B9)),
   "CrossTransferStation[" &amp; (Q$3 + COUNTIF($B$2:B9,"*CT*") - 1) &amp; "]",
   IF( OR(ISNUMBER(SEARCH("TT",B9)), AND(ISNUMBER(SEARCH("C",B9)), NOT(ISNUMBER(SEARCH("CT",B9)))) ),
      "ConveyorStation[" &amp; (Q$2 + COUNTIFS($B$2:B9,"*C*",$B$2:B9,"&lt;&gt;*CT*") + COUNTIF($B$2:B9,"*TT*") - 1) &amp; "]",
      ""))</f>
        <v>ConveyorStation[225]</v>
      </c>
      <c r="F9" s="9"/>
      <c r="G9" s="9"/>
      <c r="H9" s="9"/>
      <c r="I9" s="9"/>
      <c r="J9" s="9" t="s">
        <v>883</v>
      </c>
      <c r="K9" s="9"/>
      <c r="L9" s="47" t="s">
        <v>350</v>
      </c>
      <c r="M9" s="47" t="s">
        <v>350</v>
      </c>
      <c r="N9" s="11"/>
      <c r="P9" s="9" t="s">
        <v>324</v>
      </c>
      <c r="Q9" s="63">
        <v>90</v>
      </c>
      <c r="R9" s="63">
        <v>98</v>
      </c>
      <c r="S9" s="63">
        <v>10</v>
      </c>
      <c r="T9" s="66">
        <f t="shared" si="2"/>
        <v>109</v>
      </c>
      <c r="U9" s="42">
        <f t="shared" si="3"/>
        <v>9</v>
      </c>
    </row>
    <row r="10" spans="1:21" ht="39" x14ac:dyDescent="0.3">
      <c r="A10" s="7" t="str">
        <f t="shared" si="1"/>
        <v>1182</v>
      </c>
      <c r="B10" s="48" t="s">
        <v>884</v>
      </c>
      <c r="C10" s="45" t="s">
        <v>315</v>
      </c>
      <c r="D10" s="45">
        <v>1</v>
      </c>
      <c r="E10" s="46" t="str">
        <f>IF(ISNUMBER(SEARCH("CT",B10)),
   "CrossTransferStation[" &amp; (Q$3 + COUNTIF($B$2:B10,"*CT*") - 1) &amp; "]",
   IF( OR(ISNUMBER(SEARCH("TT",B10)), AND(ISNUMBER(SEARCH("C",B10)), NOT(ISNUMBER(SEARCH("CT",B10)))) ),
      "ConveyorStation[" &amp; (Q$2 + COUNTIFS($B$2:B10,"*C*",$B$2:B10,"&lt;&gt;*CT*") + COUNTIF($B$2:B10,"*TT*") - 1) &amp; "]",
      ""))</f>
        <v>ConveyorStation[226]</v>
      </c>
      <c r="F10" s="9" t="s">
        <v>885</v>
      </c>
      <c r="G10" s="9"/>
      <c r="H10" s="9"/>
      <c r="I10" s="9"/>
      <c r="J10" s="53" t="s">
        <v>886</v>
      </c>
      <c r="K10" s="53"/>
      <c r="L10" s="47" t="s">
        <v>351</v>
      </c>
      <c r="M10" s="47" t="s">
        <v>351</v>
      </c>
      <c r="N10" s="11"/>
      <c r="P10" s="9" t="s">
        <v>325</v>
      </c>
      <c r="Q10" s="63">
        <v>72</v>
      </c>
      <c r="R10" s="63">
        <v>73</v>
      </c>
      <c r="S10" s="63">
        <v>10</v>
      </c>
      <c r="T10" s="66">
        <f t="shared" si="2"/>
        <v>84</v>
      </c>
      <c r="U10" s="42">
        <f t="shared" si="3"/>
        <v>2</v>
      </c>
    </row>
    <row r="11" spans="1:21" ht="14.5" x14ac:dyDescent="0.3">
      <c r="A11" s="7" t="str">
        <f t="shared" si="1"/>
        <v>1191</v>
      </c>
      <c r="B11" s="48" t="s">
        <v>887</v>
      </c>
      <c r="C11" s="45" t="s">
        <v>315</v>
      </c>
      <c r="D11" s="45">
        <v>1</v>
      </c>
      <c r="E11" s="46" t="str">
        <f>IF(ISNUMBER(SEARCH("CT",B11)),
   "CrossTransferStation[" &amp; (Q$3 + COUNTIF($B$2:B11,"*CT*") - 1) &amp; "]",
   IF( OR(ISNUMBER(SEARCH("TT",B11)), AND(ISNUMBER(SEARCH("C",B11)), NOT(ISNUMBER(SEARCH("CT",B11)))) ),
      "ConveyorStation[" &amp; (Q$2 + COUNTIFS($B$2:B11,"*C*",$B$2:B11,"&lt;&gt;*CT*") + COUNTIF($B$2:B11,"*TT*") - 1) &amp; "]",
      ""))</f>
        <v>ConveyorStation[227]</v>
      </c>
      <c r="F11" s="9"/>
      <c r="G11" s="9"/>
      <c r="H11" s="9"/>
      <c r="I11" s="9"/>
      <c r="J11" s="9" t="s">
        <v>888</v>
      </c>
      <c r="K11" s="9"/>
      <c r="L11" s="47" t="s">
        <v>350</v>
      </c>
      <c r="M11" s="47" t="s">
        <v>350</v>
      </c>
      <c r="N11" s="11"/>
      <c r="P11" s="9" t="s">
        <v>326</v>
      </c>
      <c r="Q11" s="63">
        <v>89</v>
      </c>
      <c r="R11" s="63">
        <v>91</v>
      </c>
      <c r="S11" s="63">
        <v>10</v>
      </c>
      <c r="T11" s="66">
        <f t="shared" si="2"/>
        <v>102</v>
      </c>
      <c r="U11" s="42">
        <f t="shared" si="3"/>
        <v>3</v>
      </c>
    </row>
    <row r="12" spans="1:21" ht="14.5" x14ac:dyDescent="0.3">
      <c r="A12" s="7" t="str">
        <f t="shared" si="1"/>
        <v>1192</v>
      </c>
      <c r="B12" s="48" t="s">
        <v>889</v>
      </c>
      <c r="C12" s="45" t="s">
        <v>315</v>
      </c>
      <c r="D12" s="45">
        <v>1</v>
      </c>
      <c r="E12" s="46" t="str">
        <f>IF(ISNUMBER(SEARCH("CT",B12)),
   "CrossTransferStation[" &amp; (Q$3 + COUNTIF($B$2:B12,"*CT*") - 1) &amp; "]",
   IF( OR(ISNUMBER(SEARCH("TT",B12)), AND(ISNUMBER(SEARCH("C",B12)), NOT(ISNUMBER(SEARCH("CT",B12)))) ),
      "ConveyorStation[" &amp; (Q$2 + COUNTIFS($B$2:B12,"*C*",$B$2:B12,"&lt;&gt;*CT*") + COUNTIF($B$2:B12,"*TT*") - 1) &amp; "]",
      ""))</f>
        <v>ConveyorStation[228]</v>
      </c>
      <c r="F12" s="9"/>
      <c r="G12" s="9"/>
      <c r="H12" s="9"/>
      <c r="I12" s="9"/>
      <c r="J12" s="9" t="s">
        <v>890</v>
      </c>
      <c r="K12" s="9"/>
      <c r="L12" s="47" t="s">
        <v>350</v>
      </c>
      <c r="M12" s="47" t="s">
        <v>350</v>
      </c>
      <c r="N12" s="11"/>
      <c r="P12" s="9" t="s">
        <v>327</v>
      </c>
      <c r="Q12" s="63">
        <v>42</v>
      </c>
      <c r="R12" s="63">
        <v>45</v>
      </c>
      <c r="S12" s="63">
        <v>10</v>
      </c>
      <c r="T12" s="66">
        <f t="shared" si="2"/>
        <v>56</v>
      </c>
      <c r="U12" s="42">
        <f t="shared" si="3"/>
        <v>4</v>
      </c>
    </row>
    <row r="13" spans="1:21" ht="14.5" x14ac:dyDescent="0.3">
      <c r="A13" s="7" t="str">
        <f t="shared" si="1"/>
        <v>1201</v>
      </c>
      <c r="B13" s="48" t="s">
        <v>891</v>
      </c>
      <c r="C13" s="45" t="s">
        <v>315</v>
      </c>
      <c r="D13" s="45">
        <v>1</v>
      </c>
      <c r="E13" s="46" t="str">
        <f>IF(ISNUMBER(SEARCH("CT",B13)),
   "CrossTransferStation[" &amp; (Q$3 + COUNTIF($B$2:B13,"*CT*") - 1) &amp; "]",
   IF( OR(ISNUMBER(SEARCH("TT",B13)), AND(ISNUMBER(SEARCH("C",B13)), NOT(ISNUMBER(SEARCH("CT",B13)))) ),
      "ConveyorStation[" &amp; (Q$2 + COUNTIFS($B$2:B13,"*C*",$B$2:B13,"&lt;&gt;*CT*") + COUNTIF($B$2:B13,"*TT*") - 1) &amp; "]",
      ""))</f>
        <v>ConveyorStation[229]</v>
      </c>
      <c r="F13" s="9" t="s">
        <v>892</v>
      </c>
      <c r="G13" s="9"/>
      <c r="H13" s="9"/>
      <c r="I13" s="9"/>
      <c r="J13" s="9" t="s">
        <v>893</v>
      </c>
      <c r="K13" s="9"/>
      <c r="L13" s="47" t="s">
        <v>351</v>
      </c>
      <c r="M13" s="47" t="s">
        <v>350</v>
      </c>
      <c r="N13" s="11"/>
      <c r="P13" s="9" t="s">
        <v>328</v>
      </c>
      <c r="Q13" s="63">
        <v>23</v>
      </c>
      <c r="R13" s="63">
        <v>24</v>
      </c>
      <c r="S13" s="63">
        <v>10</v>
      </c>
      <c r="T13" s="66">
        <f t="shared" si="2"/>
        <v>35</v>
      </c>
      <c r="U13" s="42">
        <f t="shared" si="3"/>
        <v>2</v>
      </c>
    </row>
    <row r="14" spans="1:21" ht="39" x14ac:dyDescent="0.3">
      <c r="A14" s="7" t="str">
        <f t="shared" si="1"/>
        <v>11211</v>
      </c>
      <c r="B14" s="48" t="s">
        <v>894</v>
      </c>
      <c r="C14" s="45" t="s">
        <v>315</v>
      </c>
      <c r="D14" s="45">
        <v>1</v>
      </c>
      <c r="E14" s="46" t="str">
        <f>IF(ISNUMBER(SEARCH("CT",B14)),
   "CrossTransferStation[" &amp; (Q$3 + COUNTIF($B$2:B14,"*CT*") - 1) &amp; "]",
   IF( OR(ISNUMBER(SEARCH("TT",B14)), AND(ISNUMBER(SEARCH("C",B14)), NOT(ISNUMBER(SEARCH("CT",B14)))) ),
      "ConveyorStation[" &amp; (Q$2 + COUNTIFS($B$2:B14,"*C*",$B$2:B14,"&lt;&gt;*CT*") + COUNTIF($B$2:B14,"*TT*") - 1) &amp; "]",
      ""))</f>
        <v>CrossTransferStation[105]</v>
      </c>
      <c r="F14" s="9" t="s">
        <v>895</v>
      </c>
      <c r="G14" s="9"/>
      <c r="H14" s="9"/>
      <c r="I14" s="9"/>
      <c r="J14" s="9" t="s">
        <v>896</v>
      </c>
      <c r="K14" s="10" t="s">
        <v>470</v>
      </c>
      <c r="L14" s="47" t="s">
        <v>351</v>
      </c>
      <c r="M14" s="47" t="s">
        <v>351</v>
      </c>
      <c r="N14" s="11"/>
      <c r="P14" s="9" t="s">
        <v>329</v>
      </c>
      <c r="Q14" s="63"/>
      <c r="R14" s="63"/>
      <c r="S14" s="63"/>
      <c r="T14" s="66">
        <f>'EZ4 Flammable'!T9</f>
        <v>72</v>
      </c>
      <c r="U14" s="42"/>
    </row>
    <row r="15" spans="1:21" ht="52" x14ac:dyDescent="0.3">
      <c r="A15" s="7" t="str">
        <f t="shared" si="1"/>
        <v>1221</v>
      </c>
      <c r="B15" s="48" t="s">
        <v>897</v>
      </c>
      <c r="C15" s="45" t="s">
        <v>315</v>
      </c>
      <c r="D15" s="45">
        <v>1</v>
      </c>
      <c r="E15" s="46" t="str">
        <f>IF(ISNUMBER(SEARCH("CT",B15)),
   "CrossTransferStation[" &amp; (Q$3 + COUNTIF($B$2:B15,"*CT*") - 1) &amp; "]",
   IF( OR(ISNUMBER(SEARCH("TT",B15)), AND(ISNUMBER(SEARCH("C",B15)), NOT(ISNUMBER(SEARCH("CT",B15)))) ),
      "ConveyorStation[" &amp; (Q$2 + COUNTIFS($B$2:B15,"*C*",$B$2:B15,"&lt;&gt;*CT*") + COUNTIF($B$2:B15,"*TT*") - 1) &amp; "]",
      ""))</f>
        <v>ConveyorStation[230]</v>
      </c>
      <c r="F15" s="9" t="s">
        <v>898</v>
      </c>
      <c r="G15" s="9"/>
      <c r="H15" s="9"/>
      <c r="I15" s="9"/>
      <c r="J15" s="9" t="s">
        <v>899</v>
      </c>
      <c r="K15" s="9"/>
      <c r="L15" s="47" t="s">
        <v>350</v>
      </c>
      <c r="M15" s="47" t="s">
        <v>350</v>
      </c>
      <c r="N15" s="11"/>
      <c r="P15" s="9" t="s">
        <v>185</v>
      </c>
      <c r="Q15" s="63"/>
      <c r="R15" s="66"/>
      <c r="S15" s="63"/>
      <c r="T15" s="66">
        <f>'EZ4 Flammable'!T10</f>
        <v>89</v>
      </c>
      <c r="U15" s="42"/>
    </row>
    <row r="16" spans="1:21" ht="39" x14ac:dyDescent="0.3">
      <c r="A16" s="7" t="str">
        <f t="shared" si="1"/>
        <v>1222</v>
      </c>
      <c r="B16" s="48" t="s">
        <v>900</v>
      </c>
      <c r="C16" s="45" t="s">
        <v>315</v>
      </c>
      <c r="D16" s="45">
        <v>1</v>
      </c>
      <c r="E16" s="46" t="str">
        <f>IF(ISNUMBER(SEARCH("CT",B16)),
   "CrossTransferStation[" &amp; (Q$3 + COUNTIF($B$2:B16,"*CT*") - 1) &amp; "]",
   IF( OR(ISNUMBER(SEARCH("TT",B16)), AND(ISNUMBER(SEARCH("C",B16)), NOT(ISNUMBER(SEARCH("CT",B16)))) ),
      "ConveyorStation[" &amp; (Q$2 + COUNTIFS($B$2:B16,"*C*",$B$2:B16,"&lt;&gt;*CT*") + COUNTIF($B$2:B16,"*TT*") - 1) &amp; "]",
      ""))</f>
        <v>ConveyorStation[231]</v>
      </c>
      <c r="F16" s="9" t="s">
        <v>901</v>
      </c>
      <c r="G16" s="9"/>
      <c r="H16" s="9"/>
      <c r="I16" s="9"/>
      <c r="J16" s="9" t="s">
        <v>902</v>
      </c>
      <c r="K16" s="10" t="s">
        <v>470</v>
      </c>
      <c r="L16" s="47" t="s">
        <v>350</v>
      </c>
      <c r="M16" s="47" t="s">
        <v>351</v>
      </c>
      <c r="N16" s="11"/>
      <c r="P16" s="9" t="s">
        <v>330</v>
      </c>
      <c r="Q16" s="63"/>
      <c r="R16" s="66"/>
      <c r="S16" s="63"/>
      <c r="T16" s="66">
        <f>'EZ4 Flammable'!T11</f>
        <v>0</v>
      </c>
      <c r="U16" s="42"/>
    </row>
    <row r="17" spans="1:21" ht="26" x14ac:dyDescent="0.3">
      <c r="A17" s="7" t="str">
        <f t="shared" si="1"/>
        <v>11231</v>
      </c>
      <c r="B17" s="48" t="s">
        <v>903</v>
      </c>
      <c r="C17" s="45" t="s">
        <v>315</v>
      </c>
      <c r="D17" s="45">
        <v>1</v>
      </c>
      <c r="E17" s="46" t="str">
        <f>IF(ISNUMBER(SEARCH("CT",B17)),
   "CrossTransferStation[" &amp; (Q$3 + COUNTIF($B$2:B17,"*CT*") - 1) &amp; "]",
   IF( OR(ISNUMBER(SEARCH("TT",B17)), AND(ISNUMBER(SEARCH("C",B17)), NOT(ISNUMBER(SEARCH("CT",B17)))) ),
      "ConveyorStation[" &amp; (Q$2 + COUNTIFS($B$2:B17,"*C*",$B$2:B17,"&lt;&gt;*CT*") + COUNTIF($B$2:B17,"*TT*") - 1) &amp; "]",
      ""))</f>
        <v>CrossTransferStation[106]</v>
      </c>
      <c r="F17" s="9" t="s">
        <v>904</v>
      </c>
      <c r="G17" s="9"/>
      <c r="H17" s="9"/>
      <c r="I17" s="9"/>
      <c r="J17" s="9" t="s">
        <v>905</v>
      </c>
      <c r="K17" s="9"/>
      <c r="L17" s="47" t="s">
        <v>351</v>
      </c>
      <c r="M17" s="47" t="s">
        <v>351</v>
      </c>
      <c r="N17" s="11"/>
      <c r="P17" s="9" t="s">
        <v>331</v>
      </c>
      <c r="Q17" s="63"/>
      <c r="R17" s="63"/>
      <c r="S17" s="63"/>
      <c r="T17" s="66">
        <f>'EZ4 Flammable'!T12</f>
        <v>0</v>
      </c>
      <c r="U17" s="42"/>
    </row>
    <row r="18" spans="1:21" ht="52" x14ac:dyDescent="0.3">
      <c r="A18" s="7" t="str">
        <f t="shared" si="1"/>
        <v>1241</v>
      </c>
      <c r="B18" s="48" t="s">
        <v>906</v>
      </c>
      <c r="C18" s="45" t="s">
        <v>315</v>
      </c>
      <c r="D18" s="45">
        <v>1</v>
      </c>
      <c r="E18" s="46" t="str">
        <f>IF(ISNUMBER(SEARCH("CT",B18)),
   "CrossTransferStation[" &amp; (Q$3 + COUNTIF($B$2:B18,"*CT*") - 1) &amp; "]",
   IF( OR(ISNUMBER(SEARCH("TT",B18)), AND(ISNUMBER(SEARCH("C",B18)), NOT(ISNUMBER(SEARCH("CT",B18)))) ),
      "ConveyorStation[" &amp; (Q$2 + COUNTIFS($B$2:B18,"*C*",$B$2:B18,"&lt;&gt;*CT*") + COUNTIF($B$2:B18,"*TT*") - 1) &amp; "]",
      ""))</f>
        <v>ConveyorStation[232]</v>
      </c>
      <c r="F18" s="9"/>
      <c r="G18" s="9"/>
      <c r="H18" s="9"/>
      <c r="I18" s="9"/>
      <c r="J18" s="9" t="s">
        <v>907</v>
      </c>
      <c r="K18" s="10" t="s">
        <v>470</v>
      </c>
      <c r="L18" s="47" t="s">
        <v>350</v>
      </c>
      <c r="M18" s="47" t="s">
        <v>350</v>
      </c>
      <c r="N18" s="11"/>
      <c r="P18" s="64" t="s">
        <v>201</v>
      </c>
      <c r="Q18" s="63">
        <v>1</v>
      </c>
      <c r="R18" s="63">
        <v>5</v>
      </c>
      <c r="S18" s="63">
        <v>10</v>
      </c>
      <c r="T18" s="66">
        <f>SUM(R18:S18)+1</f>
        <v>16</v>
      </c>
      <c r="U18" s="42">
        <f t="shared" si="3"/>
        <v>5</v>
      </c>
    </row>
    <row r="19" spans="1:21" x14ac:dyDescent="0.3">
      <c r="A19" s="7" t="str">
        <f t="shared" si="1"/>
        <v>1251</v>
      </c>
      <c r="B19" s="48" t="s">
        <v>908</v>
      </c>
      <c r="C19" s="45" t="s">
        <v>315</v>
      </c>
      <c r="D19" s="45">
        <v>1</v>
      </c>
      <c r="E19" s="46" t="str">
        <f>IF(ISNUMBER(SEARCH("CT",B19)),
   "CrossTransferStation[" &amp; (Q$3 + COUNTIF($B$2:B19,"*CT*") - 1) &amp; "]",
   IF( OR(ISNUMBER(SEARCH("TT",B19)), AND(ISNUMBER(SEARCH("C",B19)), NOT(ISNUMBER(SEARCH("CT",B19)))) ),
      "ConveyorStation[" &amp; (Q$2 + COUNTIFS($B$2:B19,"*C*",$B$2:B19,"&lt;&gt;*CT*") + COUNTIF($B$2:B19,"*TT*") - 1) &amp; "]",
      ""))</f>
        <v>ConveyorStation[233]</v>
      </c>
      <c r="F19" s="9"/>
      <c r="G19" s="9"/>
      <c r="H19" s="9"/>
      <c r="I19" s="9"/>
      <c r="J19" s="9" t="s">
        <v>909</v>
      </c>
      <c r="K19" s="9"/>
      <c r="L19" s="47" t="s">
        <v>350</v>
      </c>
      <c r="M19" s="47" t="s">
        <v>350</v>
      </c>
      <c r="N19" s="11"/>
    </row>
    <row r="20" spans="1:21" ht="39" x14ac:dyDescent="0.3">
      <c r="A20" s="7" t="str">
        <f t="shared" si="1"/>
        <v>1252</v>
      </c>
      <c r="B20" s="48" t="s">
        <v>910</v>
      </c>
      <c r="C20" s="45" t="s">
        <v>315</v>
      </c>
      <c r="D20" s="45">
        <v>1</v>
      </c>
      <c r="E20" s="46" t="str">
        <f>IF(ISNUMBER(SEARCH("CT",B20)),
   "CrossTransferStation[" &amp; (Q$3 + COUNTIF($B$2:B20,"*CT*") - 1) &amp; "]",
   IF( OR(ISNUMBER(SEARCH("TT",B20)), AND(ISNUMBER(SEARCH("C",B20)), NOT(ISNUMBER(SEARCH("CT",B20)))) ),
      "ConveyorStation[" &amp; (Q$2 + COUNTIFS($B$2:B20,"*C*",$B$2:B20,"&lt;&gt;*CT*") + COUNTIF($B$2:B20,"*TT*") - 1) &amp; "]",
      ""))</f>
        <v>ConveyorStation[234]</v>
      </c>
      <c r="F20" s="9" t="s">
        <v>911</v>
      </c>
      <c r="G20" s="9"/>
      <c r="H20" s="9"/>
      <c r="I20" s="9"/>
      <c r="J20" s="53" t="s">
        <v>912</v>
      </c>
      <c r="K20" s="53"/>
      <c r="L20" s="47" t="s">
        <v>351</v>
      </c>
      <c r="M20" s="47" t="s">
        <v>351</v>
      </c>
      <c r="N20" s="11"/>
    </row>
    <row r="21" spans="1:21" x14ac:dyDescent="0.3">
      <c r="A21" s="7" t="str">
        <f t="shared" si="1"/>
        <v>1261</v>
      </c>
      <c r="B21" s="48" t="s">
        <v>913</v>
      </c>
      <c r="C21" s="45" t="s">
        <v>315</v>
      </c>
      <c r="D21" s="45">
        <v>1</v>
      </c>
      <c r="E21" s="46" t="str">
        <f>IF(ISNUMBER(SEARCH("CT",B21)),
   "CrossTransferStation[" &amp; (Q$3 + COUNTIF($B$2:B21,"*CT*") - 1) &amp; "]",
   IF( OR(ISNUMBER(SEARCH("TT",B21)), AND(ISNUMBER(SEARCH("C",B21)), NOT(ISNUMBER(SEARCH("CT",B21)))) ),
      "ConveyorStation[" &amp; (Q$2 + COUNTIFS($B$2:B21,"*C*",$B$2:B21,"&lt;&gt;*CT*") + COUNTIF($B$2:B21,"*TT*") - 1) &amp; "]",
      ""))</f>
        <v>ConveyorStation[235]</v>
      </c>
      <c r="F21" s="9"/>
      <c r="G21" s="9"/>
      <c r="H21" s="9"/>
      <c r="I21" s="9"/>
      <c r="J21" s="9" t="s">
        <v>914</v>
      </c>
      <c r="K21" s="9"/>
      <c r="L21" s="47" t="s">
        <v>350</v>
      </c>
      <c r="M21" s="47" t="s">
        <v>350</v>
      </c>
      <c r="N21" s="11"/>
    </row>
    <row r="22" spans="1:21" x14ac:dyDescent="0.3">
      <c r="A22" s="7" t="str">
        <f t="shared" si="1"/>
        <v>1262</v>
      </c>
      <c r="B22" s="48" t="s">
        <v>915</v>
      </c>
      <c r="C22" s="45" t="s">
        <v>315</v>
      </c>
      <c r="D22" s="45">
        <v>1</v>
      </c>
      <c r="E22" s="46" t="str">
        <f>IF(ISNUMBER(SEARCH("CT",B22)),
   "CrossTransferStation[" &amp; (Q$3 + COUNTIF($B$2:B22,"*CT*") - 1) &amp; "]",
   IF( OR(ISNUMBER(SEARCH("TT",B22)), AND(ISNUMBER(SEARCH("C",B22)), NOT(ISNUMBER(SEARCH("CT",B22)))) ),
      "ConveyorStation[" &amp; (Q$2 + COUNTIFS($B$2:B22,"*C*",$B$2:B22,"&lt;&gt;*CT*") + COUNTIF($B$2:B22,"*TT*") - 1) &amp; "]",
      ""))</f>
        <v>ConveyorStation[236]</v>
      </c>
      <c r="F22" s="9"/>
      <c r="G22" s="9"/>
      <c r="H22" s="9"/>
      <c r="I22" s="9"/>
      <c r="J22" s="9" t="s">
        <v>916</v>
      </c>
      <c r="K22" s="9"/>
      <c r="L22" s="47" t="s">
        <v>350</v>
      </c>
      <c r="M22" s="47" t="s">
        <v>350</v>
      </c>
      <c r="N22" s="11"/>
    </row>
    <row r="23" spans="1:21" ht="26" x14ac:dyDescent="0.3">
      <c r="A23" s="7" t="str">
        <f t="shared" si="1"/>
        <v>1271</v>
      </c>
      <c r="B23" s="48" t="s">
        <v>917</v>
      </c>
      <c r="C23" s="45" t="s">
        <v>315</v>
      </c>
      <c r="D23" s="45">
        <v>1</v>
      </c>
      <c r="E23" s="46" t="str">
        <f>IF(ISNUMBER(SEARCH("CT",B23)),
   "CrossTransferStation[" &amp; (Q$3 + COUNTIF($B$2:B23,"*CT*") - 1) &amp; "]",
   IF( OR(ISNUMBER(SEARCH("TT",B23)), AND(ISNUMBER(SEARCH("C",B23)), NOT(ISNUMBER(SEARCH("CT",B23)))) ),
      "ConveyorStation[" &amp; (Q$2 + COUNTIFS($B$2:B23,"*C*",$B$2:B23,"&lt;&gt;*CT*") + COUNTIF($B$2:B23,"*TT*") - 1) &amp; "]",
      ""))</f>
        <v>ConveyorStation[237]</v>
      </c>
      <c r="F23" s="9"/>
      <c r="G23" s="9"/>
      <c r="H23" s="9"/>
      <c r="I23" s="9"/>
      <c r="J23" s="9" t="s">
        <v>918</v>
      </c>
      <c r="K23" s="9"/>
      <c r="L23" s="47" t="s">
        <v>350</v>
      </c>
      <c r="M23" s="47" t="s">
        <v>350</v>
      </c>
      <c r="N23" s="11"/>
    </row>
    <row r="24" spans="1:21" ht="39" x14ac:dyDescent="0.3">
      <c r="A24" s="7" t="str">
        <f t="shared" si="1"/>
        <v>11281</v>
      </c>
      <c r="B24" s="48" t="s">
        <v>919</v>
      </c>
      <c r="C24" s="45" t="s">
        <v>315</v>
      </c>
      <c r="D24" s="45">
        <v>1</v>
      </c>
      <c r="E24" s="46" t="str">
        <f>IF(ISNUMBER(SEARCH("CT",B24)),
   "CrossTransferStation[" &amp; (Q$3 + COUNTIF($B$2:B24,"*CT*") - 1) &amp; "]",
   IF( OR(ISNUMBER(SEARCH("TT",B24)), AND(ISNUMBER(SEARCH("C",B24)), NOT(ISNUMBER(SEARCH("CT",B24)))) ),
      "ConveyorStation[" &amp; (Q$2 + COUNTIFS($B$2:B24,"*C*",$B$2:B24,"&lt;&gt;*CT*") + COUNTIF($B$2:B24,"*TT*") - 1) &amp; "]",
      ""))</f>
        <v>CrossTransferStation[107]</v>
      </c>
      <c r="F24" s="9" t="s">
        <v>920</v>
      </c>
      <c r="G24" s="9"/>
      <c r="H24" s="9"/>
      <c r="I24" s="9"/>
      <c r="J24" s="9" t="s">
        <v>921</v>
      </c>
      <c r="K24" s="10" t="s">
        <v>470</v>
      </c>
      <c r="L24" s="47" t="s">
        <v>351</v>
      </c>
      <c r="M24" s="47" t="s">
        <v>351</v>
      </c>
      <c r="N24" s="11"/>
    </row>
    <row r="25" spans="1:21" ht="52" x14ac:dyDescent="0.3">
      <c r="A25" s="7" t="str">
        <f t="shared" si="1"/>
        <v>1291</v>
      </c>
      <c r="B25" s="48" t="s">
        <v>922</v>
      </c>
      <c r="C25" s="45" t="s">
        <v>315</v>
      </c>
      <c r="D25" s="45">
        <v>1</v>
      </c>
      <c r="E25" s="46" t="str">
        <f>IF(ISNUMBER(SEARCH("CT",B25)),
   "CrossTransferStation[" &amp; (Q$3 + COUNTIF($B$2:B25,"*CT*") - 1) &amp; "]",
   IF( OR(ISNUMBER(SEARCH("TT",B25)), AND(ISNUMBER(SEARCH("C",B25)), NOT(ISNUMBER(SEARCH("CT",B25)))) ),
      "ConveyorStation[" &amp; (Q$2 + COUNTIFS($B$2:B25,"*C*",$B$2:B25,"&lt;&gt;*CT*") + COUNTIF($B$2:B25,"*TT*") - 1) &amp; "]",
      ""))</f>
        <v>ConveyorStation[238]</v>
      </c>
      <c r="F25" s="9" t="s">
        <v>923</v>
      </c>
      <c r="G25" s="9"/>
      <c r="H25" s="9"/>
      <c r="I25" s="9"/>
      <c r="J25" s="9" t="s">
        <v>924</v>
      </c>
      <c r="K25" s="9"/>
      <c r="L25" s="47" t="s">
        <v>350</v>
      </c>
      <c r="M25" s="47" t="s">
        <v>350</v>
      </c>
      <c r="N25" s="11"/>
    </row>
    <row r="26" spans="1:21" x14ac:dyDescent="0.3">
      <c r="A26" s="7" t="str">
        <f t="shared" si="1"/>
        <v>1292</v>
      </c>
      <c r="B26" s="48" t="s">
        <v>925</v>
      </c>
      <c r="C26" s="45" t="s">
        <v>315</v>
      </c>
      <c r="D26" s="45">
        <v>1</v>
      </c>
      <c r="E26" s="46" t="str">
        <f>IF(ISNUMBER(SEARCH("CT",B26)),
   "CrossTransferStation[" &amp; (Q$3 + COUNTIF($B$2:B26,"*CT*") - 1) &amp; "]",
   IF( OR(ISNUMBER(SEARCH("TT",B26)), AND(ISNUMBER(SEARCH("C",B26)), NOT(ISNUMBER(SEARCH("CT",B26)))) ),
      "ConveyorStation[" &amp; (Q$2 + COUNTIFS($B$2:B26,"*C*",$B$2:B26,"&lt;&gt;*CT*") + COUNTIF($B$2:B26,"*TT*") - 1) &amp; "]",
      ""))</f>
        <v>ConveyorStation[239]</v>
      </c>
      <c r="F26" s="9"/>
      <c r="G26" s="9"/>
      <c r="H26" s="9"/>
      <c r="I26" s="9"/>
      <c r="J26" s="9" t="s">
        <v>926</v>
      </c>
      <c r="K26" s="9"/>
      <c r="L26" s="47" t="s">
        <v>350</v>
      </c>
      <c r="M26" s="47" t="s">
        <v>350</v>
      </c>
      <c r="N26" s="11"/>
    </row>
    <row r="27" spans="1:21" ht="39" x14ac:dyDescent="0.3">
      <c r="A27" s="7" t="str">
        <f t="shared" si="1"/>
        <v>11301</v>
      </c>
      <c r="B27" s="48" t="s">
        <v>927</v>
      </c>
      <c r="C27" s="45" t="s">
        <v>315</v>
      </c>
      <c r="D27" s="45">
        <v>1</v>
      </c>
      <c r="E27" s="46" t="str">
        <f>IF(ISNUMBER(SEARCH("CT",B27)),
   "CrossTransferStation[" &amp; (Q$3 + COUNTIF($B$2:B27,"*CT*") - 1) &amp; "]",
   IF( OR(ISNUMBER(SEARCH("TT",B27)), AND(ISNUMBER(SEARCH("C",B27)), NOT(ISNUMBER(SEARCH("CT",B27)))) ),
      "ConveyorStation[" &amp; (Q$2 + COUNTIFS($B$2:B27,"*C*",$B$2:B27,"&lt;&gt;*CT*") + COUNTIF($B$2:B27,"*TT*") - 1) &amp; "]",
      ""))</f>
        <v>CrossTransferStation[108]</v>
      </c>
      <c r="F27" s="9" t="s">
        <v>928</v>
      </c>
      <c r="G27" s="9"/>
      <c r="H27" s="9"/>
      <c r="I27" s="9"/>
      <c r="J27" s="9" t="s">
        <v>929</v>
      </c>
      <c r="K27" s="10" t="s">
        <v>470</v>
      </c>
      <c r="L27" s="47" t="s">
        <v>351</v>
      </c>
      <c r="M27" s="47" t="s">
        <v>351</v>
      </c>
      <c r="N27" s="11"/>
    </row>
    <row r="28" spans="1:21" x14ac:dyDescent="0.3">
      <c r="A28" s="7" t="str">
        <f t="shared" si="1"/>
        <v>1312</v>
      </c>
      <c r="B28" s="48" t="s">
        <v>930</v>
      </c>
      <c r="C28" s="45" t="s">
        <v>315</v>
      </c>
      <c r="D28" s="45">
        <v>1</v>
      </c>
      <c r="E28" s="46" t="str">
        <f>IF(ISNUMBER(SEARCH("CT",B28)),
   "CrossTransferStation[" &amp; (Q$3 + COUNTIF($B$2:B28,"*CT*") - 1) &amp; "]",
   IF( OR(ISNUMBER(SEARCH("TT",B28)), AND(ISNUMBER(SEARCH("C",B28)), NOT(ISNUMBER(SEARCH("CT",B28)))) ),
      "ConveyorStation[" &amp; (Q$2 + COUNTIFS($B$2:B28,"*C*",$B$2:B28,"&lt;&gt;*CT*") + COUNTIF($B$2:B28,"*TT*") - 1) &amp; "]",
      ""))</f>
        <v>ConveyorStation[240]</v>
      </c>
      <c r="F28" s="9" t="s">
        <v>931</v>
      </c>
      <c r="G28" s="9"/>
      <c r="H28" s="9"/>
      <c r="I28" s="9"/>
      <c r="J28" s="9" t="s">
        <v>932</v>
      </c>
      <c r="K28" s="9"/>
      <c r="L28" s="47" t="s">
        <v>350</v>
      </c>
      <c r="M28" s="47" t="s">
        <v>351</v>
      </c>
      <c r="N28" s="11"/>
    </row>
    <row r="29" spans="1:21" x14ac:dyDescent="0.3">
      <c r="A29" s="7" t="str">
        <f t="shared" si="1"/>
        <v>1321</v>
      </c>
      <c r="B29" s="48" t="s">
        <v>933</v>
      </c>
      <c r="C29" s="45" t="s">
        <v>315</v>
      </c>
      <c r="D29" s="45">
        <v>1</v>
      </c>
      <c r="E29" s="46" t="str">
        <f>IF(ISNUMBER(SEARCH("CT",B29)),
   "CrossTransferStation[" &amp; (Q$3 + COUNTIF($B$2:B29,"*CT*") - 1) &amp; "]",
   IF( OR(ISNUMBER(SEARCH("TT",B29)), AND(ISNUMBER(SEARCH("C",B29)), NOT(ISNUMBER(SEARCH("CT",B29)))) ),
      "ConveyorStation[" &amp; (Q$2 + COUNTIFS($B$2:B29,"*C*",$B$2:B29,"&lt;&gt;*CT*") + COUNTIF($B$2:B29,"*TT*") - 1) &amp; "]",
      ""))</f>
        <v>ConveyorStation[241]</v>
      </c>
      <c r="F29" s="9"/>
      <c r="G29" s="9"/>
      <c r="H29" s="9"/>
      <c r="I29" s="9"/>
      <c r="J29" s="9" t="s">
        <v>934</v>
      </c>
      <c r="K29" s="9"/>
      <c r="L29" s="47" t="s">
        <v>350</v>
      </c>
      <c r="M29" s="47" t="s">
        <v>350</v>
      </c>
      <c r="N29" s="11"/>
    </row>
    <row r="30" spans="1:21" x14ac:dyDescent="0.3">
      <c r="A30" s="7" t="str">
        <f t="shared" si="1"/>
        <v>1322</v>
      </c>
      <c r="B30" s="48" t="s">
        <v>935</v>
      </c>
      <c r="C30" s="45" t="s">
        <v>315</v>
      </c>
      <c r="D30" s="45">
        <v>1</v>
      </c>
      <c r="E30" s="46" t="str">
        <f>IF(ISNUMBER(SEARCH("CT",B30)),
   "CrossTransferStation[" &amp; (Q$3 + COUNTIF($B$2:B30,"*CT*") - 1) &amp; "]",
   IF( OR(ISNUMBER(SEARCH("TT",B30)), AND(ISNUMBER(SEARCH("C",B30)), NOT(ISNUMBER(SEARCH("CT",B30)))) ),
      "ConveyorStation[" &amp; (Q$2 + COUNTIFS($B$2:B30,"*C*",$B$2:B30,"&lt;&gt;*CT*") + COUNTIF($B$2:B30,"*TT*") - 1) &amp; "]",
      ""))</f>
        <v>ConveyorStation[242]</v>
      </c>
      <c r="F30" s="9"/>
      <c r="G30" s="9"/>
      <c r="H30" s="9"/>
      <c r="I30" s="9"/>
      <c r="J30" s="9" t="s">
        <v>936</v>
      </c>
      <c r="K30" s="9"/>
      <c r="L30" s="47" t="s">
        <v>350</v>
      </c>
      <c r="M30" s="47" t="s">
        <v>350</v>
      </c>
      <c r="N30" s="11"/>
    </row>
    <row r="31" spans="1:21" x14ac:dyDescent="0.3">
      <c r="A31" s="7" t="str">
        <f t="shared" si="1"/>
        <v>1331</v>
      </c>
      <c r="B31" s="48" t="s">
        <v>937</v>
      </c>
      <c r="C31" s="45" t="s">
        <v>315</v>
      </c>
      <c r="D31" s="45">
        <v>1</v>
      </c>
      <c r="E31" s="46" t="str">
        <f>IF(ISNUMBER(SEARCH("CT",B31)),
   "CrossTransferStation[" &amp; (Q$3 + COUNTIF($B$2:B31,"*CT*") - 1) &amp; "]",
   IF( OR(ISNUMBER(SEARCH("TT",B31)), AND(ISNUMBER(SEARCH("C",B31)), NOT(ISNUMBER(SEARCH("CT",B31)))) ),
      "ConveyorStation[" &amp; (Q$2 + COUNTIFS($B$2:B31,"*C*",$B$2:B31,"&lt;&gt;*CT*") + COUNTIF($B$2:B31,"*TT*") - 1) &amp; "]",
      ""))</f>
        <v>ConveyorStation[243]</v>
      </c>
      <c r="F31" s="9"/>
      <c r="G31" s="9"/>
      <c r="H31" s="9"/>
      <c r="I31" s="9"/>
      <c r="J31" s="9" t="s">
        <v>938</v>
      </c>
      <c r="K31" s="9"/>
      <c r="L31" s="47" t="s">
        <v>350</v>
      </c>
      <c r="M31" s="47" t="s">
        <v>350</v>
      </c>
      <c r="N31" s="11"/>
    </row>
    <row r="32" spans="1:21" ht="39" x14ac:dyDescent="0.3">
      <c r="A32" s="7" t="str">
        <f t="shared" si="1"/>
        <v>1332</v>
      </c>
      <c r="B32" s="48" t="s">
        <v>939</v>
      </c>
      <c r="C32" s="45" t="s">
        <v>315</v>
      </c>
      <c r="D32" s="45">
        <v>1</v>
      </c>
      <c r="E32" s="46" t="str">
        <f>IF(ISNUMBER(SEARCH("CT",B32)),
   "CrossTransferStation[" &amp; (Q$3 + COUNTIF($B$2:B32,"*CT*") - 1) &amp; "]",
   IF( OR(ISNUMBER(SEARCH("TT",B32)), AND(ISNUMBER(SEARCH("C",B32)), NOT(ISNUMBER(SEARCH("CT",B32)))) ),
      "ConveyorStation[" &amp; (Q$2 + COUNTIFS($B$2:B32,"*C*",$B$2:B32,"&lt;&gt;*CT*") + COUNTIF($B$2:B32,"*TT*") - 1) &amp; "]",
      ""))</f>
        <v>ConveyorStation[244]</v>
      </c>
      <c r="F32" s="9" t="s">
        <v>940</v>
      </c>
      <c r="G32" s="9"/>
      <c r="H32" s="9"/>
      <c r="I32" s="9"/>
      <c r="J32" s="53" t="s">
        <v>941</v>
      </c>
      <c r="K32" s="53"/>
      <c r="L32" s="47" t="s">
        <v>351</v>
      </c>
      <c r="M32" s="47" t="s">
        <v>351</v>
      </c>
      <c r="N32" s="11"/>
    </row>
    <row r="33" spans="1:14" ht="39" x14ac:dyDescent="0.3">
      <c r="A33" s="7" t="str">
        <f t="shared" si="1"/>
        <v>1341</v>
      </c>
      <c r="B33" s="48" t="s">
        <v>942</v>
      </c>
      <c r="C33" s="45" t="s">
        <v>315</v>
      </c>
      <c r="D33" s="45">
        <v>1</v>
      </c>
      <c r="E33" s="46" t="str">
        <f>IF(ISNUMBER(SEARCH("CT",B33)),
   "CrossTransferStation[" &amp; (Q$3 + COUNTIF($B$2:B33,"*CT*") - 1) &amp; "]",
   IF( OR(ISNUMBER(SEARCH("TT",B33)), AND(ISNUMBER(SEARCH("C",B33)), NOT(ISNUMBER(SEARCH("CT",B33)))) ),
      "ConveyorStation[" &amp; (Q$2 + COUNTIFS($B$2:B33,"*C*",$B$2:B33,"&lt;&gt;*CT*") + COUNTIF($B$2:B33,"*TT*") - 1) &amp; "]",
      ""))</f>
        <v>ConveyorStation[245]</v>
      </c>
      <c r="F33" s="9"/>
      <c r="G33" s="9"/>
      <c r="H33" s="9"/>
      <c r="I33" s="9"/>
      <c r="J33" s="9" t="s">
        <v>943</v>
      </c>
      <c r="K33" s="9"/>
      <c r="L33" s="47" t="s">
        <v>350</v>
      </c>
      <c r="M33" s="47" t="s">
        <v>350</v>
      </c>
      <c r="N33" s="11"/>
    </row>
    <row r="34" spans="1:14" ht="39" x14ac:dyDescent="0.3">
      <c r="A34" s="7" t="str">
        <f t="shared" si="1"/>
        <v>11351</v>
      </c>
      <c r="B34" s="48" t="s">
        <v>944</v>
      </c>
      <c r="C34" s="45" t="s">
        <v>315</v>
      </c>
      <c r="D34" s="45">
        <v>1</v>
      </c>
      <c r="E34" s="46" t="str">
        <f>IF(ISNUMBER(SEARCH("CT",B34)),
   "CrossTransferStation[" &amp; (Q$3 + COUNTIF($B$2:B34,"*CT*") - 1) &amp; "]",
   IF( OR(ISNUMBER(SEARCH("TT",B34)), AND(ISNUMBER(SEARCH("C",B34)), NOT(ISNUMBER(SEARCH("CT",B34)))) ),
      "ConveyorStation[" &amp; (Q$2 + COUNTIFS($B$2:B34,"*C*",$B$2:B34,"&lt;&gt;*CT*") + COUNTIF($B$2:B34,"*TT*") - 1) &amp; "]",
      ""))</f>
        <v>CrossTransferStation[109]</v>
      </c>
      <c r="F34" s="9" t="s">
        <v>945</v>
      </c>
      <c r="G34" s="9"/>
      <c r="H34" s="9"/>
      <c r="I34" s="9"/>
      <c r="J34" s="9" t="s">
        <v>946</v>
      </c>
      <c r="K34" s="10" t="s">
        <v>470</v>
      </c>
      <c r="L34" s="47" t="s">
        <v>351</v>
      </c>
      <c r="M34" s="47" t="s">
        <v>350</v>
      </c>
      <c r="N34" s="11"/>
    </row>
    <row r="35" spans="1:14" ht="65" x14ac:dyDescent="0.3">
      <c r="A35" s="7" t="str">
        <f t="shared" si="1"/>
        <v>1361</v>
      </c>
      <c r="B35" s="48" t="s">
        <v>947</v>
      </c>
      <c r="C35" s="45" t="s">
        <v>315</v>
      </c>
      <c r="D35" s="45">
        <v>1</v>
      </c>
      <c r="E35" s="46" t="str">
        <f>IF(ISNUMBER(SEARCH("CT",B35)),
   "CrossTransferStation[" &amp; (Q$3 + COUNTIF($B$2:B35,"*CT*") - 1) &amp; "]",
   IF( OR(ISNUMBER(SEARCH("TT",B35)), AND(ISNUMBER(SEARCH("C",B35)), NOT(ISNUMBER(SEARCH("CT",B35)))) ),
      "ConveyorStation[" &amp; (Q$2 + COUNTIFS($B$2:B35,"*C*",$B$2:B35,"&lt;&gt;*CT*") + COUNTIF($B$2:B35,"*TT*") - 1) &amp; "]",
      ""))</f>
        <v>ConveyorStation[246]</v>
      </c>
      <c r="F35" s="9" t="s">
        <v>948</v>
      </c>
      <c r="G35" s="9"/>
      <c r="H35" s="9"/>
      <c r="I35" s="9"/>
      <c r="J35" s="9" t="s">
        <v>949</v>
      </c>
      <c r="K35" s="9"/>
      <c r="L35" s="47" t="s">
        <v>350</v>
      </c>
      <c r="M35" s="47" t="s">
        <v>350</v>
      </c>
      <c r="N35" s="11"/>
    </row>
    <row r="36" spans="1:14" x14ac:dyDescent="0.3">
      <c r="A36" s="7" t="str">
        <f t="shared" ref="A36:A47" si="4">IF(ISNUMBER(SEARCH("CT",B36)),"1"&amp;MID(B36,2,FIND("CT",B36)-2)&amp;RIGHT(B36,1),MID(B36,2,FIND("C",B36)-2)&amp;RIGHT(B36,1))</f>
        <v>1362</v>
      </c>
      <c r="B36" s="48" t="s">
        <v>950</v>
      </c>
      <c r="C36" s="45" t="s">
        <v>315</v>
      </c>
      <c r="D36" s="45">
        <v>1</v>
      </c>
      <c r="E36" s="46" t="str">
        <f>IF(ISNUMBER(SEARCH("CT",B36)),
   "CrossTransferStation[" &amp; (Q$3 + COUNTIF($B$2:B36,"*CT*") - 1) &amp; "]",
   IF( OR(ISNUMBER(SEARCH("TT",B36)), AND(ISNUMBER(SEARCH("C",B36)), NOT(ISNUMBER(SEARCH("CT",B36)))) ),
      "ConveyorStation[" &amp; (Q$2 + COUNTIFS($B$2:B36,"*C*",$B$2:B36,"&lt;&gt;*CT*") + COUNTIF($B$2:B36,"*TT*") - 1) &amp; "]",
      ""))</f>
        <v>ConveyorStation[247]</v>
      </c>
      <c r="F36" s="9"/>
      <c r="G36" s="9"/>
      <c r="H36" s="9"/>
      <c r="I36" s="9"/>
      <c r="J36" s="9" t="s">
        <v>951</v>
      </c>
      <c r="K36" s="9"/>
      <c r="L36" s="47" t="s">
        <v>350</v>
      </c>
      <c r="M36" s="47" t="s">
        <v>350</v>
      </c>
      <c r="N36" s="11"/>
    </row>
    <row r="37" spans="1:14" ht="39" x14ac:dyDescent="0.3">
      <c r="A37" s="7" t="str">
        <f t="shared" si="4"/>
        <v>11371</v>
      </c>
      <c r="B37" s="48" t="s">
        <v>952</v>
      </c>
      <c r="C37" s="45" t="s">
        <v>315</v>
      </c>
      <c r="D37" s="45">
        <v>1</v>
      </c>
      <c r="E37" s="46" t="str">
        <f>IF(ISNUMBER(SEARCH("CT",B37)),
   "CrossTransferStation[" &amp; (Q$3 + COUNTIF($B$2:B37,"*CT*") - 1) &amp; "]",
   IF( OR(ISNUMBER(SEARCH("TT",B37)), AND(ISNUMBER(SEARCH("C",B37)), NOT(ISNUMBER(SEARCH("CT",B37)))) ),
      "ConveyorStation[" &amp; (Q$2 + COUNTIFS($B$2:B37,"*C*",$B$2:B37,"&lt;&gt;*CT*") + COUNTIF($B$2:B37,"*TT*") - 1) &amp; "]",
      ""))</f>
        <v>CrossTransferStation[110]</v>
      </c>
      <c r="F37" s="9" t="s">
        <v>953</v>
      </c>
      <c r="G37" s="9"/>
      <c r="H37" s="9"/>
      <c r="I37" s="9"/>
      <c r="J37" s="9" t="s">
        <v>954</v>
      </c>
      <c r="K37" s="10" t="s">
        <v>470</v>
      </c>
      <c r="L37" s="147" t="s">
        <v>350</v>
      </c>
      <c r="M37" s="47" t="s">
        <v>351</v>
      </c>
      <c r="N37" s="11"/>
    </row>
    <row r="38" spans="1:14" x14ac:dyDescent="0.3">
      <c r="A38" s="7" t="str">
        <f t="shared" si="4"/>
        <v>1382</v>
      </c>
      <c r="B38" s="48" t="s">
        <v>955</v>
      </c>
      <c r="C38" s="45" t="s">
        <v>315</v>
      </c>
      <c r="D38" s="45">
        <v>1</v>
      </c>
      <c r="E38" s="46" t="str">
        <f>IF(ISNUMBER(SEARCH("CT",B38)),
   "CrossTransferStation[" &amp; (Q$3 + COUNTIF($B$2:B38,"*CT*") - 1) &amp; "]",
   IF( OR(ISNUMBER(SEARCH("TT",B38)), AND(ISNUMBER(SEARCH("C",B38)), NOT(ISNUMBER(SEARCH("CT",B38)))) ),
      "ConveyorStation[" &amp; (Q$2 + COUNTIFS($B$2:B38,"*C*",$B$2:B38,"&lt;&gt;*CT*") + COUNTIF($B$2:B38,"*TT*") - 1) &amp; "]",
      ""))</f>
        <v>ConveyorStation[248]</v>
      </c>
      <c r="F38" s="9" t="s">
        <v>956</v>
      </c>
      <c r="G38" s="9"/>
      <c r="H38" s="9"/>
      <c r="I38" s="9"/>
      <c r="J38" s="9" t="s">
        <v>957</v>
      </c>
      <c r="K38" s="9"/>
      <c r="L38" s="47" t="s">
        <v>350</v>
      </c>
      <c r="M38" s="47" t="s">
        <v>351</v>
      </c>
      <c r="N38" s="11"/>
    </row>
    <row r="39" spans="1:14" ht="39" x14ac:dyDescent="0.3">
      <c r="A39" s="7" t="str">
        <f t="shared" si="4"/>
        <v>1661</v>
      </c>
      <c r="B39" s="48" t="s">
        <v>958</v>
      </c>
      <c r="C39" s="45" t="s">
        <v>315</v>
      </c>
      <c r="D39" s="45">
        <v>1</v>
      </c>
      <c r="E39" s="46" t="str">
        <f>IF(ISNUMBER(SEARCH("CT",B39)),
   "CrossTransferStation[" &amp; (Q$3 + COUNTIF($B$2:B39,"*CT*") - 1) &amp; "]",
   IF( OR(ISNUMBER(SEARCH("TT",B39)), AND(ISNUMBER(SEARCH("C",B39)), NOT(ISNUMBER(SEARCH("CT",B39)))) ),
      "ConveyorStation[" &amp; (Q$2 + COUNTIFS($B$2:B39,"*C*",$B$2:B39,"&lt;&gt;*CT*") + COUNTIF($B$2:B39,"*TT*") - 1) &amp; "]",
      ""))</f>
        <v>ConveyorStation[249]</v>
      </c>
      <c r="F39" s="9" t="s">
        <v>959</v>
      </c>
      <c r="G39" s="9"/>
      <c r="H39" s="9"/>
      <c r="I39" s="9"/>
      <c r="J39" s="53" t="s">
        <v>960</v>
      </c>
      <c r="K39" s="53"/>
      <c r="L39" s="47" t="s">
        <v>351</v>
      </c>
      <c r="M39" s="47" t="s">
        <v>351</v>
      </c>
      <c r="N39" s="11"/>
    </row>
    <row r="40" spans="1:14" x14ac:dyDescent="0.3">
      <c r="A40" s="7" t="str">
        <f t="shared" si="4"/>
        <v>1662</v>
      </c>
      <c r="B40" s="48" t="s">
        <v>961</v>
      </c>
      <c r="C40" s="45" t="s">
        <v>315</v>
      </c>
      <c r="D40" s="45">
        <v>1</v>
      </c>
      <c r="E40" s="46" t="str">
        <f>IF(ISNUMBER(SEARCH("CT",B40)),
   "CrossTransferStation[" &amp; (Q$3 + COUNTIF($B$2:B40,"*CT*") - 1) &amp; "]",
   IF( OR(ISNUMBER(SEARCH("TT",B40)), AND(ISNUMBER(SEARCH("C",B40)), NOT(ISNUMBER(SEARCH("CT",B40)))) ),
      "ConveyorStation[" &amp; (Q$2 + COUNTIFS($B$2:B40,"*C*",$B$2:B40,"&lt;&gt;*CT*") + COUNTIF($B$2:B40,"*TT*") - 1) &amp; "]",
      ""))</f>
        <v>ConveyorStation[250]</v>
      </c>
      <c r="F40" s="9"/>
      <c r="G40" s="9"/>
      <c r="H40" s="9"/>
      <c r="I40" s="9"/>
      <c r="J40" s="9" t="s">
        <v>962</v>
      </c>
      <c r="K40" s="9"/>
      <c r="L40" s="47" t="s">
        <v>350</v>
      </c>
      <c r="M40" s="47" t="s">
        <v>350</v>
      </c>
      <c r="N40" s="11"/>
    </row>
    <row r="41" spans="1:14" ht="26" x14ac:dyDescent="0.3">
      <c r="A41" s="7" t="str">
        <f t="shared" si="4"/>
        <v>11671</v>
      </c>
      <c r="B41" s="48" t="s">
        <v>963</v>
      </c>
      <c r="C41" s="45" t="s">
        <v>315</v>
      </c>
      <c r="D41" s="45">
        <v>1</v>
      </c>
      <c r="E41" s="46" t="str">
        <f>IF(ISNUMBER(SEARCH("CT",B41)),
   "CrossTransferStation[" &amp; (Q$3 + COUNTIF($B$2:B41,"*CT*") - 1) &amp; "]",
   IF( OR(ISNUMBER(SEARCH("TT",B41)), AND(ISNUMBER(SEARCH("C",B41)), NOT(ISNUMBER(SEARCH("CT",B41)))) ),
      "ConveyorStation[" &amp; (Q$2 + COUNTIFS($B$2:B41,"*C*",$B$2:B41,"&lt;&gt;*CT*") + COUNTIF($B$2:B41,"*TT*") - 1) &amp; "]",
      ""))</f>
        <v>CrossTransferStation[111]</v>
      </c>
      <c r="F41" s="9"/>
      <c r="G41" s="9"/>
      <c r="H41" s="9"/>
      <c r="I41" s="9"/>
      <c r="J41" s="9" t="s">
        <v>964</v>
      </c>
      <c r="K41" s="9"/>
      <c r="L41" s="47" t="s">
        <v>350</v>
      </c>
      <c r="M41" s="47" t="s">
        <v>350</v>
      </c>
      <c r="N41" s="11"/>
    </row>
    <row r="42" spans="1:14" x14ac:dyDescent="0.3">
      <c r="A42" s="7" t="str">
        <f t="shared" si="4"/>
        <v>1681</v>
      </c>
      <c r="B42" s="48" t="s">
        <v>965</v>
      </c>
      <c r="C42" s="45" t="s">
        <v>315</v>
      </c>
      <c r="D42" s="45">
        <v>1</v>
      </c>
      <c r="E42" s="46" t="str">
        <f>IF(ISNUMBER(SEARCH("CT",B42)),
   "CrossTransferStation[" &amp; (Q$3 + COUNTIF($B$2:B42,"*CT*") - 1) &amp; "]",
   IF( OR(ISNUMBER(SEARCH("TT",B42)), AND(ISNUMBER(SEARCH("C",B42)), NOT(ISNUMBER(SEARCH("CT",B42)))) ),
      "ConveyorStation[" &amp; (Q$2 + COUNTIFS($B$2:B42,"*C*",$B$2:B42,"&lt;&gt;*CT*") + COUNTIF($B$2:B42,"*TT*") - 1) &amp; "]",
      ""))</f>
        <v>ConveyorStation[251]</v>
      </c>
      <c r="F42" s="9"/>
      <c r="G42" s="9"/>
      <c r="H42" s="9"/>
      <c r="I42" s="9"/>
      <c r="J42" s="9" t="s">
        <v>966</v>
      </c>
      <c r="K42" s="9"/>
      <c r="L42" s="47" t="s">
        <v>350</v>
      </c>
      <c r="M42" s="47" t="s">
        <v>350</v>
      </c>
      <c r="N42" s="11"/>
    </row>
    <row r="43" spans="1:14" ht="39" x14ac:dyDescent="0.3">
      <c r="A43" s="7" t="str">
        <f t="shared" si="4"/>
        <v>1682</v>
      </c>
      <c r="B43" s="48" t="s">
        <v>967</v>
      </c>
      <c r="C43" s="45" t="s">
        <v>315</v>
      </c>
      <c r="D43" s="45">
        <v>1</v>
      </c>
      <c r="E43" s="46" t="str">
        <f>IF(ISNUMBER(SEARCH("CT",B43)),
   "CrossTransferStation[" &amp; (Q$3 + COUNTIF($B$2:B43,"*CT*") - 1) &amp; "]",
   IF( OR(ISNUMBER(SEARCH("TT",B43)), AND(ISNUMBER(SEARCH("C",B43)), NOT(ISNUMBER(SEARCH("CT",B43)))) ),
      "ConveyorStation[" &amp; (Q$2 + COUNTIFS($B$2:B43,"*C*",$B$2:B43,"&lt;&gt;*CT*") + COUNTIF($B$2:B43,"*TT*") - 1) &amp; "]",
      ""))</f>
        <v>ConveyorStation[252]</v>
      </c>
      <c r="F43" s="9"/>
      <c r="G43" s="9"/>
      <c r="H43" s="9"/>
      <c r="I43" s="9"/>
      <c r="J43" s="9" t="s">
        <v>968</v>
      </c>
      <c r="K43" s="10" t="s">
        <v>470</v>
      </c>
      <c r="L43" s="47" t="s">
        <v>350</v>
      </c>
      <c r="M43" s="47" t="s">
        <v>350</v>
      </c>
      <c r="N43" s="11"/>
    </row>
    <row r="44" spans="1:14" ht="39" x14ac:dyDescent="0.3">
      <c r="A44" s="7" t="str">
        <f t="shared" si="4"/>
        <v>1691</v>
      </c>
      <c r="B44" s="48" t="s">
        <v>969</v>
      </c>
      <c r="C44" s="45" t="s">
        <v>315</v>
      </c>
      <c r="D44" s="45">
        <v>1</v>
      </c>
      <c r="E44" s="46" t="str">
        <f>IF(ISNUMBER(SEARCH("CT",B44)),
   "CrossTransferStation[" &amp; (Q$3 + COUNTIF($B$2:B44,"*CT*") - 1) &amp; "]",
   IF( OR(ISNUMBER(SEARCH("TT",B44)), AND(ISNUMBER(SEARCH("C",B44)), NOT(ISNUMBER(SEARCH("CT",B44)))) ),
      "ConveyorStation[" &amp; (Q$2 + COUNTIFS($B$2:B44,"*C*",$B$2:B44,"&lt;&gt;*CT*") + COUNTIF($B$2:B44,"*TT*") - 1) &amp; "]",
      ""))</f>
        <v>ConveyorStation[253]</v>
      </c>
      <c r="F44" s="9"/>
      <c r="G44" s="9"/>
      <c r="H44" s="9"/>
      <c r="I44" s="9"/>
      <c r="J44" s="9" t="s">
        <v>970</v>
      </c>
      <c r="K44" s="9"/>
      <c r="L44" s="47" t="s">
        <v>350</v>
      </c>
      <c r="M44" s="47" t="s">
        <v>350</v>
      </c>
      <c r="N44" s="11"/>
    </row>
    <row r="45" spans="1:14" ht="52" x14ac:dyDescent="0.3">
      <c r="A45" s="7" t="str">
        <f t="shared" si="4"/>
        <v>1692</v>
      </c>
      <c r="B45" s="48" t="s">
        <v>971</v>
      </c>
      <c r="C45" s="45" t="s">
        <v>315</v>
      </c>
      <c r="D45" s="45">
        <v>1</v>
      </c>
      <c r="E45" s="46" t="str">
        <f>IF(ISNUMBER(SEARCH("CT",B45)),
   "CrossTransferStation[" &amp; (Q$3 + COUNTIF($B$2:B45,"*CT*") - 1) &amp; "]",
   IF( OR(ISNUMBER(SEARCH("TT",B45)), AND(ISNUMBER(SEARCH("C",B45)), NOT(ISNUMBER(SEARCH("CT",B45)))) ),
      "ConveyorStation[" &amp; (Q$2 + COUNTIFS($B$2:B45,"*C*",$B$2:B45,"&lt;&gt;*CT*") + COUNTIF($B$2:B45,"*TT*") - 1) &amp; "]",
      ""))</f>
        <v>ConveyorStation[254]</v>
      </c>
      <c r="F45" s="9" t="s">
        <v>972</v>
      </c>
      <c r="G45" s="9"/>
      <c r="H45" s="9"/>
      <c r="I45" s="9"/>
      <c r="J45" s="9" t="s">
        <v>973</v>
      </c>
      <c r="K45" s="9"/>
      <c r="L45" s="47" t="s">
        <v>350</v>
      </c>
      <c r="M45" s="47" t="s">
        <v>350</v>
      </c>
      <c r="N45" s="11"/>
    </row>
    <row r="46" spans="1:14" ht="26" x14ac:dyDescent="0.3">
      <c r="A46" s="7" t="str">
        <f t="shared" si="4"/>
        <v>11701</v>
      </c>
      <c r="B46" s="48" t="s">
        <v>974</v>
      </c>
      <c r="C46" s="45" t="s">
        <v>315</v>
      </c>
      <c r="D46" s="45">
        <v>1</v>
      </c>
      <c r="E46" s="46" t="str">
        <f>IF(ISNUMBER(SEARCH("CT",B46)),
   "CrossTransferStation[" &amp; (Q$3 + COUNTIF($B$2:B46,"*CT*") - 1) &amp; "]",
   IF( OR(ISNUMBER(SEARCH("TT",B46)), AND(ISNUMBER(SEARCH("C",B46)), NOT(ISNUMBER(SEARCH("CT",B46)))) ),
      "ConveyorStation[" &amp; (Q$2 + COUNTIFS($B$2:B46,"*C*",$B$2:B46,"&lt;&gt;*CT*") + COUNTIF($B$2:B46,"*TT*") - 1) &amp; "]",
      ""))</f>
        <v>CrossTransferStation[112]</v>
      </c>
      <c r="F46" s="9" t="s">
        <v>975</v>
      </c>
      <c r="G46" s="9"/>
      <c r="H46" s="9"/>
      <c r="I46" s="9"/>
      <c r="J46" s="9" t="s">
        <v>976</v>
      </c>
      <c r="K46" s="9"/>
      <c r="L46" s="47" t="s">
        <v>350</v>
      </c>
      <c r="M46" s="47" t="s">
        <v>351</v>
      </c>
      <c r="N46" s="11"/>
    </row>
    <row r="47" spans="1:14" ht="14.5" x14ac:dyDescent="0.3">
      <c r="A47" s="48" t="str">
        <f t="shared" si="4"/>
        <v>1711</v>
      </c>
      <c r="B47" s="48" t="s">
        <v>977</v>
      </c>
      <c r="C47" s="48" t="s">
        <v>315</v>
      </c>
      <c r="D47" s="45">
        <v>1</v>
      </c>
      <c r="E47" s="248" t="str">
        <f>IF(ISNUMBER(SEARCH("CT",B47)),
   "CrossTransferStation[" &amp; (Q$3 + COUNTIF($B$2:B52,"*CT*") - 1) &amp; "]",
   IF( OR(ISNUMBER(SEARCH("TT",B47)), AND(ISNUMBER(SEARCH("C",B47)), NOT(ISNUMBER(SEARCH("CT",B47)))) ),
      "ConveyorStation[" &amp; (Q$2 + COUNTIFS($B$2:B52,"*C*",$B$2:B52,"&lt;&gt;*CT*") + COUNTIF($B$2:B52,"*TT*") - 1) &amp; "]",
      ""))</f>
        <v>ConveyorStation[255]</v>
      </c>
      <c r="F47" s="9" t="s">
        <v>978</v>
      </c>
      <c r="G47" s="9"/>
      <c r="H47" s="9"/>
      <c r="I47" s="9"/>
      <c r="J47" s="9" t="s">
        <v>979</v>
      </c>
      <c r="K47" s="9"/>
      <c r="L47" s="47" t="s">
        <v>350</v>
      </c>
      <c r="M47" s="47" t="s">
        <v>351</v>
      </c>
      <c r="N47" s="11"/>
    </row>
    <row r="48" spans="1:14" ht="26" x14ac:dyDescent="0.3">
      <c r="A48" s="7"/>
      <c r="B48" s="10" t="s">
        <v>1931</v>
      </c>
      <c r="C48" s="48" t="s">
        <v>315</v>
      </c>
      <c r="D48" s="45">
        <v>1</v>
      </c>
      <c r="E48" s="9" t="s">
        <v>1961</v>
      </c>
      <c r="F48" s="9"/>
      <c r="G48" s="9"/>
      <c r="H48" s="9"/>
      <c r="I48" s="9"/>
      <c r="J48" s="9"/>
      <c r="K48" s="9"/>
      <c r="L48" s="10"/>
      <c r="M48" s="10"/>
      <c r="N48" s="11"/>
    </row>
    <row r="49" spans="1:14" ht="26" x14ac:dyDescent="0.3">
      <c r="A49" s="7"/>
      <c r="B49" s="10" t="s">
        <v>1932</v>
      </c>
      <c r="C49" s="48" t="s">
        <v>315</v>
      </c>
      <c r="D49" s="45">
        <v>1</v>
      </c>
      <c r="E49" s="9" t="s">
        <v>1962</v>
      </c>
      <c r="F49" s="9"/>
      <c r="G49" s="9"/>
      <c r="H49" s="9"/>
      <c r="I49" s="9"/>
      <c r="J49" s="9"/>
      <c r="K49" s="9"/>
      <c r="L49" s="10"/>
      <c r="M49" s="10"/>
      <c r="N49" s="11"/>
    </row>
    <row r="50" spans="1:14" ht="26" x14ac:dyDescent="0.3">
      <c r="A50" s="7"/>
      <c r="B50" s="10" t="s">
        <v>1933</v>
      </c>
      <c r="C50" s="48" t="s">
        <v>315</v>
      </c>
      <c r="D50" s="45">
        <v>1</v>
      </c>
      <c r="E50" s="9" t="s">
        <v>1963</v>
      </c>
      <c r="F50" s="9"/>
      <c r="G50" s="9"/>
      <c r="H50" s="9"/>
      <c r="I50" s="9"/>
      <c r="J50" s="9"/>
      <c r="K50" s="9"/>
      <c r="L50" s="10"/>
      <c r="M50" s="10"/>
      <c r="N50" s="11"/>
    </row>
    <row r="51" spans="1:14" ht="26" x14ac:dyDescent="0.3">
      <c r="A51" s="7"/>
      <c r="B51" s="10" t="s">
        <v>1934</v>
      </c>
      <c r="C51" s="48" t="s">
        <v>315</v>
      </c>
      <c r="D51" s="45">
        <v>1</v>
      </c>
      <c r="E51" s="9" t="s">
        <v>1964</v>
      </c>
      <c r="F51" s="9"/>
      <c r="G51" s="9"/>
      <c r="H51" s="9"/>
      <c r="I51" s="9"/>
      <c r="J51" s="9"/>
      <c r="K51" s="9"/>
      <c r="L51" s="10"/>
      <c r="M51" s="10"/>
      <c r="N51" s="11"/>
    </row>
    <row r="52" spans="1:14" ht="26" x14ac:dyDescent="0.3">
      <c r="A52" s="60"/>
      <c r="B52" s="28" t="s">
        <v>1935</v>
      </c>
      <c r="C52" s="48" t="s">
        <v>315</v>
      </c>
      <c r="D52" s="45">
        <v>1</v>
      </c>
      <c r="E52" s="9" t="s">
        <v>1965</v>
      </c>
      <c r="F52" s="27"/>
      <c r="G52" s="27"/>
      <c r="H52" s="27"/>
      <c r="I52" s="27"/>
      <c r="J52" s="27"/>
      <c r="K52" s="27"/>
      <c r="L52" s="28"/>
      <c r="M52" s="28"/>
      <c r="N52" s="29"/>
    </row>
  </sheetData>
  <phoneticPr fontId="10" type="noConversion"/>
  <pageMargins left="0.7" right="0.7" top="0.75" bottom="0.75" header="0.3" footer="0.3"/>
  <pageSetup paperSize="9" orientation="portrait" verticalDpi="0" r:id="rId1"/>
  <ignoredErrors>
    <ignoredError sqref="T18" formulaRange="1"/>
    <ignoredError sqref="E47:E52" calculatedColumn="1"/>
  </ignoredErrors>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C62CD-3B5E-4E88-BC07-43FF89B84752}">
  <dimension ref="A1:Y55"/>
  <sheetViews>
    <sheetView topLeftCell="A46" zoomScaleNormal="100" workbookViewId="0">
      <selection activeCell="E49" sqref="E49:E55"/>
    </sheetView>
  </sheetViews>
  <sheetFormatPr defaultColWidth="10.54296875" defaultRowHeight="14.5" x14ac:dyDescent="0.35"/>
  <cols>
    <col min="1" max="1" width="7.1796875" style="30" customWidth="1"/>
    <col min="2" max="2" width="20.1796875" style="30" customWidth="1"/>
    <col min="3" max="3" width="10.453125" style="30" bestFit="1" customWidth="1"/>
    <col min="4" max="4" width="11.453125" style="30" bestFit="1" customWidth="1"/>
    <col min="5" max="5" width="23.81640625" style="31" bestFit="1" customWidth="1"/>
    <col min="6" max="6" width="20.26953125" style="31" bestFit="1" customWidth="1"/>
    <col min="7" max="7" width="28.7265625" style="31" customWidth="1"/>
    <col min="8" max="8" width="23.81640625" bestFit="1" customWidth="1"/>
    <col min="9" max="9" width="16.453125" style="31" bestFit="1" customWidth="1"/>
    <col min="10" max="10" width="30.7265625" style="31" bestFit="1" customWidth="1"/>
    <col min="11" max="11" width="24" style="31" bestFit="1" customWidth="1"/>
    <col min="12" max="12" width="15.7265625" style="31" bestFit="1" customWidth="1"/>
    <col min="13" max="13" width="15.7265625" style="30" bestFit="1" customWidth="1"/>
    <col min="14" max="14" width="25.1796875" style="30" customWidth="1"/>
    <col min="15" max="15" width="12.26953125" style="30" bestFit="1" customWidth="1"/>
    <col min="16" max="16" width="14.453125" style="61" bestFit="1" customWidth="1"/>
    <col min="17" max="17" width="4.1796875" style="61" bestFit="1" customWidth="1"/>
    <col min="18" max="18" width="4.453125" style="61" bestFit="1" customWidth="1"/>
    <col min="19" max="19" width="10" style="61" bestFit="1" customWidth="1"/>
    <col min="20" max="20" width="9.81640625" style="61" bestFit="1" customWidth="1"/>
    <col min="21" max="22" width="3" style="61" bestFit="1" customWidth="1"/>
    <col min="23" max="25" width="10.54296875" style="61"/>
    <col min="26" max="16384" width="10.54296875" style="6"/>
  </cols>
  <sheetData>
    <row r="1" spans="1:25" ht="26" x14ac:dyDescent="0.3">
      <c r="A1" s="1" t="s">
        <v>334</v>
      </c>
      <c r="B1" s="2" t="s">
        <v>308</v>
      </c>
      <c r="C1" s="2" t="s">
        <v>335</v>
      </c>
      <c r="D1" s="2" t="s">
        <v>336</v>
      </c>
      <c r="E1" s="3" t="s">
        <v>337</v>
      </c>
      <c r="F1" s="3" t="s">
        <v>338</v>
      </c>
      <c r="G1" s="3" t="s">
        <v>459</v>
      </c>
      <c r="H1" s="3" t="s">
        <v>340</v>
      </c>
      <c r="I1" s="3" t="s">
        <v>341</v>
      </c>
      <c r="J1" s="3" t="s">
        <v>342</v>
      </c>
      <c r="K1" s="3" t="s">
        <v>343</v>
      </c>
      <c r="L1" s="4" t="s">
        <v>344</v>
      </c>
      <c r="M1" s="4" t="s">
        <v>345</v>
      </c>
      <c r="N1" s="5" t="s">
        <v>346</v>
      </c>
      <c r="O1" s="61"/>
      <c r="Y1" s="6"/>
    </row>
    <row r="2" spans="1:25" x14ac:dyDescent="0.3">
      <c r="A2" s="44" t="str">
        <f t="shared" ref="A2:A49" si="0">IF(ISNUMBER(SEARCH("CT",B2)),"1"&amp;MID(B2,2,FIND("CT",B2)-2)&amp;RIGHT(B2,1),MID(B2,2,FIND("C",B2)-2)&amp;RIGHT(B2,1))</f>
        <v>431</v>
      </c>
      <c r="B2" s="45" t="s">
        <v>980</v>
      </c>
      <c r="C2" s="45" t="s">
        <v>316</v>
      </c>
      <c r="D2" s="45">
        <v>1</v>
      </c>
      <c r="E2" s="46" t="str">
        <f>IF(ISNUMBER(SEARCH("CT",B2)),
   "CrossTransferStation[" &amp; (Q$3 + COUNTIF($B$2:B2,"*CT*") - 1) &amp; "]",
   IF( OR(ISNUMBER(SEARCH("TT",B2)), AND(ISNUMBER(SEARCH("C",B2)), NOT(ISNUMBER(SEARCH("CT",B2)))) ),
      "ConveyorStation[" &amp; (Q$2 + COUNTIFS($B$2:B2,"*C*",$B$2:B2,"&lt;&gt;*CT*") + COUNTIF($B$2:B2,"*TT*") - 1) &amp; "]",
      ""))</f>
        <v>ConveyorStation[266]</v>
      </c>
      <c r="F2" s="9" t="s">
        <v>981</v>
      </c>
      <c r="G2" s="53"/>
      <c r="H2" s="9"/>
      <c r="I2" s="9"/>
      <c r="J2" s="9" t="s">
        <v>982</v>
      </c>
      <c r="K2" s="9"/>
      <c r="L2" s="146" t="s">
        <v>351</v>
      </c>
      <c r="M2" s="146" t="s">
        <v>350</v>
      </c>
      <c r="N2" s="11"/>
      <c r="O2" s="61"/>
      <c r="P2" s="62" t="s">
        <v>352</v>
      </c>
      <c r="Q2" s="63">
        <v>266</v>
      </c>
      <c r="Y2" s="6"/>
    </row>
    <row r="3" spans="1:25" ht="26" x14ac:dyDescent="0.3">
      <c r="A3" s="44" t="str">
        <f t="shared" si="0"/>
        <v>1441</v>
      </c>
      <c r="B3" s="45" t="s">
        <v>983</v>
      </c>
      <c r="C3" s="45" t="s">
        <v>316</v>
      </c>
      <c r="D3" s="45">
        <v>1</v>
      </c>
      <c r="E3" s="46" t="str">
        <f>IF(ISNUMBER(SEARCH("CT",B3)),
   "CrossTransferStation[" &amp; (Q$3 + COUNTIF($B$2:B3,"*CT*") - 1) &amp; "]",
   IF( OR(ISNUMBER(SEARCH("TT",B3)), AND(ISNUMBER(SEARCH("C",B3)), NOT(ISNUMBER(SEARCH("CT",B3)))) ),
      "ConveyorStation[" &amp; (Q$2 + COUNTIFS($B$2:B3,"*C*",$B$2:B3,"&lt;&gt;*CT*") + COUNTIF($B$2:B3,"*TT*") - 1) &amp; "]",
      ""))</f>
        <v>CrossTransferStation[123]</v>
      </c>
      <c r="F3" s="9" t="s">
        <v>984</v>
      </c>
      <c r="G3" s="9"/>
      <c r="H3" s="9"/>
      <c r="I3" s="9"/>
      <c r="J3" s="9" t="s">
        <v>985</v>
      </c>
      <c r="K3" s="9"/>
      <c r="L3" s="47" t="s">
        <v>351</v>
      </c>
      <c r="M3" s="146" t="s">
        <v>350</v>
      </c>
      <c r="N3" s="11"/>
      <c r="O3" s="61"/>
      <c r="P3" s="62" t="s">
        <v>356</v>
      </c>
      <c r="Q3" s="63">
        <v>123</v>
      </c>
      <c r="Y3" s="6"/>
    </row>
    <row r="4" spans="1:25" ht="13" x14ac:dyDescent="0.3">
      <c r="A4" s="23" t="str">
        <f t="shared" si="0"/>
        <v>451</v>
      </c>
      <c r="B4" s="48" t="s">
        <v>986</v>
      </c>
      <c r="C4" s="45" t="s">
        <v>316</v>
      </c>
      <c r="D4" s="45">
        <v>1</v>
      </c>
      <c r="E4" s="46" t="str">
        <f>IF(ISNUMBER(SEARCH("CT",B4)),
   "CrossTransferStation[" &amp; (Q$3 + COUNTIF($B$2:B4,"*CT*") - 1) &amp; "]",
   IF( OR(ISNUMBER(SEARCH("TT",B4)), AND(ISNUMBER(SEARCH("C",B4)), NOT(ISNUMBER(SEARCH("CT",B4)))) ),
      "ConveyorStation[" &amp; (Q$2 + COUNTIFS($B$2:B4,"*C*",$B$2:B4,"&lt;&gt;*CT*") + COUNTIF($B$2:B4,"*TT*") - 1) &amp; "]",
      ""))</f>
        <v>ConveyorStation[267]</v>
      </c>
      <c r="F4" s="9"/>
      <c r="G4" s="9"/>
      <c r="H4" s="9"/>
      <c r="I4" s="9"/>
      <c r="J4" s="9" t="s">
        <v>987</v>
      </c>
      <c r="K4" s="9"/>
      <c r="L4" s="24" t="s">
        <v>350</v>
      </c>
      <c r="M4" s="24" t="s">
        <v>350</v>
      </c>
      <c r="N4" s="11"/>
      <c r="O4" s="61"/>
      <c r="P4" s="62"/>
      <c r="Q4" s="64"/>
      <c r="Y4" s="6"/>
    </row>
    <row r="5" spans="1:25" ht="26" x14ac:dyDescent="0.3">
      <c r="A5" s="44" t="str">
        <f t="shared" si="0"/>
        <v>452</v>
      </c>
      <c r="B5" s="48" t="s">
        <v>988</v>
      </c>
      <c r="C5" s="45" t="s">
        <v>316</v>
      </c>
      <c r="D5" s="45">
        <v>1</v>
      </c>
      <c r="E5" s="46" t="str">
        <f>IF(ISNUMBER(SEARCH("CT",B5)),
   "CrossTransferStation[" &amp; (Q$3 + COUNTIF($B$2:B5,"*CT*") - 1) &amp; "]",
   IF( OR(ISNUMBER(SEARCH("TT",B5)), AND(ISNUMBER(SEARCH("C",B5)), NOT(ISNUMBER(SEARCH("CT",B5)))) ),
      "ConveyorStation[" &amp; (Q$2 + COUNTIFS($B$2:B5,"*C*",$B$2:B5,"&lt;&gt;*CT*") + COUNTIF($B$2:B5,"*TT*") - 1) &amp; "]",
      ""))</f>
        <v>ConveyorStation[268]</v>
      </c>
      <c r="F5" s="9"/>
      <c r="G5" s="9"/>
      <c r="H5" s="9"/>
      <c r="I5" s="9"/>
      <c r="J5" s="9" t="s">
        <v>989</v>
      </c>
      <c r="K5" s="10" t="s">
        <v>470</v>
      </c>
      <c r="L5" s="47" t="s">
        <v>350</v>
      </c>
      <c r="M5" s="47" t="s">
        <v>350</v>
      </c>
      <c r="N5" s="11"/>
      <c r="O5" s="61"/>
      <c r="Y5" s="6"/>
    </row>
    <row r="6" spans="1:25" ht="13" x14ac:dyDescent="0.3">
      <c r="A6" s="44" t="str">
        <f t="shared" si="0"/>
        <v>461</v>
      </c>
      <c r="B6" s="48" t="s">
        <v>990</v>
      </c>
      <c r="C6" s="45" t="s">
        <v>316</v>
      </c>
      <c r="D6" s="45">
        <v>1</v>
      </c>
      <c r="E6" s="46" t="str">
        <f>IF(ISNUMBER(SEARCH("CT",B6)),
   "CrossTransferStation[" &amp; (Q$3 + COUNTIF($B$2:B6,"*CT*") - 1) &amp; "]",
   IF( OR(ISNUMBER(SEARCH("TT",B6)), AND(ISNUMBER(SEARCH("C",B6)), NOT(ISNUMBER(SEARCH("CT",B6)))) ),
      "ConveyorStation[" &amp; (Q$2 + COUNTIFS($B$2:B6,"*C*",$B$2:B6,"&lt;&gt;*CT*") + COUNTIF($B$2:B6,"*TT*") - 1) &amp; "]",
      ""))</f>
        <v>ConveyorStation[269]</v>
      </c>
      <c r="F6" s="9"/>
      <c r="G6" s="9"/>
      <c r="H6" s="9"/>
      <c r="I6" s="9"/>
      <c r="J6" s="9" t="s">
        <v>987</v>
      </c>
      <c r="K6" s="9"/>
      <c r="L6" s="47" t="s">
        <v>350</v>
      </c>
      <c r="M6" s="47" t="s">
        <v>350</v>
      </c>
      <c r="N6" s="11"/>
      <c r="O6" s="61"/>
      <c r="P6" s="65" t="s">
        <v>308</v>
      </c>
      <c r="Q6" s="65" t="s">
        <v>365</v>
      </c>
      <c r="R6" s="65" t="s">
        <v>366</v>
      </c>
      <c r="S6" s="65" t="s">
        <v>367</v>
      </c>
      <c r="T6" s="65" t="s">
        <v>368</v>
      </c>
      <c r="Y6" s="6"/>
    </row>
    <row r="7" spans="1:25" x14ac:dyDescent="0.3">
      <c r="A7" s="44" t="str">
        <f t="shared" si="0"/>
        <v>462</v>
      </c>
      <c r="B7" s="48" t="s">
        <v>991</v>
      </c>
      <c r="C7" s="45" t="s">
        <v>316</v>
      </c>
      <c r="D7" s="45">
        <v>1</v>
      </c>
      <c r="E7" s="46" t="str">
        <f>IF(ISNUMBER(SEARCH("CT",B7)),
   "CrossTransferStation[" &amp; (Q$3 + COUNTIF($B$2:B7,"*CT*") - 1) &amp; "]",
   IF( OR(ISNUMBER(SEARCH("TT",B7)), AND(ISNUMBER(SEARCH("C",B7)), NOT(ISNUMBER(SEARCH("CT",B7)))) ),
      "ConveyorStation[" &amp; (Q$2 + COUNTIFS($B$2:B7,"*C*",$B$2:B7,"&lt;&gt;*CT*") + COUNTIF($B$2:B7,"*TT*") - 1) &amp; "]",
      ""))</f>
        <v>ConveyorStation[270]</v>
      </c>
      <c r="F7" s="9"/>
      <c r="G7" s="9"/>
      <c r="H7" s="9"/>
      <c r="I7" s="9"/>
      <c r="J7" s="9" t="s">
        <v>987</v>
      </c>
      <c r="K7" s="9"/>
      <c r="L7" s="47" t="s">
        <v>350</v>
      </c>
      <c r="M7" s="47" t="s">
        <v>350</v>
      </c>
      <c r="N7" s="11"/>
      <c r="O7" s="61"/>
      <c r="P7" s="9" t="s">
        <v>322</v>
      </c>
      <c r="Q7" s="63">
        <v>266</v>
      </c>
      <c r="R7" s="63">
        <v>307</v>
      </c>
      <c r="S7" s="63">
        <v>10</v>
      </c>
      <c r="T7" s="66">
        <f>SUM(R7:S7)+1</f>
        <v>318</v>
      </c>
      <c r="U7" s="42">
        <f>T7-S7-Q7</f>
        <v>42</v>
      </c>
      <c r="Y7" s="6"/>
    </row>
    <row r="8" spans="1:25" ht="26" x14ac:dyDescent="0.3">
      <c r="A8" s="7" t="str">
        <f t="shared" si="0"/>
        <v>471</v>
      </c>
      <c r="B8" s="48" t="s">
        <v>992</v>
      </c>
      <c r="C8" s="45" t="s">
        <v>316</v>
      </c>
      <c r="D8" s="45">
        <v>1</v>
      </c>
      <c r="E8" s="46" t="str">
        <f>IF(ISNUMBER(SEARCH("CT",B8)),
   "CrossTransferStation[" &amp; (Q$3 + COUNTIF($B$2:B8,"*CT*") - 1) &amp; "]",
   IF( OR(ISNUMBER(SEARCH("TT",B8)), AND(ISNUMBER(SEARCH("C",B8)), NOT(ISNUMBER(SEARCH("CT",B8)))) ),
      "ConveyorStation[" &amp; (Q$2 + COUNTIFS($B$2:B8,"*C*",$B$2:B8,"&lt;&gt;*CT*") + COUNTIF($B$2:B8,"*TT*") - 1) &amp; "]",
      ""))</f>
        <v>ConveyorStation[271]</v>
      </c>
      <c r="F8" s="9" t="s">
        <v>993</v>
      </c>
      <c r="G8" s="9"/>
      <c r="H8" s="9"/>
      <c r="I8" s="9"/>
      <c r="J8" s="9" t="s">
        <v>987</v>
      </c>
      <c r="K8" s="9"/>
      <c r="L8" s="146" t="s">
        <v>351</v>
      </c>
      <c r="M8" s="146" t="s">
        <v>350</v>
      </c>
      <c r="N8" s="11"/>
      <c r="O8" s="61"/>
      <c r="P8" s="9" t="s">
        <v>323</v>
      </c>
      <c r="Q8" s="63">
        <v>123</v>
      </c>
      <c r="R8" s="63">
        <v>128</v>
      </c>
      <c r="S8" s="63">
        <v>10</v>
      </c>
      <c r="T8" s="66">
        <f t="shared" ref="T8:T13" si="1">SUM(R8:S8)+1</f>
        <v>139</v>
      </c>
      <c r="U8" s="42">
        <f t="shared" ref="U8:U18" si="2">T8-S8-Q8</f>
        <v>6</v>
      </c>
      <c r="Y8" s="6"/>
    </row>
    <row r="9" spans="1:25" ht="39" x14ac:dyDescent="0.3">
      <c r="A9" s="7" t="str">
        <f t="shared" si="0"/>
        <v>1481</v>
      </c>
      <c r="B9" s="48" t="s">
        <v>994</v>
      </c>
      <c r="C9" s="45" t="s">
        <v>316</v>
      </c>
      <c r="D9" s="45">
        <v>1</v>
      </c>
      <c r="E9" s="46" t="str">
        <f>IF(ISNUMBER(SEARCH("CT",B9)),
   "CrossTransferStation[" &amp; (Q$3 + COUNTIF($B$2:B9,"*CT*") - 1) &amp; "]",
   IF( OR(ISNUMBER(SEARCH("TT",B9)), AND(ISNUMBER(SEARCH("C",B9)), NOT(ISNUMBER(SEARCH("CT",B9)))) ),
      "ConveyorStation[" &amp; (Q$2 + COUNTIFS($B$2:B9,"*C*",$B$2:B9,"&lt;&gt;*CT*") + COUNTIF($B$2:B9,"*TT*") - 1) &amp; "]",
      ""))</f>
        <v>CrossTransferStation[124]</v>
      </c>
      <c r="F9" s="9" t="s">
        <v>995</v>
      </c>
      <c r="G9" s="9"/>
      <c r="H9" s="9"/>
      <c r="I9" s="9"/>
      <c r="J9" s="9" t="s">
        <v>996</v>
      </c>
      <c r="K9" s="10" t="s">
        <v>470</v>
      </c>
      <c r="L9" s="47" t="s">
        <v>351</v>
      </c>
      <c r="M9" s="47" t="s">
        <v>351</v>
      </c>
      <c r="N9" s="11"/>
      <c r="O9" s="61"/>
      <c r="P9" s="9" t="s">
        <v>324</v>
      </c>
      <c r="Q9" s="63">
        <v>109</v>
      </c>
      <c r="R9" s="63">
        <v>114</v>
      </c>
      <c r="S9" s="63">
        <v>10</v>
      </c>
      <c r="T9" s="66">
        <f t="shared" si="1"/>
        <v>125</v>
      </c>
      <c r="U9" s="42">
        <f t="shared" si="2"/>
        <v>6</v>
      </c>
      <c r="Y9" s="6"/>
    </row>
    <row r="10" spans="1:25" ht="26" x14ac:dyDescent="0.3">
      <c r="A10" s="7" t="str">
        <f t="shared" si="0"/>
        <v>491</v>
      </c>
      <c r="B10" s="48" t="s">
        <v>997</v>
      </c>
      <c r="C10" s="45" t="s">
        <v>316</v>
      </c>
      <c r="D10" s="45">
        <v>1</v>
      </c>
      <c r="E10" s="46" t="str">
        <f>IF(ISNUMBER(SEARCH("CT",B10)),
   "CrossTransferStation[" &amp; (Q$3 + COUNTIF($B$2:B10,"*CT*") - 1) &amp; "]",
   IF( OR(ISNUMBER(SEARCH("TT",B10)), AND(ISNUMBER(SEARCH("C",B10)), NOT(ISNUMBER(SEARCH("CT",B10)))) ),
      "ConveyorStation[" &amp; (Q$2 + COUNTIFS($B$2:B10,"*C*",$B$2:B10,"&lt;&gt;*CT*") + COUNTIF($B$2:B10,"*TT*") - 1) &amp; "]",
      ""))</f>
        <v>ConveyorStation[272]</v>
      </c>
      <c r="F10" s="9"/>
      <c r="G10" s="9"/>
      <c r="H10" s="9"/>
      <c r="I10" s="9"/>
      <c r="J10" s="9" t="s">
        <v>998</v>
      </c>
      <c r="K10" s="10" t="s">
        <v>470</v>
      </c>
      <c r="L10" s="47" t="s">
        <v>350</v>
      </c>
      <c r="M10" s="47" t="s">
        <v>350</v>
      </c>
      <c r="N10" s="11"/>
      <c r="O10" s="61"/>
      <c r="P10" s="9" t="s">
        <v>325</v>
      </c>
      <c r="Q10" s="63">
        <v>84</v>
      </c>
      <c r="R10" s="63">
        <v>106</v>
      </c>
      <c r="S10" s="63">
        <v>10</v>
      </c>
      <c r="T10" s="66">
        <f t="shared" si="1"/>
        <v>117</v>
      </c>
      <c r="U10" s="42">
        <f t="shared" si="2"/>
        <v>23</v>
      </c>
      <c r="Y10" s="6"/>
    </row>
    <row r="11" spans="1:25" ht="39" x14ac:dyDescent="0.3">
      <c r="A11" s="7" t="str">
        <f t="shared" si="0"/>
        <v>501</v>
      </c>
      <c r="B11" s="48" t="s">
        <v>999</v>
      </c>
      <c r="C11" s="45" t="s">
        <v>316</v>
      </c>
      <c r="D11" s="45">
        <v>1</v>
      </c>
      <c r="E11" s="46" t="str">
        <f>IF(ISNUMBER(SEARCH("CT",B11)),
   "CrossTransferStation[" &amp; (Q$3 + COUNTIF($B$2:B11,"*CT*") - 1) &amp; "]",
   IF( OR(ISNUMBER(SEARCH("TT",B11)), AND(ISNUMBER(SEARCH("C",B11)), NOT(ISNUMBER(SEARCH("CT",B11)))) ),
      "ConveyorStation[" &amp; (Q$2 + COUNTIFS($B$2:B11,"*C*",$B$2:B11,"&lt;&gt;*CT*") + COUNTIF($B$2:B11,"*TT*") - 1) &amp; "]",
      ""))</f>
        <v>ConveyorStation[273]</v>
      </c>
      <c r="F11" s="9" t="s">
        <v>1000</v>
      </c>
      <c r="G11" s="53"/>
      <c r="H11" s="9"/>
      <c r="I11" s="9"/>
      <c r="J11" s="53" t="s">
        <v>1001</v>
      </c>
      <c r="K11" s="9"/>
      <c r="L11" s="47" t="s">
        <v>351</v>
      </c>
      <c r="M11" s="47" t="s">
        <v>351</v>
      </c>
      <c r="N11" s="11"/>
      <c r="O11" s="61"/>
      <c r="P11" s="9" t="s">
        <v>326</v>
      </c>
      <c r="Q11" s="63">
        <v>102</v>
      </c>
      <c r="R11" s="63">
        <v>123</v>
      </c>
      <c r="S11" s="63">
        <v>10</v>
      </c>
      <c r="T11" s="66">
        <f t="shared" si="1"/>
        <v>134</v>
      </c>
      <c r="U11" s="42">
        <f t="shared" si="2"/>
        <v>22</v>
      </c>
      <c r="Y11" s="6"/>
    </row>
    <row r="12" spans="1:25" ht="39" x14ac:dyDescent="0.3">
      <c r="A12" s="7" t="str">
        <f t="shared" si="0"/>
        <v>502</v>
      </c>
      <c r="B12" s="48" t="s">
        <v>1002</v>
      </c>
      <c r="C12" s="45" t="s">
        <v>316</v>
      </c>
      <c r="D12" s="45">
        <v>1</v>
      </c>
      <c r="E12" s="46" t="str">
        <f>IF(ISNUMBER(SEARCH("CT",B12)),
   "CrossTransferStation[" &amp; (Q$3 + COUNTIF($B$2:B12,"*CT*") - 1) &amp; "]",
   IF( OR(ISNUMBER(SEARCH("TT",B12)), AND(ISNUMBER(SEARCH("C",B12)), NOT(ISNUMBER(SEARCH("CT",B12)))) ),
      "ConveyorStation[" &amp; (Q$2 + COUNTIFS($B$2:B12,"*C*",$B$2:B12,"&lt;&gt;*CT*") + COUNTIF($B$2:B12,"*TT*") - 1) &amp; "]",
      ""))</f>
        <v>ConveyorStation[274]</v>
      </c>
      <c r="F12" s="9" t="s">
        <v>1003</v>
      </c>
      <c r="G12" s="9"/>
      <c r="H12" s="9"/>
      <c r="I12" s="9"/>
      <c r="J12" s="9" t="s">
        <v>1004</v>
      </c>
      <c r="K12" s="9"/>
      <c r="L12" s="47" t="s">
        <v>351</v>
      </c>
      <c r="M12" s="47" t="s">
        <v>351</v>
      </c>
      <c r="N12" s="11"/>
      <c r="O12" s="61"/>
      <c r="P12" s="9" t="s">
        <v>327</v>
      </c>
      <c r="Q12" s="63">
        <v>56</v>
      </c>
      <c r="R12" s="63">
        <v>57</v>
      </c>
      <c r="S12" s="63">
        <v>10</v>
      </c>
      <c r="T12" s="66">
        <f t="shared" si="1"/>
        <v>68</v>
      </c>
      <c r="U12" s="42">
        <f t="shared" si="2"/>
        <v>2</v>
      </c>
      <c r="Y12" s="6"/>
    </row>
    <row r="13" spans="1:25" ht="26" x14ac:dyDescent="0.3">
      <c r="A13" s="7" t="str">
        <f t="shared" si="0"/>
        <v>511</v>
      </c>
      <c r="B13" s="48" t="s">
        <v>1005</v>
      </c>
      <c r="C13" s="45" t="s">
        <v>316</v>
      </c>
      <c r="D13" s="45">
        <v>1</v>
      </c>
      <c r="E13" s="46" t="str">
        <f>IF(ISNUMBER(SEARCH("CT",B13)),
   "CrossTransferStation[" &amp; (Q$3 + COUNTIF($B$2:B13,"*CT*") - 1) &amp; "]",
   IF( OR(ISNUMBER(SEARCH("TT",B13)), AND(ISNUMBER(SEARCH("C",B13)), NOT(ISNUMBER(SEARCH("CT",B13)))) ),
      "ConveyorStation[" &amp; (Q$2 + COUNTIFS($B$2:B13,"*C*",$B$2:B13,"&lt;&gt;*CT*") + COUNTIF($B$2:B13,"*TT*") - 1) &amp; "]",
      ""))</f>
        <v>ConveyorStation[275]</v>
      </c>
      <c r="F13" s="9"/>
      <c r="G13" s="9"/>
      <c r="H13" s="9"/>
      <c r="I13" s="9"/>
      <c r="J13" s="9" t="s">
        <v>1006</v>
      </c>
      <c r="K13" s="9"/>
      <c r="L13" s="47" t="s">
        <v>350</v>
      </c>
      <c r="M13" s="47" t="s">
        <v>350</v>
      </c>
      <c r="N13" s="11"/>
      <c r="O13" s="61"/>
      <c r="P13" s="9" t="s">
        <v>328</v>
      </c>
      <c r="Q13" s="63">
        <v>35</v>
      </c>
      <c r="R13" s="63">
        <v>36</v>
      </c>
      <c r="S13" s="63">
        <v>10</v>
      </c>
      <c r="T13" s="66">
        <f t="shared" si="1"/>
        <v>47</v>
      </c>
      <c r="U13" s="42">
        <f t="shared" si="2"/>
        <v>2</v>
      </c>
      <c r="Y13" s="6"/>
    </row>
    <row r="14" spans="1:25" ht="39" x14ac:dyDescent="0.3">
      <c r="A14" s="7" t="str">
        <f t="shared" si="0"/>
        <v>1521</v>
      </c>
      <c r="B14" s="48" t="s">
        <v>1007</v>
      </c>
      <c r="C14" s="45" t="s">
        <v>316</v>
      </c>
      <c r="D14" s="45">
        <v>1</v>
      </c>
      <c r="E14" s="46" t="str">
        <f>IF(ISNUMBER(SEARCH("CT",B14)),
   "CrossTransferStation[" &amp; (Q$3 + COUNTIF($B$2:B14,"*CT*") - 1) &amp; "]",
   IF( OR(ISNUMBER(SEARCH("TT",B14)), AND(ISNUMBER(SEARCH("C",B14)), NOT(ISNUMBER(SEARCH("CT",B14)))) ),
      "ConveyorStation[" &amp; (Q$2 + COUNTIFS($B$2:B14,"*C*",$B$2:B14,"&lt;&gt;*CT*") + COUNTIF($B$2:B14,"*TT*") - 1) &amp; "]",
      ""))</f>
        <v>CrossTransferStation[125]</v>
      </c>
      <c r="F14" s="9" t="s">
        <v>1008</v>
      </c>
      <c r="G14" s="9"/>
      <c r="H14" s="9"/>
      <c r="I14" s="9"/>
      <c r="J14" s="9" t="s">
        <v>1009</v>
      </c>
      <c r="K14" s="10" t="s">
        <v>470</v>
      </c>
      <c r="L14" s="146" t="s">
        <v>350</v>
      </c>
      <c r="M14" s="47" t="s">
        <v>351</v>
      </c>
      <c r="N14" s="11"/>
      <c r="O14" s="61"/>
      <c r="P14" s="9" t="s">
        <v>329</v>
      </c>
      <c r="Q14" s="63"/>
      <c r="R14" s="63"/>
      <c r="S14" s="63"/>
      <c r="T14" s="66">
        <f>'EZ5 Prod G AMB'!T14</f>
        <v>72</v>
      </c>
      <c r="U14" s="42"/>
      <c r="Y14" s="6"/>
    </row>
    <row r="15" spans="1:25" x14ac:dyDescent="0.3">
      <c r="A15" s="7" t="str">
        <f t="shared" si="0"/>
        <v>532</v>
      </c>
      <c r="B15" s="48" t="s">
        <v>1010</v>
      </c>
      <c r="C15" s="45" t="s">
        <v>316</v>
      </c>
      <c r="D15" s="45">
        <v>1</v>
      </c>
      <c r="E15" s="46" t="str">
        <f>IF(ISNUMBER(SEARCH("CT",B15)),
   "CrossTransferStation[" &amp; (Q$3 + COUNTIF($B$2:B15,"*CT*") - 1) &amp; "]",
   IF( OR(ISNUMBER(SEARCH("TT",B15)), AND(ISNUMBER(SEARCH("C",B15)), NOT(ISNUMBER(SEARCH("CT",B15)))) ),
      "ConveyorStation[" &amp; (Q$2 + COUNTIFS($B$2:B15,"*C*",$B$2:B15,"&lt;&gt;*CT*") + COUNTIF($B$2:B15,"*TT*") - 1) &amp; "]",
      ""))</f>
        <v>ConveyorStation[276]</v>
      </c>
      <c r="F15" s="9" t="s">
        <v>1011</v>
      </c>
      <c r="G15" s="9"/>
      <c r="H15" s="9"/>
      <c r="I15" s="9"/>
      <c r="J15" s="9" t="s">
        <v>1012</v>
      </c>
      <c r="K15" s="9"/>
      <c r="L15" s="47" t="s">
        <v>350</v>
      </c>
      <c r="M15" s="47" t="s">
        <v>351</v>
      </c>
      <c r="N15" s="11"/>
      <c r="O15" s="61"/>
      <c r="P15" s="9" t="s">
        <v>185</v>
      </c>
      <c r="Q15" s="63"/>
      <c r="R15" s="66"/>
      <c r="S15" s="63"/>
      <c r="T15" s="66">
        <f>'EZ5 Prod G AMB'!T15</f>
        <v>89</v>
      </c>
      <c r="U15" s="42"/>
      <c r="Y15" s="6"/>
    </row>
    <row r="16" spans="1:25" ht="52" x14ac:dyDescent="0.3">
      <c r="A16" s="7" t="str">
        <f t="shared" si="0"/>
        <v>1391</v>
      </c>
      <c r="B16" s="48" t="s">
        <v>1013</v>
      </c>
      <c r="C16" s="45" t="s">
        <v>316</v>
      </c>
      <c r="D16" s="45">
        <v>1</v>
      </c>
      <c r="E16" s="46" t="str">
        <f>IF(ISNUMBER(SEARCH("CT",B16)),
   "CrossTransferStation[" &amp; (Q$3 + COUNTIF($B$2:B16,"*CT*") - 1) &amp; "]",
   IF( OR(ISNUMBER(SEARCH("TT",B16)), AND(ISNUMBER(SEARCH("C",B16)), NOT(ISNUMBER(SEARCH("CT",B16)))) ),
      "ConveyorStation[" &amp; (Q$2 + COUNTIFS($B$2:B16,"*C*",$B$2:B16,"&lt;&gt;*CT*") + COUNTIF($B$2:B16,"*TT*") - 1) &amp; "]",
      ""))</f>
        <v>ConveyorStation[277]</v>
      </c>
      <c r="F16" s="64" t="s">
        <v>1014</v>
      </c>
      <c r="G16" s="9"/>
      <c r="H16" s="9"/>
      <c r="I16" s="9"/>
      <c r="J16" s="9" t="s">
        <v>1015</v>
      </c>
      <c r="K16" s="9"/>
      <c r="L16" s="47" t="s">
        <v>350</v>
      </c>
      <c r="M16" s="47" t="s">
        <v>350</v>
      </c>
      <c r="N16" s="11"/>
      <c r="O16" s="61"/>
      <c r="P16" s="9" t="s">
        <v>330</v>
      </c>
      <c r="Q16" s="63"/>
      <c r="R16" s="66"/>
      <c r="S16" s="63"/>
      <c r="T16" s="66">
        <f>'EZ5 Prod G AMB'!T16</f>
        <v>0</v>
      </c>
      <c r="U16" s="42"/>
      <c r="Y16" s="6"/>
    </row>
    <row r="17" spans="1:25" ht="26" x14ac:dyDescent="0.3">
      <c r="A17" s="7" t="str">
        <f t="shared" si="0"/>
        <v>1392</v>
      </c>
      <c r="B17" s="48" t="s">
        <v>1016</v>
      </c>
      <c r="C17" s="45" t="s">
        <v>316</v>
      </c>
      <c r="D17" s="45">
        <v>1</v>
      </c>
      <c r="E17" s="46" t="str">
        <f>IF(ISNUMBER(SEARCH("CT",B17)),
   "CrossTransferStation[" &amp; (Q$3 + COUNTIF($B$2:B17,"*CT*") - 1) &amp; "]",
   IF( OR(ISNUMBER(SEARCH("TT",B17)), AND(ISNUMBER(SEARCH("C",B17)), NOT(ISNUMBER(SEARCH("CT",B17)))) ),
      "ConveyorStation[" &amp; (Q$2 + COUNTIFS($B$2:B17,"*C*",$B$2:B17,"&lt;&gt;*CT*") + COUNTIF($B$2:B17,"*TT*") - 1) &amp; "]",
      ""))</f>
        <v>ConveyorStation[278]</v>
      </c>
      <c r="F17" s="9" t="s">
        <v>1017</v>
      </c>
      <c r="G17" s="9"/>
      <c r="H17" s="9"/>
      <c r="I17" s="9"/>
      <c r="J17" s="9" t="s">
        <v>1018</v>
      </c>
      <c r="K17" s="10" t="s">
        <v>470</v>
      </c>
      <c r="L17" s="47" t="s">
        <v>350</v>
      </c>
      <c r="M17" s="47" t="s">
        <v>351</v>
      </c>
      <c r="N17" s="11"/>
      <c r="O17" s="61"/>
      <c r="P17" s="9" t="s">
        <v>331</v>
      </c>
      <c r="Q17" s="63">
        <v>26</v>
      </c>
      <c r="R17" s="63">
        <v>46</v>
      </c>
      <c r="S17" s="63">
        <v>10</v>
      </c>
      <c r="T17" s="66">
        <f t="shared" ref="T17" si="3">SUM(R17:S17)+1</f>
        <v>57</v>
      </c>
      <c r="U17" s="42">
        <f t="shared" si="2"/>
        <v>21</v>
      </c>
      <c r="Y17" s="6"/>
    </row>
    <row r="18" spans="1:25" ht="26" x14ac:dyDescent="0.3">
      <c r="A18" s="7" t="str">
        <f t="shared" si="0"/>
        <v>11401</v>
      </c>
      <c r="B18" s="48" t="s">
        <v>1019</v>
      </c>
      <c r="C18" s="45" t="s">
        <v>316</v>
      </c>
      <c r="D18" s="45">
        <v>1</v>
      </c>
      <c r="E18" s="46" t="str">
        <f>IF(ISNUMBER(SEARCH("CT",B18)),
   "CrossTransferStation[" &amp; (Q$3 + COUNTIF($B$2:B18,"*CT*") - 1) &amp; "]",
   IF( OR(ISNUMBER(SEARCH("TT",B18)), AND(ISNUMBER(SEARCH("C",B18)), NOT(ISNUMBER(SEARCH("CT",B18)))) ),
      "ConveyorStation[" &amp; (Q$2 + COUNTIFS($B$2:B18,"*C*",$B$2:B18,"&lt;&gt;*CT*") + COUNTIF($B$2:B18,"*TT*") - 1) &amp; "]",
      ""))</f>
        <v>CrossTransferStation[126]</v>
      </c>
      <c r="F18" s="9" t="s">
        <v>1020</v>
      </c>
      <c r="G18" s="9"/>
      <c r="H18" s="9"/>
      <c r="I18" s="9"/>
      <c r="J18" s="9" t="s">
        <v>1021</v>
      </c>
      <c r="K18" s="9"/>
      <c r="L18" s="47" t="s">
        <v>350</v>
      </c>
      <c r="M18" s="47" t="s">
        <v>351</v>
      </c>
      <c r="N18" s="11"/>
      <c r="O18" s="61"/>
      <c r="P18" s="64" t="s">
        <v>201</v>
      </c>
      <c r="Q18" s="63">
        <v>16</v>
      </c>
      <c r="R18" s="63">
        <v>18</v>
      </c>
      <c r="S18" s="63">
        <v>10</v>
      </c>
      <c r="T18" s="66">
        <f>SUM(R18:S18)+1</f>
        <v>29</v>
      </c>
      <c r="U18" s="42">
        <f t="shared" si="2"/>
        <v>3</v>
      </c>
      <c r="Y18" s="6"/>
    </row>
    <row r="19" spans="1:25" ht="13" x14ac:dyDescent="0.3">
      <c r="A19" s="7" t="str">
        <f t="shared" si="0"/>
        <v>1411</v>
      </c>
      <c r="B19" s="48" t="s">
        <v>1022</v>
      </c>
      <c r="C19" s="45" t="s">
        <v>316</v>
      </c>
      <c r="D19" s="45">
        <v>1</v>
      </c>
      <c r="E19" s="46" t="str">
        <f>IF(ISNUMBER(SEARCH("CT",B19)),
   "CrossTransferStation[" &amp; (Q$3 + COUNTIF($B$2:B19,"*CT*") - 1) &amp; "]",
   IF( OR(ISNUMBER(SEARCH("TT",B19)), AND(ISNUMBER(SEARCH("C",B19)), NOT(ISNUMBER(SEARCH("CT",B19)))) ),
      "ConveyorStation[" &amp; (Q$2 + COUNTIFS($B$2:B19,"*C*",$B$2:B19,"&lt;&gt;*CT*") + COUNTIF($B$2:B19,"*TT*") - 1) &amp; "]",
      ""))</f>
        <v>ConveyorStation[279]</v>
      </c>
      <c r="F19" s="9"/>
      <c r="G19" s="9"/>
      <c r="H19" s="9"/>
      <c r="I19" s="9"/>
      <c r="J19" s="9" t="s">
        <v>1023</v>
      </c>
      <c r="K19" s="9"/>
      <c r="L19" s="47" t="s">
        <v>350</v>
      </c>
      <c r="M19" s="47" t="s">
        <v>350</v>
      </c>
      <c r="N19" s="11"/>
      <c r="O19" s="61"/>
      <c r="Y19" s="6"/>
    </row>
    <row r="20" spans="1:25" ht="13" x14ac:dyDescent="0.3">
      <c r="A20" s="7" t="str">
        <f t="shared" si="0"/>
        <v>1412</v>
      </c>
      <c r="B20" s="48" t="s">
        <v>1024</v>
      </c>
      <c r="C20" s="45" t="s">
        <v>316</v>
      </c>
      <c r="D20" s="45">
        <v>1</v>
      </c>
      <c r="E20" s="46" t="str">
        <f>IF(ISNUMBER(SEARCH("CT",B20)),
   "CrossTransferStation[" &amp; (Q$3 + COUNTIF($B$2:B20,"*CT*") - 1) &amp; "]",
   IF( OR(ISNUMBER(SEARCH("TT",B20)), AND(ISNUMBER(SEARCH("C",B20)), NOT(ISNUMBER(SEARCH("CT",B20)))) ),
      "ConveyorStation[" &amp; (Q$2 + COUNTIFS($B$2:B20,"*C*",$B$2:B20,"&lt;&gt;*CT*") + COUNTIF($B$2:B20,"*TT*") - 1) &amp; "]",
      ""))</f>
        <v>ConveyorStation[280]</v>
      </c>
      <c r="F20" s="9"/>
      <c r="G20" s="9"/>
      <c r="H20" s="9"/>
      <c r="I20" s="9"/>
      <c r="J20" s="9" t="s">
        <v>1025</v>
      </c>
      <c r="K20" s="9"/>
      <c r="L20" s="47" t="s">
        <v>350</v>
      </c>
      <c r="M20" s="47" t="s">
        <v>350</v>
      </c>
      <c r="N20" s="11"/>
      <c r="O20" s="61"/>
      <c r="Y20" s="6"/>
    </row>
    <row r="21" spans="1:25" ht="52" x14ac:dyDescent="0.3">
      <c r="A21" s="7" t="str">
        <f t="shared" si="0"/>
        <v>1421</v>
      </c>
      <c r="B21" s="48" t="s">
        <v>1026</v>
      </c>
      <c r="C21" s="45" t="s">
        <v>316</v>
      </c>
      <c r="D21" s="45">
        <v>1</v>
      </c>
      <c r="E21" s="46" t="str">
        <f>IF(ISNUMBER(SEARCH("CT",B21)),
   "CrossTransferStation[" &amp; (Q$3 + COUNTIF($B$2:B21,"*CT*") - 1) &amp; "]",
   IF( OR(ISNUMBER(SEARCH("TT",B21)), AND(ISNUMBER(SEARCH("C",B21)), NOT(ISNUMBER(SEARCH("CT",B21)))) ),
      "ConveyorStation[" &amp; (Q$2 + COUNTIFS($B$2:B21,"*C*",$B$2:B21,"&lt;&gt;*CT*") + COUNTIF($B$2:B21,"*TT*") - 1) &amp; "]",
      ""))</f>
        <v>ConveyorStation[281]</v>
      </c>
      <c r="F21" s="9" t="s">
        <v>1027</v>
      </c>
      <c r="G21" s="9"/>
      <c r="H21" s="9"/>
      <c r="I21" s="9"/>
      <c r="J21" s="9" t="s">
        <v>1028</v>
      </c>
      <c r="K21" s="9"/>
      <c r="L21" s="47" t="s">
        <v>350</v>
      </c>
      <c r="M21" s="47" t="s">
        <v>350</v>
      </c>
      <c r="N21" s="11"/>
      <c r="O21" s="61"/>
      <c r="Y21" s="6"/>
    </row>
    <row r="22" spans="1:25" ht="26" x14ac:dyDescent="0.3">
      <c r="A22" s="7" t="str">
        <f t="shared" si="0"/>
        <v>1422</v>
      </c>
      <c r="B22" s="48" t="s">
        <v>1029</v>
      </c>
      <c r="C22" s="45" t="s">
        <v>316</v>
      </c>
      <c r="D22" s="45">
        <v>1</v>
      </c>
      <c r="E22" s="46" t="str">
        <f>IF(ISNUMBER(SEARCH("CT",B22)),
   "CrossTransferStation[" &amp; (Q$3 + COUNTIF($B$2:B22,"*CT*") - 1) &amp; "]",
   IF( OR(ISNUMBER(SEARCH("TT",B22)), AND(ISNUMBER(SEARCH("C",B22)), NOT(ISNUMBER(SEARCH("CT",B22)))) ),
      "ConveyorStation[" &amp; (Q$2 + COUNTIFS($B$2:B22,"*C*",$B$2:B22,"&lt;&gt;*CT*") + COUNTIF($B$2:B22,"*TT*") - 1) &amp; "]",
      ""))</f>
        <v>ConveyorStation[282]</v>
      </c>
      <c r="F22" s="9" t="s">
        <v>1030</v>
      </c>
      <c r="G22" s="9"/>
      <c r="H22" s="9"/>
      <c r="I22" s="9"/>
      <c r="J22" s="9" t="s">
        <v>1031</v>
      </c>
      <c r="K22" s="10" t="s">
        <v>470</v>
      </c>
      <c r="L22" s="47" t="s">
        <v>350</v>
      </c>
      <c r="M22" s="47" t="s">
        <v>351</v>
      </c>
      <c r="N22" s="11"/>
      <c r="O22" s="61"/>
      <c r="Y22" s="6"/>
    </row>
    <row r="23" spans="1:25" ht="26" x14ac:dyDescent="0.3">
      <c r="A23" s="7" t="str">
        <f t="shared" si="0"/>
        <v>11431</v>
      </c>
      <c r="B23" s="48" t="s">
        <v>1032</v>
      </c>
      <c r="C23" s="45" t="s">
        <v>316</v>
      </c>
      <c r="D23" s="45">
        <v>1</v>
      </c>
      <c r="E23" s="46" t="str">
        <f>IF(ISNUMBER(SEARCH("CT",B23)),
   "CrossTransferStation[" &amp; (Q$3 + COUNTIF($B$2:B23,"*CT*") - 1) &amp; "]",
   IF( OR(ISNUMBER(SEARCH("TT",B23)), AND(ISNUMBER(SEARCH("C",B23)), NOT(ISNUMBER(SEARCH("CT",B23)))) ),
      "ConveyorStation[" &amp; (Q$2 + COUNTIFS($B$2:B23,"*C*",$B$2:B23,"&lt;&gt;*CT*") + COUNTIF($B$2:B23,"*TT*") - 1) &amp; "]",
      ""))</f>
        <v>CrossTransferStation[127]</v>
      </c>
      <c r="F23" s="9" t="s">
        <v>1033</v>
      </c>
      <c r="G23" s="9"/>
      <c r="H23" s="9"/>
      <c r="I23" s="9"/>
      <c r="J23" s="9" t="s">
        <v>1034</v>
      </c>
      <c r="K23" s="9"/>
      <c r="L23" s="47" t="s">
        <v>351</v>
      </c>
      <c r="M23" s="47" t="s">
        <v>351</v>
      </c>
      <c r="N23" s="11"/>
      <c r="O23" s="61"/>
      <c r="Y23" s="6"/>
    </row>
    <row r="24" spans="1:25" ht="13" x14ac:dyDescent="0.3">
      <c r="A24" s="7" t="str">
        <f t="shared" si="0"/>
        <v>1441</v>
      </c>
      <c r="B24" s="48" t="s">
        <v>1035</v>
      </c>
      <c r="C24" s="45" t="s">
        <v>316</v>
      </c>
      <c r="D24" s="45">
        <v>1</v>
      </c>
      <c r="E24" s="46" t="str">
        <f>IF(ISNUMBER(SEARCH("CT",B24)),
   "CrossTransferStation[" &amp; (Q$3 + COUNTIF($B$2:B24,"*CT*") - 1) &amp; "]",
   IF( OR(ISNUMBER(SEARCH("TT",B24)), AND(ISNUMBER(SEARCH("C",B24)), NOT(ISNUMBER(SEARCH("CT",B24)))) ),
      "ConveyorStation[" &amp; (Q$2 + COUNTIFS($B$2:B24,"*C*",$B$2:B24,"&lt;&gt;*CT*") + COUNTIF($B$2:B24,"*TT*") - 1) &amp; "]",
      ""))</f>
        <v>ConveyorStation[283]</v>
      </c>
      <c r="F24" s="9"/>
      <c r="G24" s="9"/>
      <c r="H24" s="9"/>
      <c r="I24" s="9"/>
      <c r="J24" s="9" t="s">
        <v>1036</v>
      </c>
      <c r="K24" s="9"/>
      <c r="L24" s="47" t="s">
        <v>350</v>
      </c>
      <c r="M24" s="47" t="s">
        <v>350</v>
      </c>
      <c r="N24" s="11"/>
      <c r="O24" s="61"/>
      <c r="Y24" s="6"/>
    </row>
    <row r="25" spans="1:25" ht="13" x14ac:dyDescent="0.3">
      <c r="A25" s="7" t="str">
        <f t="shared" si="0"/>
        <v>1442</v>
      </c>
      <c r="B25" s="48" t="s">
        <v>1037</v>
      </c>
      <c r="C25" s="45" t="s">
        <v>316</v>
      </c>
      <c r="D25" s="45">
        <v>1</v>
      </c>
      <c r="E25" s="46" t="str">
        <f>IF(ISNUMBER(SEARCH("CT",B25)),
   "CrossTransferStation[" &amp; (Q$3 + COUNTIF($B$2:B25,"*CT*") - 1) &amp; "]",
   IF( OR(ISNUMBER(SEARCH("TT",B25)), AND(ISNUMBER(SEARCH("C",B25)), NOT(ISNUMBER(SEARCH("CT",B25)))) ),
      "ConveyorStation[" &amp; (Q$2 + COUNTIFS($B$2:B25,"*C*",$B$2:B25,"&lt;&gt;*CT*") + COUNTIF($B$2:B25,"*TT*") - 1) &amp; "]",
      ""))</f>
        <v>ConveyorStation[284]</v>
      </c>
      <c r="F25" s="9"/>
      <c r="G25" s="9"/>
      <c r="H25" s="9"/>
      <c r="I25" s="9"/>
      <c r="J25" s="9" t="s">
        <v>1038</v>
      </c>
      <c r="K25" s="9"/>
      <c r="L25" s="47" t="s">
        <v>350</v>
      </c>
      <c r="M25" s="47" t="s">
        <v>350</v>
      </c>
      <c r="N25" s="11"/>
      <c r="O25" s="61"/>
      <c r="Y25" s="6"/>
    </row>
    <row r="26" spans="1:25" ht="39" x14ac:dyDescent="0.3">
      <c r="A26" s="7" t="str">
        <f t="shared" si="0"/>
        <v>11451</v>
      </c>
      <c r="B26" s="48" t="s">
        <v>1039</v>
      </c>
      <c r="C26" s="45" t="s">
        <v>316</v>
      </c>
      <c r="D26" s="45">
        <v>1</v>
      </c>
      <c r="E26" s="46" t="str">
        <f>IF(ISNUMBER(SEARCH("CT",B26)),
   "CrossTransferStation[" &amp; (Q$3 + COUNTIF($B$2:B26,"*CT*") - 1) &amp; "]",
   IF( OR(ISNUMBER(SEARCH("TT",B26)), AND(ISNUMBER(SEARCH("C",B26)), NOT(ISNUMBER(SEARCH("CT",B26)))) ),
      "ConveyorStation[" &amp; (Q$2 + COUNTIFS($B$2:B26,"*C*",$B$2:B26,"&lt;&gt;*CT*") + COUNTIF($B$2:B26,"*TT*") - 1) &amp; "]",
      ""))</f>
        <v>CrossTransferStation[128]</v>
      </c>
      <c r="F26" s="9" t="s">
        <v>1040</v>
      </c>
      <c r="G26" s="9"/>
      <c r="H26" s="9"/>
      <c r="I26" s="9"/>
      <c r="J26" s="9" t="s">
        <v>1041</v>
      </c>
      <c r="K26" s="10" t="s">
        <v>470</v>
      </c>
      <c r="L26" s="47" t="s">
        <v>351</v>
      </c>
      <c r="M26" s="47" t="s">
        <v>350</v>
      </c>
      <c r="N26" s="11"/>
      <c r="O26" s="61"/>
      <c r="Y26" s="6"/>
    </row>
    <row r="27" spans="1:25" ht="13" x14ac:dyDescent="0.3">
      <c r="A27" s="7" t="str">
        <f t="shared" si="0"/>
        <v>1461</v>
      </c>
      <c r="B27" s="48" t="s">
        <v>1042</v>
      </c>
      <c r="C27" s="45" t="s">
        <v>316</v>
      </c>
      <c r="D27" s="45">
        <v>1</v>
      </c>
      <c r="E27" s="46" t="str">
        <f>IF(ISNUMBER(SEARCH("CT",B27)),
   "CrossTransferStation[" &amp; (Q$3 + COUNTIF($B$2:B27,"*CT*") - 1) &amp; "]",
   IF( OR(ISNUMBER(SEARCH("TT",B27)), AND(ISNUMBER(SEARCH("C",B27)), NOT(ISNUMBER(SEARCH("CT",B27)))) ),
      "ConveyorStation[" &amp; (Q$2 + COUNTIFS($B$2:B27,"*C*",$B$2:B27,"&lt;&gt;*CT*") + COUNTIF($B$2:B27,"*TT*") - 1) &amp; "]",
      ""))</f>
        <v>ConveyorStation[285]</v>
      </c>
      <c r="F27" s="9"/>
      <c r="G27" s="9"/>
      <c r="H27" s="9"/>
      <c r="I27" s="9"/>
      <c r="J27" s="9" t="s">
        <v>1043</v>
      </c>
      <c r="K27" s="9"/>
      <c r="L27" s="47" t="s">
        <v>350</v>
      </c>
      <c r="M27" s="47" t="s">
        <v>350</v>
      </c>
      <c r="N27" s="11"/>
      <c r="O27" s="61"/>
      <c r="Y27" s="6"/>
    </row>
    <row r="28" spans="1:25" ht="52" x14ac:dyDescent="0.3">
      <c r="A28" s="7" t="str">
        <f t="shared" si="0"/>
        <v>1462</v>
      </c>
      <c r="B28" s="48" t="s">
        <v>1044</v>
      </c>
      <c r="C28" s="45" t="s">
        <v>316</v>
      </c>
      <c r="D28" s="45">
        <v>1</v>
      </c>
      <c r="E28" s="46" t="str">
        <f>IF(ISNUMBER(SEARCH("CT",B28)),
   "CrossTransferStation[" &amp; (Q$3 + COUNTIF($B$2:B28,"*CT*") - 1) &amp; "]",
   IF( OR(ISNUMBER(SEARCH("TT",B28)), AND(ISNUMBER(SEARCH("C",B28)), NOT(ISNUMBER(SEARCH("CT",B28)))) ),
      "ConveyorStation[" &amp; (Q$2 + COUNTIFS($B$2:B28,"*C*",$B$2:B28,"&lt;&gt;*CT*") + COUNTIF($B$2:B28,"*TT*") - 1) &amp; "]",
      ""))</f>
        <v>ConveyorStation[286]</v>
      </c>
      <c r="F28" s="9" t="s">
        <v>1045</v>
      </c>
      <c r="G28" s="9"/>
      <c r="H28" s="9"/>
      <c r="I28" s="9"/>
      <c r="J28" s="9" t="s">
        <v>1046</v>
      </c>
      <c r="K28" s="9"/>
      <c r="L28" s="47" t="s">
        <v>350</v>
      </c>
      <c r="M28" s="47" t="s">
        <v>350</v>
      </c>
      <c r="N28" s="11"/>
      <c r="O28" s="61"/>
      <c r="Y28" s="6"/>
    </row>
    <row r="29" spans="1:25" ht="91" x14ac:dyDescent="0.3">
      <c r="A29" s="7" t="str">
        <f t="shared" si="0"/>
        <v>2001</v>
      </c>
      <c r="B29" s="48" t="s">
        <v>1047</v>
      </c>
      <c r="C29" s="45" t="s">
        <v>316</v>
      </c>
      <c r="D29" s="45">
        <v>1</v>
      </c>
      <c r="E29" s="46" t="str">
        <f>IF(ISNUMBER(SEARCH("CT",B29)),
   "CrossTransferStation[" &amp; (Q$3 + COUNTIF($B$2:B29,"*CT*") - 1) &amp; "]",
   IF( OR(ISNUMBER(SEARCH("TT",B29)), AND(ISNUMBER(SEARCH("C",B29)), NOT(ISNUMBER(SEARCH("CT",B29)))) ),
      "ConveyorStation[" &amp; (Q$2 + COUNTIFS($B$2:B29,"*C*",$B$2:B29,"&lt;&gt;*CT*") + COUNTIF($B$2:B29,"*TT*") - 1) &amp; "]",
      ""))</f>
        <v>ConveyorStation[287]</v>
      </c>
      <c r="F29" s="9" t="s">
        <v>1048</v>
      </c>
      <c r="G29" s="9" t="s">
        <v>1049</v>
      </c>
      <c r="H29" s="9" t="s">
        <v>1051</v>
      </c>
      <c r="I29" s="9"/>
      <c r="J29" s="9" t="s">
        <v>1050</v>
      </c>
      <c r="K29" s="9"/>
      <c r="L29" s="47" t="s">
        <v>351</v>
      </c>
      <c r="M29" s="47" t="s">
        <v>351</v>
      </c>
      <c r="N29" s="152" t="s">
        <v>1783</v>
      </c>
      <c r="O29" s="61"/>
      <c r="Y29" s="6"/>
    </row>
    <row r="30" spans="1:25" ht="91" x14ac:dyDescent="0.3">
      <c r="A30" s="7" t="str">
        <f t="shared" si="0"/>
        <v>2002</v>
      </c>
      <c r="B30" s="48" t="s">
        <v>1052</v>
      </c>
      <c r="C30" s="45" t="s">
        <v>316</v>
      </c>
      <c r="D30" s="45">
        <v>1</v>
      </c>
      <c r="E30" s="46" t="str">
        <f>IF(ISNUMBER(SEARCH("CT",B30)),
   "CrossTransferStation[" &amp; (Q$3 + COUNTIF($B$2:B30,"*CT*") - 1) &amp; "]",
   IF( OR(ISNUMBER(SEARCH("TT",B30)), AND(ISNUMBER(SEARCH("C",B30)), NOT(ISNUMBER(SEARCH("CT",B30)))) ),
      "ConveyorStation[" &amp; (Q$2 + COUNTIFS($B$2:B30,"*C*",$B$2:B30,"&lt;&gt;*CT*") + COUNTIF($B$2:B30,"*TT*") - 1) &amp; "]",
      ""))</f>
        <v>ConveyorStation[288]</v>
      </c>
      <c r="F30" s="9" t="s">
        <v>1053</v>
      </c>
      <c r="G30" s="9" t="s">
        <v>1054</v>
      </c>
      <c r="H30" s="9" t="s">
        <v>1056</v>
      </c>
      <c r="I30" s="9"/>
      <c r="J30" s="9" t="s">
        <v>1055</v>
      </c>
      <c r="K30" s="9"/>
      <c r="L30" s="47" t="s">
        <v>351</v>
      </c>
      <c r="M30" s="47" t="s">
        <v>351</v>
      </c>
      <c r="N30" s="152" t="s">
        <v>1783</v>
      </c>
      <c r="O30" s="61"/>
      <c r="Y30" s="6"/>
    </row>
    <row r="31" spans="1:25" ht="91" x14ac:dyDescent="0.3">
      <c r="A31" s="7" t="str">
        <f t="shared" si="0"/>
        <v>2003</v>
      </c>
      <c r="B31" s="48" t="s">
        <v>1057</v>
      </c>
      <c r="C31" s="45" t="s">
        <v>316</v>
      </c>
      <c r="D31" s="45">
        <v>1</v>
      </c>
      <c r="E31" s="46" t="str">
        <f>IF(ISNUMBER(SEARCH("CT",B31)),
   "CrossTransferStation[" &amp; (Q$3 + COUNTIF($B$2:B31,"*CT*") - 1) &amp; "]",
   IF( OR(ISNUMBER(SEARCH("TT",B31)), AND(ISNUMBER(SEARCH("C",B31)), NOT(ISNUMBER(SEARCH("CT",B31)))) ),
      "ConveyorStation[" &amp; (Q$2 + COUNTIFS($B$2:B31,"*C*",$B$2:B31,"&lt;&gt;*CT*") + COUNTIF($B$2:B31,"*TT*") - 1) &amp; "]",
      ""))</f>
        <v>ConveyorStation[289]</v>
      </c>
      <c r="F31" s="9" t="s">
        <v>1058</v>
      </c>
      <c r="G31" s="9" t="s">
        <v>1059</v>
      </c>
      <c r="H31" s="9" t="s">
        <v>1061</v>
      </c>
      <c r="I31" s="9"/>
      <c r="J31" s="9" t="s">
        <v>1060</v>
      </c>
      <c r="K31" s="9"/>
      <c r="L31" s="47" t="s">
        <v>351</v>
      </c>
      <c r="M31" s="47" t="s">
        <v>351</v>
      </c>
      <c r="N31" s="152" t="s">
        <v>1783</v>
      </c>
      <c r="O31" s="61"/>
      <c r="Y31" s="6"/>
    </row>
    <row r="32" spans="1:25" ht="91" x14ac:dyDescent="0.3">
      <c r="A32" s="7" t="str">
        <f t="shared" si="0"/>
        <v>2004</v>
      </c>
      <c r="B32" s="48" t="s">
        <v>1062</v>
      </c>
      <c r="C32" s="45" t="s">
        <v>316</v>
      </c>
      <c r="D32" s="45">
        <v>1</v>
      </c>
      <c r="E32" s="46" t="str">
        <f>IF(ISNUMBER(SEARCH("CT",B32)),
   "CrossTransferStation[" &amp; (Q$3 + COUNTIF($B$2:B32,"*CT*") - 1) &amp; "]",
   IF( OR(ISNUMBER(SEARCH("TT",B32)), AND(ISNUMBER(SEARCH("C",B32)), NOT(ISNUMBER(SEARCH("CT",B32)))) ),
      "ConveyorStation[" &amp; (Q$2 + COUNTIFS($B$2:B32,"*C*",$B$2:B32,"&lt;&gt;*CT*") + COUNTIF($B$2:B32,"*TT*") - 1) &amp; "]",
      ""))</f>
        <v>ConveyorStation[290]</v>
      </c>
      <c r="F32" s="9" t="s">
        <v>1063</v>
      </c>
      <c r="G32" s="9" t="s">
        <v>1064</v>
      </c>
      <c r="H32" s="9" t="s">
        <v>1066</v>
      </c>
      <c r="I32" s="9"/>
      <c r="J32" s="9" t="s">
        <v>1065</v>
      </c>
      <c r="K32" s="9"/>
      <c r="L32" s="47" t="s">
        <v>351</v>
      </c>
      <c r="M32" s="47" t="s">
        <v>351</v>
      </c>
      <c r="N32" s="152" t="s">
        <v>1783</v>
      </c>
      <c r="O32" s="61"/>
      <c r="Y32" s="6"/>
    </row>
    <row r="33" spans="1:25" ht="91" x14ac:dyDescent="0.3">
      <c r="A33" s="7" t="str">
        <f t="shared" si="0"/>
        <v>2005</v>
      </c>
      <c r="B33" s="48" t="s">
        <v>1067</v>
      </c>
      <c r="C33" s="45" t="s">
        <v>316</v>
      </c>
      <c r="D33" s="45">
        <v>1</v>
      </c>
      <c r="E33" s="46" t="str">
        <f>IF(ISNUMBER(SEARCH("CT",B33)),
   "CrossTransferStation[" &amp; (Q$3 + COUNTIF($B$2:B33,"*CT*") - 1) &amp; "]",
   IF( OR(ISNUMBER(SEARCH("TT",B33)), AND(ISNUMBER(SEARCH("C",B33)), NOT(ISNUMBER(SEARCH("CT",B33)))) ),
      "ConveyorStation[" &amp; (Q$2 + COUNTIFS($B$2:B33,"*C*",$B$2:B33,"&lt;&gt;*CT*") + COUNTIF($B$2:B33,"*TT*") - 1) &amp; "]",
      ""))</f>
        <v>ConveyorStation[291]</v>
      </c>
      <c r="F33" s="9" t="s">
        <v>1068</v>
      </c>
      <c r="G33" s="9" t="s">
        <v>1069</v>
      </c>
      <c r="H33" s="9" t="s">
        <v>1071</v>
      </c>
      <c r="I33" s="9"/>
      <c r="J33" s="9" t="s">
        <v>1070</v>
      </c>
      <c r="K33" s="9"/>
      <c r="L33" s="47" t="s">
        <v>351</v>
      </c>
      <c r="M33" s="47" t="s">
        <v>351</v>
      </c>
      <c r="N33" s="152" t="s">
        <v>1783</v>
      </c>
      <c r="O33" s="61"/>
      <c r="Y33" s="6"/>
    </row>
    <row r="34" spans="1:25" ht="91" x14ac:dyDescent="0.3">
      <c r="A34" s="7" t="str">
        <f t="shared" si="0"/>
        <v>2006</v>
      </c>
      <c r="B34" s="48" t="s">
        <v>1072</v>
      </c>
      <c r="C34" s="45" t="s">
        <v>316</v>
      </c>
      <c r="D34" s="45">
        <v>1</v>
      </c>
      <c r="E34" s="46" t="str">
        <f>IF(ISNUMBER(SEARCH("CT",B34)),
   "CrossTransferStation[" &amp; (Q$3 + COUNTIF($B$2:B34,"*CT*") - 1) &amp; "]",
   IF( OR(ISNUMBER(SEARCH("TT",B34)), AND(ISNUMBER(SEARCH("C",B34)), NOT(ISNUMBER(SEARCH("CT",B34)))) ),
      "ConveyorStation[" &amp; (Q$2 + COUNTIFS($B$2:B34,"*C*",$B$2:B34,"&lt;&gt;*CT*") + COUNTIF($B$2:B34,"*TT*") - 1) &amp; "]",
      ""))</f>
        <v>ConveyorStation[292]</v>
      </c>
      <c r="F34" s="9" t="s">
        <v>1073</v>
      </c>
      <c r="G34" s="9" t="s">
        <v>1074</v>
      </c>
      <c r="H34" s="9" t="s">
        <v>1076</v>
      </c>
      <c r="I34" s="9"/>
      <c r="J34" s="9" t="s">
        <v>1075</v>
      </c>
      <c r="K34" s="9"/>
      <c r="L34" s="47" t="s">
        <v>351</v>
      </c>
      <c r="M34" s="47" t="s">
        <v>351</v>
      </c>
      <c r="N34" s="152" t="s">
        <v>1783</v>
      </c>
      <c r="O34" s="61"/>
      <c r="Y34" s="6"/>
    </row>
    <row r="35" spans="1:25" ht="91" x14ac:dyDescent="0.3">
      <c r="A35" s="7" t="str">
        <f t="shared" si="0"/>
        <v>2007</v>
      </c>
      <c r="B35" s="48" t="s">
        <v>1077</v>
      </c>
      <c r="C35" s="45" t="s">
        <v>316</v>
      </c>
      <c r="D35" s="45">
        <v>1</v>
      </c>
      <c r="E35" s="46" t="str">
        <f>IF(ISNUMBER(SEARCH("CT",B35)),
   "CrossTransferStation[" &amp; (Q$3 + COUNTIF($B$2:B35,"*CT*") - 1) &amp; "]",
   IF( OR(ISNUMBER(SEARCH("TT",B35)), AND(ISNUMBER(SEARCH("C",B35)), NOT(ISNUMBER(SEARCH("CT",B35)))) ),
      "ConveyorStation[" &amp; (Q$2 + COUNTIFS($B$2:B35,"*C*",$B$2:B35,"&lt;&gt;*CT*") + COUNTIF($B$2:B35,"*TT*") - 1) &amp; "]",
      ""))</f>
        <v>ConveyorStation[293]</v>
      </c>
      <c r="F35" s="9" t="s">
        <v>1078</v>
      </c>
      <c r="G35" s="9" t="s">
        <v>1079</v>
      </c>
      <c r="H35" s="9" t="s">
        <v>1081</v>
      </c>
      <c r="I35" s="9"/>
      <c r="J35" s="9" t="s">
        <v>1080</v>
      </c>
      <c r="K35" s="9"/>
      <c r="L35" s="47" t="s">
        <v>351</v>
      </c>
      <c r="M35" s="47" t="s">
        <v>351</v>
      </c>
      <c r="N35" s="152" t="s">
        <v>1783</v>
      </c>
      <c r="O35" s="61"/>
      <c r="Y35" s="6"/>
    </row>
    <row r="36" spans="1:25" ht="91" x14ac:dyDescent="0.3">
      <c r="A36" s="7" t="str">
        <f t="shared" si="0"/>
        <v>2011</v>
      </c>
      <c r="B36" s="48" t="s">
        <v>1082</v>
      </c>
      <c r="C36" s="45" t="s">
        <v>316</v>
      </c>
      <c r="D36" s="45">
        <v>1</v>
      </c>
      <c r="E36" s="46" t="str">
        <f>IF(ISNUMBER(SEARCH("CT",B36)),
   "CrossTransferStation[" &amp; (Q$3 + COUNTIF($B$2:B36,"*CT*") - 1) &amp; "]",
   IF( OR(ISNUMBER(SEARCH("TT",B36)), AND(ISNUMBER(SEARCH("C",B36)), NOT(ISNUMBER(SEARCH("CT",B36)))) ),
      "ConveyorStation[" &amp; (Q$2 + COUNTIFS($B$2:B36,"*C*",$B$2:B36,"&lt;&gt;*CT*") + COUNTIF($B$2:B36,"*TT*") - 1) &amp; "]",
      ""))</f>
        <v>ConveyorStation[294]</v>
      </c>
      <c r="F36" s="9" t="s">
        <v>1083</v>
      </c>
      <c r="G36" s="9" t="s">
        <v>1084</v>
      </c>
      <c r="H36" s="9" t="s">
        <v>1086</v>
      </c>
      <c r="I36" s="9"/>
      <c r="J36" s="9" t="s">
        <v>1085</v>
      </c>
      <c r="K36" s="9"/>
      <c r="L36" s="47" t="s">
        <v>351</v>
      </c>
      <c r="M36" s="47" t="s">
        <v>351</v>
      </c>
      <c r="N36" s="152" t="s">
        <v>1783</v>
      </c>
      <c r="O36" s="61"/>
      <c r="Y36" s="6"/>
    </row>
    <row r="37" spans="1:25" ht="91" x14ac:dyDescent="0.3">
      <c r="A37" s="7" t="str">
        <f t="shared" si="0"/>
        <v>2012</v>
      </c>
      <c r="B37" s="48" t="s">
        <v>1087</v>
      </c>
      <c r="C37" s="45" t="s">
        <v>316</v>
      </c>
      <c r="D37" s="45">
        <v>1</v>
      </c>
      <c r="E37" s="46" t="str">
        <f>IF(ISNUMBER(SEARCH("CT",B37)),
   "CrossTransferStation[" &amp; (Q$3 + COUNTIF($B$2:B37,"*CT*") - 1) &amp; "]",
   IF( OR(ISNUMBER(SEARCH("TT",B37)), AND(ISNUMBER(SEARCH("C",B37)), NOT(ISNUMBER(SEARCH("CT",B37)))) ),
      "ConveyorStation[" &amp; (Q$2 + COUNTIFS($B$2:B37,"*C*",$B$2:B37,"&lt;&gt;*CT*") + COUNTIF($B$2:B37,"*TT*") - 1) &amp; "]",
      ""))</f>
        <v>ConveyorStation[295]</v>
      </c>
      <c r="F37" s="9" t="s">
        <v>1088</v>
      </c>
      <c r="G37" s="9" t="s">
        <v>1089</v>
      </c>
      <c r="H37" s="9" t="s">
        <v>1091</v>
      </c>
      <c r="I37" s="9"/>
      <c r="J37" s="9" t="s">
        <v>1090</v>
      </c>
      <c r="K37" s="9"/>
      <c r="L37" s="47" t="s">
        <v>351</v>
      </c>
      <c r="M37" s="47" t="s">
        <v>351</v>
      </c>
      <c r="N37" s="152" t="s">
        <v>1783</v>
      </c>
      <c r="O37" s="61"/>
      <c r="Y37" s="6"/>
    </row>
    <row r="38" spans="1:25" ht="91" x14ac:dyDescent="0.3">
      <c r="A38" s="7" t="str">
        <f t="shared" si="0"/>
        <v>2013</v>
      </c>
      <c r="B38" s="48" t="s">
        <v>1092</v>
      </c>
      <c r="C38" s="45" t="s">
        <v>316</v>
      </c>
      <c r="D38" s="45">
        <v>1</v>
      </c>
      <c r="E38" s="46" t="str">
        <f>IF(ISNUMBER(SEARCH("CT",B38)),
   "CrossTransferStation[" &amp; (Q$3 + COUNTIF($B$2:B38,"*CT*") - 1) &amp; "]",
   IF( OR(ISNUMBER(SEARCH("TT",B38)), AND(ISNUMBER(SEARCH("C",B38)), NOT(ISNUMBER(SEARCH("CT",B38)))) ),
      "ConveyorStation[" &amp; (Q$2 + COUNTIFS($B$2:B38,"*C*",$B$2:B38,"&lt;&gt;*CT*") + COUNTIF($B$2:B38,"*TT*") - 1) &amp; "]",
      ""))</f>
        <v>ConveyorStation[296]</v>
      </c>
      <c r="F38" s="9" t="s">
        <v>1093</v>
      </c>
      <c r="G38" s="9" t="s">
        <v>1094</v>
      </c>
      <c r="H38" s="9" t="s">
        <v>1096</v>
      </c>
      <c r="I38" s="9"/>
      <c r="J38" s="9" t="s">
        <v>1095</v>
      </c>
      <c r="K38" s="9"/>
      <c r="L38" s="47" t="s">
        <v>351</v>
      </c>
      <c r="M38" s="47" t="s">
        <v>351</v>
      </c>
      <c r="N38" s="152" t="s">
        <v>1783</v>
      </c>
      <c r="O38" s="61"/>
      <c r="Y38" s="6"/>
    </row>
    <row r="39" spans="1:25" ht="91" x14ac:dyDescent="0.3">
      <c r="A39" s="7" t="str">
        <f t="shared" si="0"/>
        <v>2014</v>
      </c>
      <c r="B39" s="48" t="s">
        <v>1097</v>
      </c>
      <c r="C39" s="45" t="s">
        <v>316</v>
      </c>
      <c r="D39" s="45">
        <v>1</v>
      </c>
      <c r="E39" s="46" t="str">
        <f>IF(ISNUMBER(SEARCH("CT",B39)),
   "CrossTransferStation[" &amp; (Q$3 + COUNTIF($B$2:B39,"*CT*") - 1) &amp; "]",
   IF( OR(ISNUMBER(SEARCH("TT",B39)), AND(ISNUMBER(SEARCH("C",B39)), NOT(ISNUMBER(SEARCH("CT",B39)))) ),
      "ConveyorStation[" &amp; (Q$2 + COUNTIFS($B$2:B39,"*C*",$B$2:B39,"&lt;&gt;*CT*") + COUNTIF($B$2:B39,"*TT*") - 1) &amp; "]",
      ""))</f>
        <v>ConveyorStation[297]</v>
      </c>
      <c r="F39" s="9" t="s">
        <v>1098</v>
      </c>
      <c r="G39" s="9" t="s">
        <v>1099</v>
      </c>
      <c r="H39" s="9" t="s">
        <v>1101</v>
      </c>
      <c r="I39" s="9"/>
      <c r="J39" s="9" t="s">
        <v>1100</v>
      </c>
      <c r="K39" s="9"/>
      <c r="L39" s="47" t="s">
        <v>351</v>
      </c>
      <c r="M39" s="47" t="s">
        <v>351</v>
      </c>
      <c r="N39" s="152" t="s">
        <v>1783</v>
      </c>
      <c r="O39" s="61"/>
      <c r="Y39" s="6"/>
    </row>
    <row r="40" spans="1:25" ht="91" x14ac:dyDescent="0.3">
      <c r="A40" s="7" t="str">
        <f t="shared" si="0"/>
        <v>2015</v>
      </c>
      <c r="B40" s="48" t="s">
        <v>1102</v>
      </c>
      <c r="C40" s="45" t="s">
        <v>316</v>
      </c>
      <c r="D40" s="45">
        <v>1</v>
      </c>
      <c r="E40" s="46" t="str">
        <f>IF(ISNUMBER(SEARCH("CT",B40)),
   "CrossTransferStation[" &amp; (Q$3 + COUNTIF($B$2:B40,"*CT*") - 1) &amp; "]",
   IF( OR(ISNUMBER(SEARCH("TT",B40)), AND(ISNUMBER(SEARCH("C",B40)), NOT(ISNUMBER(SEARCH("CT",B40)))) ),
      "ConveyorStation[" &amp; (Q$2 + COUNTIFS($B$2:B40,"*C*",$B$2:B40,"&lt;&gt;*CT*") + COUNTIF($B$2:B40,"*TT*") - 1) &amp; "]",
      ""))</f>
        <v>ConveyorStation[298]</v>
      </c>
      <c r="F40" s="9" t="s">
        <v>1103</v>
      </c>
      <c r="G40" s="9" t="s">
        <v>1104</v>
      </c>
      <c r="H40" s="9" t="s">
        <v>1106</v>
      </c>
      <c r="I40" s="9"/>
      <c r="J40" s="9" t="s">
        <v>1105</v>
      </c>
      <c r="K40" s="9"/>
      <c r="L40" s="47" t="s">
        <v>351</v>
      </c>
      <c r="M40" s="47" t="s">
        <v>351</v>
      </c>
      <c r="N40" s="152" t="s">
        <v>1783</v>
      </c>
      <c r="O40" s="61"/>
      <c r="Y40" s="6"/>
    </row>
    <row r="41" spans="1:25" ht="91" x14ac:dyDescent="0.3">
      <c r="A41" s="7" t="str">
        <f t="shared" si="0"/>
        <v>2016</v>
      </c>
      <c r="B41" s="48" t="s">
        <v>1107</v>
      </c>
      <c r="C41" s="45" t="s">
        <v>316</v>
      </c>
      <c r="D41" s="45">
        <v>1</v>
      </c>
      <c r="E41" s="46" t="str">
        <f>IF(ISNUMBER(SEARCH("CT",B41)),
   "CrossTransferStation[" &amp; (Q$3 + COUNTIF($B$2:B41,"*CT*") - 1) &amp; "]",
   IF( OR(ISNUMBER(SEARCH("TT",B41)), AND(ISNUMBER(SEARCH("C",B41)), NOT(ISNUMBER(SEARCH("CT",B41)))) ),
      "ConveyorStation[" &amp; (Q$2 + COUNTIFS($B$2:B41,"*C*",$B$2:B41,"&lt;&gt;*CT*") + COUNTIF($B$2:B41,"*TT*") - 1) &amp; "]",
      ""))</f>
        <v>ConveyorStation[299]</v>
      </c>
      <c r="F41" s="9" t="s">
        <v>1108</v>
      </c>
      <c r="G41" s="9" t="s">
        <v>1109</v>
      </c>
      <c r="H41" s="9" t="s">
        <v>1111</v>
      </c>
      <c r="I41" s="9"/>
      <c r="J41" s="9" t="s">
        <v>1110</v>
      </c>
      <c r="K41" s="9"/>
      <c r="L41" s="47" t="s">
        <v>351</v>
      </c>
      <c r="M41" s="47" t="s">
        <v>351</v>
      </c>
      <c r="N41" s="152" t="s">
        <v>1783</v>
      </c>
      <c r="O41" s="61"/>
      <c r="Y41" s="6"/>
    </row>
    <row r="42" spans="1:25" ht="91" x14ac:dyDescent="0.3">
      <c r="A42" s="7" t="str">
        <f t="shared" si="0"/>
        <v>2017</v>
      </c>
      <c r="B42" s="48" t="s">
        <v>1112</v>
      </c>
      <c r="C42" s="45" t="s">
        <v>316</v>
      </c>
      <c r="D42" s="45">
        <v>1</v>
      </c>
      <c r="E42" s="46" t="str">
        <f>IF(ISNUMBER(SEARCH("CT",B42)),
   "CrossTransferStation[" &amp; (Q$3 + COUNTIF($B$2:B42,"*CT*") - 1) &amp; "]",
   IF( OR(ISNUMBER(SEARCH("TT",B42)), AND(ISNUMBER(SEARCH("C",B42)), NOT(ISNUMBER(SEARCH("CT",B42)))) ),
      "ConveyorStation[" &amp; (Q$2 + COUNTIFS($B$2:B42,"*C*",$B$2:B42,"&lt;&gt;*CT*") + COUNTIF($B$2:B42,"*TT*") - 1) &amp; "]",
      ""))</f>
        <v>ConveyorStation[300]</v>
      </c>
      <c r="F42" s="9" t="s">
        <v>1113</v>
      </c>
      <c r="G42" s="9" t="s">
        <v>1114</v>
      </c>
      <c r="H42" s="9" t="s">
        <v>1116</v>
      </c>
      <c r="I42" s="9"/>
      <c r="J42" s="9" t="s">
        <v>1115</v>
      </c>
      <c r="K42" s="9"/>
      <c r="L42" s="47" t="s">
        <v>351</v>
      </c>
      <c r="M42" s="47" t="s">
        <v>351</v>
      </c>
      <c r="N42" s="152" t="s">
        <v>1783</v>
      </c>
      <c r="O42" s="61"/>
      <c r="Y42" s="6"/>
    </row>
    <row r="43" spans="1:25" ht="91" x14ac:dyDescent="0.3">
      <c r="A43" s="7" t="str">
        <f t="shared" si="0"/>
        <v>2021</v>
      </c>
      <c r="B43" s="48" t="s">
        <v>1117</v>
      </c>
      <c r="C43" s="45" t="s">
        <v>316</v>
      </c>
      <c r="D43" s="45">
        <v>1</v>
      </c>
      <c r="E43" s="46" t="str">
        <f>IF(ISNUMBER(SEARCH("CT",B43)),
   "CrossTransferStation[" &amp; (Q$3 + COUNTIF($B$2:B43,"*CT*") - 1) &amp; "]",
   IF( OR(ISNUMBER(SEARCH("TT",B43)), AND(ISNUMBER(SEARCH("C",B43)), NOT(ISNUMBER(SEARCH("CT",B43)))) ),
      "ConveyorStation[" &amp; (Q$2 + COUNTIFS($B$2:B43,"*C*",$B$2:B43,"&lt;&gt;*CT*") + COUNTIF($B$2:B43,"*TT*") - 1) &amp; "]",
      ""))</f>
        <v>ConveyorStation[301]</v>
      </c>
      <c r="F43" s="9" t="s">
        <v>1118</v>
      </c>
      <c r="G43" s="9" t="s">
        <v>1119</v>
      </c>
      <c r="H43" s="9" t="s">
        <v>1121</v>
      </c>
      <c r="I43" s="9"/>
      <c r="J43" s="9" t="s">
        <v>1120</v>
      </c>
      <c r="K43" s="9"/>
      <c r="L43" s="47" t="s">
        <v>351</v>
      </c>
      <c r="M43" s="47" t="s">
        <v>351</v>
      </c>
      <c r="N43" s="152" t="s">
        <v>1783</v>
      </c>
      <c r="O43" s="61"/>
      <c r="Y43" s="6"/>
    </row>
    <row r="44" spans="1:25" ht="91" x14ac:dyDescent="0.3">
      <c r="A44" s="7" t="str">
        <f t="shared" si="0"/>
        <v>2022</v>
      </c>
      <c r="B44" s="48" t="s">
        <v>1122</v>
      </c>
      <c r="C44" s="45" t="s">
        <v>316</v>
      </c>
      <c r="D44" s="45">
        <v>1</v>
      </c>
      <c r="E44" s="46" t="str">
        <f>IF(ISNUMBER(SEARCH("CT",B44)),
   "CrossTransferStation[" &amp; (Q$3 + COUNTIF($B$2:B44,"*CT*") - 1) &amp; "]",
   IF( OR(ISNUMBER(SEARCH("TT",B44)), AND(ISNUMBER(SEARCH("C",B44)), NOT(ISNUMBER(SEARCH("CT",B44)))) ),
      "ConveyorStation[" &amp; (Q$2 + COUNTIFS($B$2:B44,"*C*",$B$2:B44,"&lt;&gt;*CT*") + COUNTIF($B$2:B44,"*TT*") - 1) &amp; "]",
      ""))</f>
        <v>ConveyorStation[302]</v>
      </c>
      <c r="F44" s="9" t="s">
        <v>1123</v>
      </c>
      <c r="G44" s="9" t="s">
        <v>1124</v>
      </c>
      <c r="H44" s="9" t="s">
        <v>1126</v>
      </c>
      <c r="I44" s="9"/>
      <c r="J44" s="9" t="s">
        <v>1125</v>
      </c>
      <c r="K44" s="9"/>
      <c r="L44" s="47" t="s">
        <v>351</v>
      </c>
      <c r="M44" s="47" t="s">
        <v>351</v>
      </c>
      <c r="N44" s="152" t="s">
        <v>1783</v>
      </c>
      <c r="O44" s="61"/>
      <c r="Y44" s="6"/>
    </row>
    <row r="45" spans="1:25" ht="91" x14ac:dyDescent="0.3">
      <c r="A45" s="7" t="str">
        <f t="shared" si="0"/>
        <v>2023</v>
      </c>
      <c r="B45" s="48" t="s">
        <v>1127</v>
      </c>
      <c r="C45" s="45" t="s">
        <v>316</v>
      </c>
      <c r="D45" s="45">
        <v>1</v>
      </c>
      <c r="E45" s="46" t="str">
        <f>IF(ISNUMBER(SEARCH("CT",B45)),
   "CrossTransferStation[" &amp; (Q$3 + COUNTIF($B$2:B45,"*CT*") - 1) &amp; "]",
   IF( OR(ISNUMBER(SEARCH("TT",B45)), AND(ISNUMBER(SEARCH("C",B45)), NOT(ISNUMBER(SEARCH("CT",B45)))) ),
      "ConveyorStation[" &amp; (Q$2 + COUNTIFS($B$2:B45,"*C*",$B$2:B45,"&lt;&gt;*CT*") + COUNTIF($B$2:B45,"*TT*") - 1) &amp; "]",
      ""))</f>
        <v>ConveyorStation[303]</v>
      </c>
      <c r="F45" s="9" t="s">
        <v>1128</v>
      </c>
      <c r="G45" s="9" t="s">
        <v>1129</v>
      </c>
      <c r="H45" s="9" t="s">
        <v>1131</v>
      </c>
      <c r="I45" s="9"/>
      <c r="J45" s="9" t="s">
        <v>1130</v>
      </c>
      <c r="K45" s="9"/>
      <c r="L45" s="47" t="s">
        <v>351</v>
      </c>
      <c r="M45" s="47" t="s">
        <v>351</v>
      </c>
      <c r="N45" s="152" t="s">
        <v>1783</v>
      </c>
      <c r="O45" s="61"/>
      <c r="Y45" s="6"/>
    </row>
    <row r="46" spans="1:25" ht="91" x14ac:dyDescent="0.3">
      <c r="A46" s="7" t="str">
        <f t="shared" si="0"/>
        <v>2024</v>
      </c>
      <c r="B46" s="48" t="s">
        <v>1132</v>
      </c>
      <c r="C46" s="45" t="s">
        <v>316</v>
      </c>
      <c r="D46" s="45">
        <v>1</v>
      </c>
      <c r="E46" s="46" t="str">
        <f>IF(ISNUMBER(SEARCH("CT",B46)),
   "CrossTransferStation[" &amp; (Q$3 + COUNTIF($B$2:B46,"*CT*") - 1) &amp; "]",
   IF( OR(ISNUMBER(SEARCH("TT",B46)), AND(ISNUMBER(SEARCH("C",B46)), NOT(ISNUMBER(SEARCH("CT",B46)))) ),
      "ConveyorStation[" &amp; (Q$2 + COUNTIFS($B$2:B46,"*C*",$B$2:B46,"&lt;&gt;*CT*") + COUNTIF($B$2:B46,"*TT*") - 1) &amp; "]",
      ""))</f>
        <v>ConveyorStation[304]</v>
      </c>
      <c r="F46" s="9" t="s">
        <v>1133</v>
      </c>
      <c r="G46" s="9" t="s">
        <v>1134</v>
      </c>
      <c r="H46" s="9" t="s">
        <v>1136</v>
      </c>
      <c r="I46" s="9"/>
      <c r="J46" s="9" t="s">
        <v>1135</v>
      </c>
      <c r="K46" s="9"/>
      <c r="L46" s="47" t="s">
        <v>351</v>
      </c>
      <c r="M46" s="47" t="s">
        <v>351</v>
      </c>
      <c r="N46" s="152" t="s">
        <v>1783</v>
      </c>
      <c r="O46" s="61"/>
      <c r="Y46" s="6"/>
    </row>
    <row r="47" spans="1:25" ht="91" x14ac:dyDescent="0.3">
      <c r="A47" s="7" t="str">
        <f t="shared" si="0"/>
        <v>2025</v>
      </c>
      <c r="B47" s="48" t="s">
        <v>1137</v>
      </c>
      <c r="C47" s="45" t="s">
        <v>316</v>
      </c>
      <c r="D47" s="45">
        <v>1</v>
      </c>
      <c r="E47" s="46" t="str">
        <f>IF(ISNUMBER(SEARCH("CT",B47)),
   "CrossTransferStation[" &amp; (Q$3 + COUNTIF($B$2:B47,"*CT*") - 1) &amp; "]",
   IF( OR(ISNUMBER(SEARCH("TT",B47)), AND(ISNUMBER(SEARCH("C",B47)), NOT(ISNUMBER(SEARCH("CT",B47)))) ),
      "ConveyorStation[" &amp; (Q$2 + COUNTIFS($B$2:B47,"*C*",$B$2:B47,"&lt;&gt;*CT*") + COUNTIF($B$2:B47,"*TT*") - 1) &amp; "]",
      ""))</f>
        <v>ConveyorStation[305]</v>
      </c>
      <c r="F47" s="9" t="s">
        <v>1138</v>
      </c>
      <c r="G47" s="9" t="s">
        <v>1139</v>
      </c>
      <c r="H47" s="9" t="s">
        <v>1141</v>
      </c>
      <c r="I47" s="9"/>
      <c r="J47" s="9" t="s">
        <v>1140</v>
      </c>
      <c r="K47" s="9"/>
      <c r="L47" s="47" t="s">
        <v>351</v>
      </c>
      <c r="M47" s="47" t="s">
        <v>351</v>
      </c>
      <c r="N47" s="152" t="s">
        <v>1783</v>
      </c>
      <c r="O47" s="61"/>
      <c r="Y47" s="6"/>
    </row>
    <row r="48" spans="1:25" ht="91" x14ac:dyDescent="0.3">
      <c r="A48" s="7" t="str">
        <f t="shared" si="0"/>
        <v>2026</v>
      </c>
      <c r="B48" s="48" t="s">
        <v>1142</v>
      </c>
      <c r="C48" s="45" t="s">
        <v>316</v>
      </c>
      <c r="D48" s="45">
        <v>1</v>
      </c>
      <c r="E48" s="46" t="str">
        <f>IF(ISNUMBER(SEARCH("CT",B48)),
   "CrossTransferStation[" &amp; (Q$3 + COUNTIF($B$2:B48,"*CT*") - 1) &amp; "]",
   IF( OR(ISNUMBER(SEARCH("TT",B48)), AND(ISNUMBER(SEARCH("C",B48)), NOT(ISNUMBER(SEARCH("CT",B48)))) ),
      "ConveyorStation[" &amp; (Q$2 + COUNTIFS($B$2:B48,"*C*",$B$2:B48,"&lt;&gt;*CT*") + COUNTIF($B$2:B48,"*TT*") - 1) &amp; "]",
      ""))</f>
        <v>ConveyorStation[306]</v>
      </c>
      <c r="F48" s="9" t="s">
        <v>1143</v>
      </c>
      <c r="G48" s="9" t="s">
        <v>1144</v>
      </c>
      <c r="H48" s="9" t="s">
        <v>1146</v>
      </c>
      <c r="I48" s="9"/>
      <c r="J48" s="9" t="s">
        <v>1145</v>
      </c>
      <c r="K48" s="9"/>
      <c r="L48" s="47" t="s">
        <v>351</v>
      </c>
      <c r="M48" s="47" t="s">
        <v>351</v>
      </c>
      <c r="N48" s="152" t="s">
        <v>1783</v>
      </c>
      <c r="O48" s="61"/>
      <c r="Y48" s="6"/>
    </row>
    <row r="49" spans="1:25" ht="91" x14ac:dyDescent="0.3">
      <c r="A49" s="7" t="str">
        <f t="shared" si="0"/>
        <v>2027</v>
      </c>
      <c r="B49" s="48" t="s">
        <v>1147</v>
      </c>
      <c r="C49" s="45" t="s">
        <v>316</v>
      </c>
      <c r="D49" s="45">
        <v>1</v>
      </c>
      <c r="E49" s="46" t="str">
        <f>IF(ISNUMBER(SEARCH("CT",B49)),
   "CrossTransferStation[" &amp; (Q$3 + COUNTIF($B$2:B55,"*CT*") - 1) &amp; "]",
   IF( OR(ISNUMBER(SEARCH("TT",B49)), AND(ISNUMBER(SEARCH("C",B49)), NOT(ISNUMBER(SEARCH("CT",B49)))) ),
      "ConveyorStation[" &amp; (Q$2 + COUNTIFS($B$2:B55,"*C*",$B$2:B55,"&lt;&gt;*CT*") + COUNTIF($B$2:B55,"*TT*") - 1) &amp; "]",
      ""))</f>
        <v>ConveyorStation[307]</v>
      </c>
      <c r="F49" s="9" t="s">
        <v>1148</v>
      </c>
      <c r="G49" s="9" t="s">
        <v>1149</v>
      </c>
      <c r="H49" s="9" t="s">
        <v>1151</v>
      </c>
      <c r="I49" s="9"/>
      <c r="J49" s="9" t="s">
        <v>1150</v>
      </c>
      <c r="K49" s="9"/>
      <c r="L49" s="47" t="s">
        <v>351</v>
      </c>
      <c r="M49" s="47" t="s">
        <v>351</v>
      </c>
      <c r="N49" s="152" t="s">
        <v>1783</v>
      </c>
      <c r="O49" s="61"/>
      <c r="Y49" s="6"/>
    </row>
    <row r="50" spans="1:25" ht="26" x14ac:dyDescent="0.3">
      <c r="A50" s="7"/>
      <c r="B50" s="10" t="s">
        <v>1939</v>
      </c>
      <c r="C50" s="45" t="s">
        <v>316</v>
      </c>
      <c r="D50" s="45">
        <v>1</v>
      </c>
      <c r="E50" s="9" t="s">
        <v>1966</v>
      </c>
      <c r="F50" s="9"/>
      <c r="G50" s="9"/>
      <c r="H50" s="46"/>
      <c r="I50" s="9"/>
      <c r="J50" s="9"/>
      <c r="K50" s="9"/>
      <c r="L50" s="10"/>
      <c r="M50" s="10"/>
      <c r="N50" s="11"/>
    </row>
    <row r="51" spans="1:25" ht="26" x14ac:dyDescent="0.3">
      <c r="A51" s="7"/>
      <c r="B51" s="10" t="s">
        <v>1940</v>
      </c>
      <c r="C51" s="45" t="s">
        <v>316</v>
      </c>
      <c r="D51" s="45">
        <v>1</v>
      </c>
      <c r="E51" s="9" t="s">
        <v>1967</v>
      </c>
      <c r="F51" s="9"/>
      <c r="G51" s="9"/>
      <c r="H51" s="46"/>
      <c r="I51" s="9"/>
      <c r="J51" s="9"/>
      <c r="K51" s="9"/>
      <c r="L51" s="10"/>
      <c r="M51" s="10"/>
      <c r="N51" s="11"/>
    </row>
    <row r="52" spans="1:25" ht="26" x14ac:dyDescent="0.3">
      <c r="A52" s="7"/>
      <c r="B52" s="10" t="s">
        <v>1941</v>
      </c>
      <c r="C52" s="45" t="s">
        <v>316</v>
      </c>
      <c r="D52" s="45">
        <v>1</v>
      </c>
      <c r="E52" s="9" t="s">
        <v>1968</v>
      </c>
      <c r="F52" s="9"/>
      <c r="G52" s="9"/>
      <c r="H52" s="46"/>
      <c r="I52" s="9"/>
      <c r="J52" s="9"/>
      <c r="K52" s="9"/>
      <c r="L52" s="10"/>
      <c r="M52" s="10"/>
      <c r="N52" s="11"/>
    </row>
    <row r="53" spans="1:25" ht="26" x14ac:dyDescent="0.3">
      <c r="A53" s="7"/>
      <c r="B53" s="8" t="s">
        <v>1936</v>
      </c>
      <c r="C53" s="45" t="s">
        <v>316</v>
      </c>
      <c r="D53" s="45">
        <v>1</v>
      </c>
      <c r="E53" s="9" t="s">
        <v>1969</v>
      </c>
      <c r="F53" s="9"/>
      <c r="G53" s="9"/>
      <c r="H53" s="46"/>
      <c r="I53" s="9"/>
      <c r="J53" s="9"/>
      <c r="K53" s="9"/>
      <c r="L53" s="10"/>
      <c r="M53" s="10"/>
      <c r="N53" s="11"/>
    </row>
    <row r="54" spans="1:25" ht="26" x14ac:dyDescent="0.3">
      <c r="A54" s="7"/>
      <c r="B54" s="8" t="s">
        <v>1937</v>
      </c>
      <c r="C54" s="45" t="s">
        <v>316</v>
      </c>
      <c r="D54" s="45">
        <v>1</v>
      </c>
      <c r="E54" s="9" t="s">
        <v>1970</v>
      </c>
      <c r="F54" s="9"/>
      <c r="G54" s="9"/>
      <c r="H54" s="46"/>
      <c r="I54" s="9"/>
      <c r="J54" s="9"/>
      <c r="K54" s="9"/>
      <c r="L54" s="10"/>
      <c r="M54" s="10"/>
      <c r="N54" s="11"/>
    </row>
    <row r="55" spans="1:25" ht="26" x14ac:dyDescent="0.3">
      <c r="A55" s="7"/>
      <c r="B55" s="8" t="s">
        <v>1938</v>
      </c>
      <c r="C55" s="45" t="s">
        <v>316</v>
      </c>
      <c r="D55" s="45">
        <v>1</v>
      </c>
      <c r="E55" s="9" t="s">
        <v>1971</v>
      </c>
      <c r="F55" s="9"/>
      <c r="G55" s="9"/>
      <c r="H55" s="46"/>
      <c r="I55" s="9"/>
      <c r="J55" s="9"/>
      <c r="K55" s="9"/>
      <c r="L55" s="10"/>
      <c r="M55" s="10"/>
      <c r="N55" s="11"/>
    </row>
  </sheetData>
  <phoneticPr fontId="10" type="noConversion"/>
  <pageMargins left="0.7" right="0.7" top="0.75" bottom="0.75" header="0.3" footer="0.3"/>
  <pageSetup paperSize="9" orientation="portrait" verticalDpi="0" r:id="rId1"/>
  <ignoredErrors>
    <ignoredError sqref="E49:E55" calculatedColumn="1"/>
  </ignoredErrors>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A3A4B-40F9-4EA4-BE93-AB1ACA52CDE0}">
  <dimension ref="A1:Y21"/>
  <sheetViews>
    <sheetView topLeftCell="A9" zoomScaleNormal="100" workbookViewId="0">
      <selection activeCell="B20" sqref="B20:B21"/>
    </sheetView>
  </sheetViews>
  <sheetFormatPr defaultColWidth="10.54296875" defaultRowHeight="14.5" x14ac:dyDescent="0.35"/>
  <cols>
    <col min="1" max="1" width="7.1796875" style="30" customWidth="1"/>
    <col min="2" max="2" width="10.81640625" style="30" bestFit="1" customWidth="1"/>
    <col min="3" max="3" width="11.7265625" style="30" bestFit="1" customWidth="1"/>
    <col min="4" max="4" width="11.453125" style="30" bestFit="1" customWidth="1"/>
    <col min="5" max="5" width="32.81640625" style="31" customWidth="1"/>
    <col min="6" max="6" width="20.7265625" style="31" bestFit="1" customWidth="1"/>
    <col min="8" max="8" width="18.81640625" style="31" customWidth="1"/>
    <col min="9" max="9" width="16.453125" style="31" customWidth="1"/>
    <col min="10" max="10" width="32.7265625" style="31" customWidth="1"/>
    <col min="11" max="11" width="32.26953125" style="31" customWidth="1"/>
    <col min="12" max="12" width="16.453125" style="31" customWidth="1"/>
    <col min="13" max="14" width="15.7265625" style="30" bestFit="1" customWidth="1"/>
    <col min="15" max="15" width="12.26953125" style="30" bestFit="1" customWidth="1"/>
    <col min="16" max="16" width="19.26953125" style="61" bestFit="1" customWidth="1"/>
    <col min="17" max="17" width="17.81640625" style="61" bestFit="1" customWidth="1"/>
    <col min="18" max="18" width="4.453125" style="61" bestFit="1" customWidth="1"/>
    <col min="19" max="19" width="4.7265625" style="61" bestFit="1" customWidth="1"/>
    <col min="20" max="20" width="11.26953125" style="61" bestFit="1" customWidth="1"/>
    <col min="21" max="21" width="11.54296875" style="61" bestFit="1" customWidth="1"/>
    <col min="22" max="25" width="10.54296875" style="61"/>
    <col min="26" max="16384" width="10.54296875" style="6"/>
  </cols>
  <sheetData>
    <row r="1" spans="1:25" ht="39" x14ac:dyDescent="0.3">
      <c r="A1" s="1" t="s">
        <v>334</v>
      </c>
      <c r="B1" s="2" t="s">
        <v>308</v>
      </c>
      <c r="C1" s="2" t="s">
        <v>335</v>
      </c>
      <c r="D1" s="2" t="s">
        <v>336</v>
      </c>
      <c r="E1" s="3" t="s">
        <v>337</v>
      </c>
      <c r="F1" s="3" t="s">
        <v>338</v>
      </c>
      <c r="G1" s="3" t="s">
        <v>459</v>
      </c>
      <c r="H1" s="3" t="s">
        <v>340</v>
      </c>
      <c r="I1" s="3" t="s">
        <v>341</v>
      </c>
      <c r="J1" s="3" t="s">
        <v>342</v>
      </c>
      <c r="K1" s="3" t="s">
        <v>343</v>
      </c>
      <c r="L1" s="4" t="s">
        <v>344</v>
      </c>
      <c r="M1" s="4" t="s">
        <v>345</v>
      </c>
      <c r="N1" s="5" t="s">
        <v>346</v>
      </c>
      <c r="O1" s="61"/>
      <c r="Y1" s="6"/>
    </row>
    <row r="2" spans="1:25" ht="13" x14ac:dyDescent="0.3">
      <c r="A2" s="44" t="str">
        <f t="shared" ref="A2:A15" si="0">IF(ISNUMBER(SEARCH("CT",B2)),"1"&amp;MID(B2,2,FIND("CT",B2)-2)&amp;RIGHT(B2,1),MID(B2,2,FIND("C",B2)-2)&amp;RIGHT(B2,1))</f>
        <v>381</v>
      </c>
      <c r="B2" s="45" t="s">
        <v>1152</v>
      </c>
      <c r="C2" s="45" t="s">
        <v>317</v>
      </c>
      <c r="D2" s="45">
        <v>1</v>
      </c>
      <c r="E2" s="251" t="str">
        <f>IF(ISNUMBER(SEARCH("CT",B2)),
   "CrossTransferStation[" &amp; (Q$3 + COUNTIF($B$2:B2,"*CT*") - 1) &amp; "]",
   IF( OR(ISNUMBER(SEARCH("TT",B2)), AND(ISNUMBER(SEARCH("C",B2)), NOT(ISNUMBER(SEARCH("CT",B2)))) ),
      "ConveyorStation[" &amp; (Q$2 + COUNTIFS($B$2:B2,"*C*",$B$2:B2,"&lt;&gt;*CT*") + COUNTIF($B$2:B2,"*TT*") - 1) &amp; "]",
      ""))</f>
        <v>ConveyorStation[318]</v>
      </c>
      <c r="F2" s="9" t="s">
        <v>1153</v>
      </c>
      <c r="G2" s="9"/>
      <c r="H2" s="9"/>
      <c r="I2" s="9"/>
      <c r="J2" s="9" t="s">
        <v>1154</v>
      </c>
      <c r="K2" s="9"/>
      <c r="L2" s="47" t="s">
        <v>351</v>
      </c>
      <c r="M2" s="47" t="s">
        <v>350</v>
      </c>
      <c r="N2" s="11"/>
      <c r="O2" s="61"/>
      <c r="P2" s="62" t="s">
        <v>352</v>
      </c>
      <c r="Q2" s="63">
        <v>318</v>
      </c>
      <c r="Y2" s="6"/>
    </row>
    <row r="3" spans="1:25" ht="39" x14ac:dyDescent="0.3">
      <c r="A3" s="44" t="str">
        <f t="shared" si="0"/>
        <v>382</v>
      </c>
      <c r="B3" s="45" t="s">
        <v>1155</v>
      </c>
      <c r="C3" s="45" t="s">
        <v>317</v>
      </c>
      <c r="D3" s="45">
        <v>1</v>
      </c>
      <c r="E3" s="251" t="str">
        <f>IF(ISNUMBER(SEARCH("CT",B3)),
   "CrossTransferStation[" &amp; (Q$3 + COUNTIF($B$2:B3,"*CT*") - 1) &amp; "]",
   IF( OR(ISNUMBER(SEARCH("TT",B3)), AND(ISNUMBER(SEARCH("C",B3)), NOT(ISNUMBER(SEARCH("CT",B3)))) ),
      "ConveyorStation[" &amp; (Q$2 + COUNTIFS($B$2:B3,"*C*",$B$2:B3,"&lt;&gt;*CT*") + COUNTIF($B$2:B3,"*TT*") - 1) &amp; "]",
      ""))</f>
        <v>ConveyorStation[319]</v>
      </c>
      <c r="F3" s="9" t="s">
        <v>1156</v>
      </c>
      <c r="G3" s="9"/>
      <c r="H3" s="9"/>
      <c r="I3" s="9"/>
      <c r="J3" s="9" t="s">
        <v>1157</v>
      </c>
      <c r="K3" s="10" t="s">
        <v>470</v>
      </c>
      <c r="L3" s="47" t="s">
        <v>350</v>
      </c>
      <c r="M3" s="47" t="s">
        <v>351</v>
      </c>
      <c r="N3" s="11"/>
      <c r="O3" s="61"/>
      <c r="P3" s="64" t="s">
        <v>356</v>
      </c>
      <c r="Q3" s="63">
        <v>139</v>
      </c>
      <c r="Y3" s="6"/>
    </row>
    <row r="4" spans="1:25" ht="13" x14ac:dyDescent="0.3">
      <c r="A4" s="23" t="str">
        <f t="shared" si="0"/>
        <v>383</v>
      </c>
      <c r="B4" s="45" t="s">
        <v>1158</v>
      </c>
      <c r="C4" s="45" t="s">
        <v>317</v>
      </c>
      <c r="D4" s="45">
        <v>1</v>
      </c>
      <c r="E4" s="252" t="str">
        <f>IF(ISNUMBER(SEARCH("CT",B4)),
   "CrossTransferStation[" &amp; (Q$3 + COUNTIF($B$2:B4,"*CT*") - 1) &amp; "]",
   IF( OR(ISNUMBER(SEARCH("TT",B4)), AND(ISNUMBER(SEARCH("C",B4)), NOT(ISNUMBER(SEARCH("CT",B4)))) ),
      "ConveyorStation[" &amp; (Q$2 + COUNTIFS($B$2:B4,"*C*",$B$2:B4,"&lt;&gt;*CT*") + COUNTIF($B$2:B4,"*TT*") - 1) &amp; "]",
      ""))</f>
        <v>ConveyorStation[320]</v>
      </c>
      <c r="F4" s="9"/>
      <c r="G4" s="9"/>
      <c r="H4" s="9"/>
      <c r="I4" s="9"/>
      <c r="J4" s="9" t="s">
        <v>1159</v>
      </c>
      <c r="K4" s="9"/>
      <c r="L4" s="24" t="s">
        <v>350</v>
      </c>
      <c r="M4" s="24" t="s">
        <v>350</v>
      </c>
      <c r="N4" s="11"/>
      <c r="O4" s="61"/>
      <c r="P4" s="62"/>
      <c r="Q4" s="64"/>
      <c r="Y4" s="6"/>
    </row>
    <row r="5" spans="1:25" ht="26" x14ac:dyDescent="0.3">
      <c r="A5" s="44" t="str">
        <f t="shared" si="0"/>
        <v>1381</v>
      </c>
      <c r="B5" s="48" t="s">
        <v>1160</v>
      </c>
      <c r="C5" s="45" t="s">
        <v>317</v>
      </c>
      <c r="D5" s="45">
        <v>1</v>
      </c>
      <c r="E5" s="251" t="str">
        <f>IF(ISNUMBER(SEARCH("CT",B5)),
   "CrossTransferStation[" &amp; (Q$3 + COUNTIF($B$2:B5,"*CT*") - 1) &amp; "]",
   IF( OR(ISNUMBER(SEARCH("TT",B5)), AND(ISNUMBER(SEARCH("C",B5)), NOT(ISNUMBER(SEARCH("CT",B5)))) ),
      "ConveyorStation[" &amp; (Q$2 + COUNTIFS($B$2:B5,"*C*",$B$2:B5,"&lt;&gt;*CT*") + COUNTIF($B$2:B5,"*TT*") - 1) &amp; "]",
      ""))</f>
        <v>CrossTransferStation[139]</v>
      </c>
      <c r="F5" s="9" t="s">
        <v>1161</v>
      </c>
      <c r="G5" s="9"/>
      <c r="H5" s="9"/>
      <c r="I5" s="9"/>
      <c r="J5" s="9" t="s">
        <v>1162</v>
      </c>
      <c r="K5" s="9"/>
      <c r="L5" s="47" t="s">
        <v>350</v>
      </c>
      <c r="M5" s="47" t="s">
        <v>351</v>
      </c>
      <c r="N5" s="11"/>
      <c r="O5" s="61"/>
      <c r="Y5" s="6"/>
    </row>
    <row r="6" spans="1:25" ht="26" x14ac:dyDescent="0.3">
      <c r="A6" s="44" t="str">
        <f t="shared" si="0"/>
        <v>1382</v>
      </c>
      <c r="B6" s="48" t="s">
        <v>1163</v>
      </c>
      <c r="C6" s="45" t="s">
        <v>317</v>
      </c>
      <c r="D6" s="45">
        <v>1</v>
      </c>
      <c r="E6" s="251" t="str">
        <f>IF(ISNUMBER(SEARCH("CT",B6)),
   "CrossTransferStation[" &amp; (Q$3 + COUNTIF($B$2:B6,"*CT*") - 1) &amp; "]",
   IF( OR(ISNUMBER(SEARCH("TT",B6)), AND(ISNUMBER(SEARCH("C",B6)), NOT(ISNUMBER(SEARCH("CT",B6)))) ),
      "ConveyorStation[" &amp; (Q$2 + COUNTIFS($B$2:B6,"*C*",$B$2:B6,"&lt;&gt;*CT*") + COUNTIF($B$2:B6,"*TT*") - 1) &amp; "]",
      ""))</f>
        <v>CrossTransferStation[140]</v>
      </c>
      <c r="F6" s="9" t="s">
        <v>1164</v>
      </c>
      <c r="G6" s="9"/>
      <c r="H6" s="9"/>
      <c r="I6" s="9"/>
      <c r="J6" s="9" t="s">
        <v>1165</v>
      </c>
      <c r="K6" s="27"/>
      <c r="L6" s="49" t="s">
        <v>350</v>
      </c>
      <c r="M6" s="49" t="s">
        <v>351</v>
      </c>
      <c r="N6" s="11"/>
      <c r="O6" s="61"/>
      <c r="P6" s="65" t="s">
        <v>308</v>
      </c>
      <c r="Q6" s="65" t="s">
        <v>365</v>
      </c>
      <c r="R6" s="65" t="s">
        <v>366</v>
      </c>
      <c r="S6" s="65" t="s">
        <v>367</v>
      </c>
      <c r="T6" s="65" t="s">
        <v>368</v>
      </c>
      <c r="Y6" s="6"/>
    </row>
    <row r="7" spans="1:25" x14ac:dyDescent="0.3">
      <c r="A7" s="44" t="str">
        <f t="shared" si="0"/>
        <v>391</v>
      </c>
      <c r="B7" s="48" t="s">
        <v>1166</v>
      </c>
      <c r="C7" s="45" t="s">
        <v>317</v>
      </c>
      <c r="D7" s="45">
        <v>1</v>
      </c>
      <c r="E7" s="251" t="str">
        <f>IF(ISNUMBER(SEARCH("CT",B7)),
   "CrossTransferStation[" &amp; (Q$3 + COUNTIF($B$2:B7,"*CT*") - 1) &amp; "]",
   IF( OR(ISNUMBER(SEARCH("TT",B7)), AND(ISNUMBER(SEARCH("C",B7)), NOT(ISNUMBER(SEARCH("CT",B7)))) ),
      "ConveyorStation[" &amp; (Q$2 + COUNTIFS($B$2:B7,"*C*",$B$2:B7,"&lt;&gt;*CT*") + COUNTIF($B$2:B7,"*TT*") - 1) &amp; "]",
      ""))</f>
        <v>ConveyorStation[321]</v>
      </c>
      <c r="F7" s="9" t="s">
        <v>1167</v>
      </c>
      <c r="G7" s="9"/>
      <c r="H7" s="9"/>
      <c r="I7" s="9"/>
      <c r="J7" s="9" t="s">
        <v>1168</v>
      </c>
      <c r="K7" s="9"/>
      <c r="L7" s="47" t="s">
        <v>350</v>
      </c>
      <c r="M7" s="47" t="s">
        <v>351</v>
      </c>
      <c r="N7" s="11"/>
      <c r="O7" s="61"/>
      <c r="P7" s="9" t="s">
        <v>322</v>
      </c>
      <c r="Q7" s="63">
        <v>318</v>
      </c>
      <c r="R7" s="63">
        <v>327</v>
      </c>
      <c r="S7" s="63">
        <v>10</v>
      </c>
      <c r="T7" s="66">
        <f>SUM(R7:S7)+1</f>
        <v>338</v>
      </c>
      <c r="U7" s="42">
        <f>T7-S7-Q7</f>
        <v>10</v>
      </c>
      <c r="Y7" s="6"/>
    </row>
    <row r="8" spans="1:25" x14ac:dyDescent="0.3">
      <c r="A8" s="7" t="str">
        <f t="shared" si="0"/>
        <v>401</v>
      </c>
      <c r="B8" s="48" t="s">
        <v>1169</v>
      </c>
      <c r="C8" s="45" t="s">
        <v>317</v>
      </c>
      <c r="D8" s="45">
        <v>1</v>
      </c>
      <c r="E8" s="252" t="str">
        <f>IF(ISNUMBER(SEARCH("CT",B8)),
   "CrossTransferStation[" &amp; (Q$3 + COUNTIF($B$2:B8,"*CT*") - 1) &amp; "]",
   IF( OR(ISNUMBER(SEARCH("TT",B8)), AND(ISNUMBER(SEARCH("C",B8)), NOT(ISNUMBER(SEARCH("CT",B8)))) ),
      "ConveyorStation[" &amp; (Q$2 + COUNTIFS($B$2:B8,"*C*",$B$2:B8,"&lt;&gt;*CT*") + COUNTIF($B$2:B8,"*TT*") - 1) &amp; "]",
      ""))</f>
        <v>ConveyorStation[322]</v>
      </c>
      <c r="F8" s="9"/>
      <c r="G8" s="9"/>
      <c r="H8" s="9"/>
      <c r="I8" s="9"/>
      <c r="J8" s="9" t="s">
        <v>1170</v>
      </c>
      <c r="K8" s="9"/>
      <c r="L8" s="47" t="s">
        <v>350</v>
      </c>
      <c r="M8" s="47" t="s">
        <v>350</v>
      </c>
      <c r="N8" s="11"/>
      <c r="O8" s="61"/>
      <c r="P8" s="9" t="s">
        <v>323</v>
      </c>
      <c r="Q8" s="63">
        <v>139</v>
      </c>
      <c r="R8" s="63">
        <v>144</v>
      </c>
      <c r="S8" s="63">
        <v>10</v>
      </c>
      <c r="T8" s="66">
        <f t="shared" ref="T8:T13" si="1">SUM(R8:S8)+1</f>
        <v>155</v>
      </c>
      <c r="U8" s="42">
        <f t="shared" ref="U8:V19" si="2">T8-S8-Q8</f>
        <v>6</v>
      </c>
      <c r="Y8" s="6"/>
    </row>
    <row r="9" spans="1:25" ht="39" x14ac:dyDescent="0.3">
      <c r="A9" s="7" t="str">
        <f t="shared" si="0"/>
        <v>1401</v>
      </c>
      <c r="B9" s="48" t="s">
        <v>1171</v>
      </c>
      <c r="C9" s="45" t="s">
        <v>317</v>
      </c>
      <c r="D9" s="45">
        <v>1</v>
      </c>
      <c r="E9" s="251" t="str">
        <f>IF(ISNUMBER(SEARCH("CT",B9)),
   "CrossTransferStation[" &amp; (Q$3 + COUNTIF($B$2:B9,"*CT*") - 1) &amp; "]",
   IF( OR(ISNUMBER(SEARCH("TT",B9)), AND(ISNUMBER(SEARCH("C",B9)), NOT(ISNUMBER(SEARCH("CT",B9)))) ),
      "ConveyorStation[" &amp; (Q$2 + COUNTIFS($B$2:B9,"*C*",$B$2:B9,"&lt;&gt;*CT*") + COUNTIF($B$2:B9,"*TT*") - 1) &amp; "]",
      ""))</f>
        <v>CrossTransferStation[141]</v>
      </c>
      <c r="F9" s="92"/>
      <c r="G9" s="9"/>
      <c r="H9" s="9"/>
      <c r="I9" s="9"/>
      <c r="J9" s="9" t="s">
        <v>1172</v>
      </c>
      <c r="K9" s="9"/>
      <c r="L9" s="47" t="s">
        <v>350</v>
      </c>
      <c r="M9" s="47" t="s">
        <v>350</v>
      </c>
      <c r="N9" s="11"/>
      <c r="O9" s="61"/>
      <c r="P9" s="9" t="s">
        <v>324</v>
      </c>
      <c r="Q9" s="63">
        <v>125</v>
      </c>
      <c r="R9" s="63">
        <v>127</v>
      </c>
      <c r="S9" s="63">
        <f>10+1</f>
        <v>11</v>
      </c>
      <c r="T9" s="66">
        <f t="shared" si="1"/>
        <v>139</v>
      </c>
      <c r="U9" s="42">
        <f t="shared" si="2"/>
        <v>3</v>
      </c>
      <c r="Y9" s="6"/>
    </row>
    <row r="10" spans="1:25" ht="26" x14ac:dyDescent="0.3">
      <c r="A10" s="7" t="str">
        <f t="shared" si="0"/>
        <v>411</v>
      </c>
      <c r="B10" s="48" t="s">
        <v>1173</v>
      </c>
      <c r="C10" s="45" t="s">
        <v>317</v>
      </c>
      <c r="D10" s="45">
        <v>1</v>
      </c>
      <c r="E10" s="251" t="str">
        <f>IF(ISNUMBER(SEARCH("CT",B10)),
   "CrossTransferStation[" &amp; (Q$3 + COUNTIF($B$2:B10,"*CT*") - 1) &amp; "]",
   IF( OR(ISNUMBER(SEARCH("TT",B10)), AND(ISNUMBER(SEARCH("C",B10)), NOT(ISNUMBER(SEARCH("CT",B10)))) ),
      "ConveyorStation[" &amp; (Q$2 + COUNTIFS($B$2:B10,"*C*",$B$2:B10,"&lt;&gt;*CT*") + COUNTIF($B$2:B10,"*TT*") - 1) &amp; "]",
      ""))</f>
        <v>ConveyorStation[323]</v>
      </c>
      <c r="F10" s="9" t="s">
        <v>1174</v>
      </c>
      <c r="G10" s="150" t="s">
        <v>1176</v>
      </c>
      <c r="H10" s="9"/>
      <c r="I10" s="9"/>
      <c r="J10" s="9" t="s">
        <v>1175</v>
      </c>
      <c r="K10" s="9"/>
      <c r="L10" s="47" t="s">
        <v>350</v>
      </c>
      <c r="M10" s="47" t="s">
        <v>351</v>
      </c>
      <c r="N10" s="11"/>
      <c r="O10" s="61"/>
      <c r="P10" s="9" t="s">
        <v>325</v>
      </c>
      <c r="Q10" s="63">
        <v>117</v>
      </c>
      <c r="R10" s="63">
        <v>118</v>
      </c>
      <c r="S10" s="63">
        <v>10</v>
      </c>
      <c r="T10" s="66">
        <f t="shared" si="1"/>
        <v>129</v>
      </c>
      <c r="U10" s="42">
        <f t="shared" si="2"/>
        <v>2</v>
      </c>
      <c r="Y10" s="6"/>
    </row>
    <row r="11" spans="1:25" ht="26" x14ac:dyDescent="0.3">
      <c r="A11" s="7" t="str">
        <f t="shared" si="0"/>
        <v>1411</v>
      </c>
      <c r="B11" s="48" t="s">
        <v>1177</v>
      </c>
      <c r="C11" s="45" t="s">
        <v>317</v>
      </c>
      <c r="D11" s="45">
        <v>1</v>
      </c>
      <c r="E11" s="251" t="str">
        <f>IF(ISNUMBER(SEARCH("CT",B11)),
   "CrossTransferStation[" &amp; (Q$3 + COUNTIF($B$2:B11,"*CT*") - 1) &amp; "]",
   IF( OR(ISNUMBER(SEARCH("TT",B11)), AND(ISNUMBER(SEARCH("C",B11)), NOT(ISNUMBER(SEARCH("CT",B11)))) ),
      "ConveyorStation[" &amp; (Q$2 + COUNTIFS($B$2:B11,"*C*",$B$2:B11,"&lt;&gt;*CT*") + COUNTIF($B$2:B11,"*TT*") - 1) &amp; "]",
      ""))</f>
        <v>CrossTransferStation[142]</v>
      </c>
      <c r="F11" s="9" t="s">
        <v>1178</v>
      </c>
      <c r="G11" s="9"/>
      <c r="H11" s="9"/>
      <c r="I11" s="9"/>
      <c r="J11" s="9" t="s">
        <v>1179</v>
      </c>
      <c r="K11" s="9"/>
      <c r="L11" s="47" t="s">
        <v>351</v>
      </c>
      <c r="M11" s="47" t="s">
        <v>350</v>
      </c>
      <c r="N11" s="11"/>
      <c r="O11" s="61"/>
      <c r="P11" s="9" t="s">
        <v>326</v>
      </c>
      <c r="Q11" s="63">
        <v>134</v>
      </c>
      <c r="R11" s="63">
        <v>135</v>
      </c>
      <c r="S11" s="63">
        <v>10</v>
      </c>
      <c r="T11" s="66">
        <f t="shared" si="1"/>
        <v>146</v>
      </c>
      <c r="U11" s="42">
        <f t="shared" si="2"/>
        <v>2</v>
      </c>
      <c r="Y11" s="6"/>
    </row>
    <row r="12" spans="1:25" ht="26" x14ac:dyDescent="0.3">
      <c r="A12" s="7" t="str">
        <f t="shared" si="0"/>
        <v>421</v>
      </c>
      <c r="B12" s="48" t="s">
        <v>1180</v>
      </c>
      <c r="C12" s="45" t="s">
        <v>317</v>
      </c>
      <c r="D12" s="45">
        <v>1</v>
      </c>
      <c r="E12" s="251" t="str">
        <f>IF(ISNUMBER(SEARCH("CT",B12)),
   "CrossTransferStation[" &amp; (Q$3 + COUNTIF($B$2:B12,"*CT*") - 1) &amp; "]",
   IF( OR(ISNUMBER(SEARCH("TT",B12)), AND(ISNUMBER(SEARCH("C",B12)), NOT(ISNUMBER(SEARCH("CT",B12)))) ),
      "ConveyorStation[" &amp; (Q$2 + COUNTIFS($B$2:B12,"*C*",$B$2:B12,"&lt;&gt;*CT*") + COUNTIF($B$2:B12,"*TT*") - 1) &amp; "]",
      ""))</f>
        <v>ConveyorStation[324]</v>
      </c>
      <c r="F12" s="9" t="s">
        <v>1181</v>
      </c>
      <c r="G12" s="150" t="s">
        <v>1183</v>
      </c>
      <c r="H12" s="9"/>
      <c r="I12" s="9"/>
      <c r="J12" s="9" t="s">
        <v>1182</v>
      </c>
      <c r="K12" s="10" t="s">
        <v>470</v>
      </c>
      <c r="L12" s="47" t="s">
        <v>351</v>
      </c>
      <c r="M12" s="47" t="s">
        <v>350</v>
      </c>
      <c r="N12" s="11"/>
      <c r="O12" s="61"/>
      <c r="P12" s="9" t="s">
        <v>327</v>
      </c>
      <c r="Q12" s="63">
        <v>68</v>
      </c>
      <c r="R12" s="63">
        <v>68</v>
      </c>
      <c r="S12" s="63">
        <v>10</v>
      </c>
      <c r="T12" s="66">
        <f t="shared" si="1"/>
        <v>79</v>
      </c>
      <c r="U12" s="42">
        <f t="shared" si="2"/>
        <v>1</v>
      </c>
      <c r="Y12" s="6"/>
    </row>
    <row r="13" spans="1:25" ht="39" x14ac:dyDescent="0.3">
      <c r="A13" s="7" t="str">
        <f t="shared" si="0"/>
        <v>422</v>
      </c>
      <c r="B13" s="48" t="s">
        <v>1184</v>
      </c>
      <c r="C13" s="45" t="s">
        <v>317</v>
      </c>
      <c r="D13" s="45">
        <v>1</v>
      </c>
      <c r="E13" s="251" t="str">
        <f>IF(ISNUMBER(SEARCH("CT",B13)),
   "CrossTransferStation[" &amp; (Q$3 + COUNTIF($B$2:B13,"*CT*") - 1) &amp; "]",
   IF( OR(ISNUMBER(SEARCH("TT",B13)), AND(ISNUMBER(SEARCH("C",B13)), NOT(ISNUMBER(SEARCH("CT",B13)))) ),
      "ConveyorStation[" &amp; (Q$2 + COUNTIFS($B$2:B13,"*C*",$B$2:B13,"&lt;&gt;*CT*") + COUNTIF($B$2:B13,"*TT*") - 1) &amp; "]",
      ""))</f>
        <v>ConveyorStation[325]</v>
      </c>
      <c r="F13" s="9" t="s">
        <v>1185</v>
      </c>
      <c r="G13" s="9"/>
      <c r="H13" s="9"/>
      <c r="I13" s="9"/>
      <c r="J13" s="53" t="s">
        <v>1186</v>
      </c>
      <c r="K13" s="9"/>
      <c r="L13" s="47" t="s">
        <v>351</v>
      </c>
      <c r="M13" s="47" t="s">
        <v>351</v>
      </c>
      <c r="N13" s="11"/>
      <c r="O13" s="61"/>
      <c r="P13" s="9" t="s">
        <v>328</v>
      </c>
      <c r="Q13" s="63">
        <v>47</v>
      </c>
      <c r="R13" s="63">
        <v>47</v>
      </c>
      <c r="S13" s="63">
        <v>10</v>
      </c>
      <c r="T13" s="66">
        <f t="shared" si="1"/>
        <v>58</v>
      </c>
      <c r="U13" s="42">
        <f t="shared" si="2"/>
        <v>1</v>
      </c>
      <c r="Y13" s="6"/>
    </row>
    <row r="14" spans="1:25" ht="52" x14ac:dyDescent="0.3">
      <c r="A14" s="7" t="str">
        <f t="shared" si="0"/>
        <v>1421</v>
      </c>
      <c r="B14" s="48" t="s">
        <v>1187</v>
      </c>
      <c r="C14" s="45" t="s">
        <v>317</v>
      </c>
      <c r="D14" s="45">
        <v>1</v>
      </c>
      <c r="E14" s="251" t="str">
        <f>IF(ISNUMBER(SEARCH("CT",B14)),
   "CrossTransferStation[" &amp; (Q$3 + COUNTIF($B$2:B14,"*CT*") - 1) &amp; "]",
   IF( OR(ISNUMBER(SEARCH("TT",B14)), AND(ISNUMBER(SEARCH("C",B14)), NOT(ISNUMBER(SEARCH("CT",B14)))) ),
      "ConveyorStation[" &amp; (Q$2 + COUNTIFS($B$2:B14,"*C*",$B$2:B14,"&lt;&gt;*CT*") + COUNTIF($B$2:B14,"*TT*") - 1) &amp; "]",
      ""))</f>
        <v>CrossTransferStation[143]</v>
      </c>
      <c r="F14" s="9"/>
      <c r="G14" s="9"/>
      <c r="H14" s="9"/>
      <c r="I14" s="9"/>
      <c r="J14" s="9" t="s">
        <v>1188</v>
      </c>
      <c r="K14" s="9"/>
      <c r="L14" s="47" t="s">
        <v>350</v>
      </c>
      <c r="M14" s="47" t="s">
        <v>350</v>
      </c>
      <c r="N14" s="11"/>
      <c r="O14" s="61"/>
      <c r="P14" s="9" t="s">
        <v>329</v>
      </c>
      <c r="Q14" s="63"/>
      <c r="R14" s="63"/>
      <c r="S14" s="63"/>
      <c r="T14" s="66">
        <f>'EZ7 Prod G Cold'!T14</f>
        <v>72</v>
      </c>
      <c r="U14" s="42"/>
      <c r="Y14" s="6"/>
    </row>
    <row r="15" spans="1:25" ht="39" x14ac:dyDescent="0.3">
      <c r="A15" s="7" t="str">
        <f t="shared" si="0"/>
        <v>1422</v>
      </c>
      <c r="B15" s="48" t="s">
        <v>1189</v>
      </c>
      <c r="C15" s="45" t="s">
        <v>317</v>
      </c>
      <c r="D15" s="45">
        <v>1</v>
      </c>
      <c r="E15" s="251" t="str">
        <f>IF(ISNUMBER(SEARCH("CT",B15)),
   "CrossTransferStation[" &amp; (Q$3 + COUNTIF($B$2:B15,"*CT*") - 1) &amp; "]",
   IF( OR(ISNUMBER(SEARCH("TT",B15)), AND(ISNUMBER(SEARCH("C",B15)), NOT(ISNUMBER(SEARCH("CT",B15)))) ),
      "ConveyorStation[" &amp; (Q$2 + COUNTIFS($B$2:B15,"*C*",$B$2:B15,"&lt;&gt;*CT*") + COUNTIF($B$2:B15,"*TT*") - 1) &amp; "]",
      ""))</f>
        <v>CrossTransferStation[144]</v>
      </c>
      <c r="F15" s="9"/>
      <c r="G15" s="9"/>
      <c r="H15" s="9"/>
      <c r="I15" s="9"/>
      <c r="J15" s="9" t="s">
        <v>1190</v>
      </c>
      <c r="K15" s="9"/>
      <c r="L15" s="47" t="s">
        <v>350</v>
      </c>
      <c r="M15" s="47" t="s">
        <v>350</v>
      </c>
      <c r="N15" s="11"/>
      <c r="O15" s="61"/>
      <c r="P15" s="9" t="s">
        <v>185</v>
      </c>
      <c r="Q15" s="63"/>
      <c r="R15" s="66"/>
      <c r="S15" s="63"/>
      <c r="T15" s="66">
        <f>'EZ7 Prod G Cold'!T15</f>
        <v>89</v>
      </c>
      <c r="U15" s="42"/>
      <c r="Y15" s="6"/>
    </row>
    <row r="16" spans="1:25" ht="39" x14ac:dyDescent="0.3">
      <c r="A16" s="54">
        <v>31001</v>
      </c>
      <c r="B16" s="48" t="s">
        <v>1191</v>
      </c>
      <c r="C16" s="45" t="s">
        <v>317</v>
      </c>
      <c r="D16" s="45">
        <v>1</v>
      </c>
      <c r="E16" s="251" t="str">
        <f>IF(ISNUMBER(SEARCH("CT",B16)),
   "CrossTransferStation[" &amp; (Q$3 + COUNTIF($B$2:B16,"*CT*") - 1) &amp; "]",
   IF( OR(ISNUMBER(SEARCH("TT",B16)), AND(ISNUMBER(SEARCH("C",B16)), NOT(ISNUMBER(SEARCH("CT",B16)))) ),
      "ConveyorStation[" &amp; (Q$2 + COUNTIFS($B$2:B16,"*C*",$B$2:B16,"&lt;&gt;*CT*") + COUNTIF($B$2:B16,"*TT*") - 1) &amp; "]",
      ""))</f>
        <v>ConveyorStation[326]</v>
      </c>
      <c r="F16" s="93" t="s">
        <v>1192</v>
      </c>
      <c r="G16" s="9"/>
      <c r="H16" s="9"/>
      <c r="I16" s="9"/>
      <c r="J16" s="90" t="s">
        <v>1193</v>
      </c>
      <c r="K16" s="10" t="s">
        <v>470</v>
      </c>
      <c r="L16" s="47" t="s">
        <v>351</v>
      </c>
      <c r="M16" s="47" t="s">
        <v>351</v>
      </c>
      <c r="N16" s="11"/>
      <c r="O16" s="61"/>
      <c r="P16" s="9" t="s">
        <v>330</v>
      </c>
      <c r="Q16" s="63"/>
      <c r="R16" s="66"/>
      <c r="S16" s="63"/>
      <c r="T16" s="66">
        <f>'EZ7 Prod G Cold'!T16</f>
        <v>0</v>
      </c>
      <c r="U16" s="42"/>
      <c r="Y16" s="6"/>
    </row>
    <row r="17" spans="1:25" ht="39" x14ac:dyDescent="0.3">
      <c r="A17" s="54">
        <v>31002</v>
      </c>
      <c r="B17" s="48" t="s">
        <v>1194</v>
      </c>
      <c r="C17" s="45" t="s">
        <v>317</v>
      </c>
      <c r="D17" s="45">
        <v>1</v>
      </c>
      <c r="E17" s="251" t="str">
        <f>IF(ISNUMBER(SEARCH("CT",B17)),
   "CrossTransferStation[" &amp; (Q$3 + COUNTIF($B$2:B21,"*CT*") - 1) &amp; "]",
   IF( OR(ISNUMBER(SEARCH("TT",B17)), AND(ISNUMBER(SEARCH("C",B17)), NOT(ISNUMBER(SEARCH("CT",B17)))) ),
      "ConveyorStation[" &amp; (Q$2 + COUNTIFS($B$2:B21,"*C*",$B$2:B21,"&lt;&gt;*CT*") + COUNTIF($B$2:B21,"*TT*") - 1) &amp; "]",
      ""))</f>
        <v>ConveyorStation[327]</v>
      </c>
      <c r="F17" s="93" t="s">
        <v>1195</v>
      </c>
      <c r="G17" s="9"/>
      <c r="H17" s="9"/>
      <c r="I17" s="9"/>
      <c r="J17" s="90" t="s">
        <v>1196</v>
      </c>
      <c r="K17" s="10" t="s">
        <v>470</v>
      </c>
      <c r="L17" s="47" t="s">
        <v>351</v>
      </c>
      <c r="M17" s="47" t="s">
        <v>351</v>
      </c>
      <c r="N17" s="11"/>
      <c r="O17" s="61"/>
      <c r="P17" s="9" t="s">
        <v>331</v>
      </c>
      <c r="Q17" s="63">
        <v>57</v>
      </c>
      <c r="R17" s="63">
        <v>59</v>
      </c>
      <c r="S17" s="63">
        <v>10</v>
      </c>
      <c r="T17" s="66">
        <f t="shared" ref="T17" si="3">SUM(R17:S17)+1</f>
        <v>70</v>
      </c>
      <c r="U17" s="42">
        <f t="shared" si="2"/>
        <v>3</v>
      </c>
      <c r="Y17" s="6"/>
    </row>
    <row r="18" spans="1:25" x14ac:dyDescent="0.3">
      <c r="A18" s="7"/>
      <c r="B18" s="8" t="s">
        <v>1942</v>
      </c>
      <c r="C18" s="45" t="s">
        <v>317</v>
      </c>
      <c r="D18" s="45">
        <v>1</v>
      </c>
      <c r="E18" s="254" t="s">
        <v>1972</v>
      </c>
      <c r="F18" s="93"/>
      <c r="G18" s="46"/>
      <c r="H18" s="9"/>
      <c r="I18" s="9"/>
      <c r="J18" s="9"/>
      <c r="K18" s="9"/>
      <c r="L18" s="10"/>
      <c r="M18" s="10"/>
      <c r="N18" s="11"/>
      <c r="Q18" s="64" t="s">
        <v>201</v>
      </c>
      <c r="R18" s="63"/>
      <c r="S18" s="63"/>
      <c r="T18" s="63"/>
      <c r="U18" s="66">
        <f>'EZ7 Prod G Cold'!T18</f>
        <v>29</v>
      </c>
      <c r="V18" s="42"/>
    </row>
    <row r="19" spans="1:25" x14ac:dyDescent="0.3">
      <c r="A19" s="7"/>
      <c r="B19" s="8" t="s">
        <v>1943</v>
      </c>
      <c r="C19" s="45" t="s">
        <v>317</v>
      </c>
      <c r="D19" s="45">
        <v>1</v>
      </c>
      <c r="E19" s="254" t="s">
        <v>1973</v>
      </c>
      <c r="F19" s="93"/>
      <c r="G19" s="46"/>
      <c r="H19" s="9"/>
      <c r="I19" s="9"/>
      <c r="J19" s="9"/>
      <c r="K19" s="9"/>
      <c r="L19" s="10"/>
      <c r="M19" s="10"/>
      <c r="N19" s="11"/>
      <c r="Q19" s="64" t="s">
        <v>332</v>
      </c>
      <c r="R19" s="63">
        <v>1</v>
      </c>
      <c r="S19" s="63">
        <v>2</v>
      </c>
      <c r="T19" s="63">
        <v>10</v>
      </c>
      <c r="U19" s="66">
        <f t="shared" ref="U19" si="4">SUM(S19:T19)+1</f>
        <v>13</v>
      </c>
      <c r="V19" s="42">
        <f t="shared" si="2"/>
        <v>2</v>
      </c>
    </row>
    <row r="20" spans="1:25" ht="13" x14ac:dyDescent="0.3">
      <c r="A20" s="7"/>
      <c r="B20" s="8" t="s">
        <v>2000</v>
      </c>
      <c r="C20" s="45" t="s">
        <v>317</v>
      </c>
      <c r="D20" s="45">
        <v>1</v>
      </c>
      <c r="E20" s="254" t="s">
        <v>1974</v>
      </c>
      <c r="F20" s="93"/>
      <c r="G20" s="46"/>
      <c r="H20" s="9"/>
      <c r="I20" s="9"/>
      <c r="J20" s="9"/>
      <c r="K20" s="9"/>
      <c r="L20" s="10"/>
      <c r="M20" s="10"/>
      <c r="N20" s="11"/>
    </row>
    <row r="21" spans="1:25" ht="13" x14ac:dyDescent="0.3">
      <c r="A21" s="7"/>
      <c r="B21" s="8" t="s">
        <v>2001</v>
      </c>
      <c r="C21" s="45" t="s">
        <v>317</v>
      </c>
      <c r="D21" s="45">
        <v>1</v>
      </c>
      <c r="E21" s="254" t="s">
        <v>1975</v>
      </c>
      <c r="F21" s="93"/>
      <c r="G21" s="46"/>
      <c r="H21" s="9"/>
      <c r="I21" s="9"/>
      <c r="J21" s="9"/>
      <c r="K21" s="9"/>
      <c r="L21" s="10"/>
      <c r="M21" s="10"/>
      <c r="N21" s="11"/>
    </row>
  </sheetData>
  <phoneticPr fontId="10" type="noConversion"/>
  <pageMargins left="0.7" right="0.7" top="0.75" bottom="0.75" header="0.3" footer="0.3"/>
  <pageSetup paperSize="9" orientation="portrait" verticalDpi="0" r:id="rId1"/>
  <ignoredErrors>
    <ignoredError sqref="U19" formulaRange="1"/>
    <ignoredError sqref="U18" formula="1"/>
    <ignoredError sqref="E17 E18:E21" calculatedColumn="1"/>
  </ignoredErrors>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03D3-6041-4118-9186-D5AEFE5B8C2B}">
  <dimension ref="A1:BC70"/>
  <sheetViews>
    <sheetView topLeftCell="A45" zoomScale="79" zoomScaleNormal="100" workbookViewId="0">
      <selection activeCell="E71" sqref="E71"/>
    </sheetView>
  </sheetViews>
  <sheetFormatPr defaultColWidth="10.54296875" defaultRowHeight="14.5" x14ac:dyDescent="0.35"/>
  <cols>
    <col min="1" max="1" width="7.1796875" style="30" customWidth="1"/>
    <col min="2" max="2" width="22.453125" style="30" customWidth="1"/>
    <col min="3" max="3" width="17.81640625" style="30" bestFit="1" customWidth="1"/>
    <col min="4" max="4" width="11.453125" style="30" customWidth="1"/>
    <col min="5" max="5" width="42.26953125" style="31" bestFit="1" customWidth="1"/>
    <col min="6" max="6" width="23.81640625" style="31" bestFit="1" customWidth="1"/>
    <col min="7" max="7" width="28.7265625" bestFit="1" customWidth="1"/>
    <col min="8" max="9" width="16.453125" style="31" customWidth="1"/>
    <col min="10" max="10" width="30.7265625" style="31" bestFit="1" customWidth="1"/>
    <col min="11" max="11" width="24" style="31" bestFit="1" customWidth="1"/>
    <col min="12" max="12" width="15.7265625" style="31" bestFit="1" customWidth="1"/>
    <col min="13" max="13" width="15.7265625" style="30" bestFit="1" customWidth="1"/>
    <col min="14" max="14" width="20.81640625" style="221" customWidth="1"/>
    <col min="15" max="15" width="12.26953125" style="30" bestFit="1" customWidth="1"/>
    <col min="16" max="16" width="20.7265625" style="61" bestFit="1" customWidth="1"/>
    <col min="17" max="17" width="4.1796875" style="61" bestFit="1" customWidth="1"/>
    <col min="18" max="18" width="4.453125" style="61" bestFit="1" customWidth="1"/>
    <col min="19" max="19" width="10" style="61" bestFit="1" customWidth="1"/>
    <col min="20" max="20" width="9.81640625" style="61" bestFit="1" customWidth="1"/>
    <col min="21" max="21" width="3" style="61" bestFit="1" customWidth="1"/>
    <col min="22" max="22" width="5.1796875" style="61" bestFit="1" customWidth="1"/>
    <col min="23" max="23" width="25" style="61" bestFit="1" customWidth="1"/>
    <col min="24" max="24" width="10.54296875" style="61"/>
    <col min="25" max="25" width="21" style="61" bestFit="1" customWidth="1"/>
    <col min="26" max="26" width="10.54296875" style="6"/>
    <col min="27" max="27" width="23.26953125" style="6" bestFit="1" customWidth="1"/>
    <col min="28" max="28" width="10.54296875" style="6"/>
    <col min="29" max="29" width="25" style="6" bestFit="1" customWidth="1"/>
    <col min="30" max="30" width="10.54296875" style="6"/>
    <col min="31" max="31" width="25.1796875" style="6" bestFit="1" customWidth="1"/>
    <col min="32" max="39" width="10.54296875" style="6"/>
    <col min="40" max="40" width="35.81640625" style="6" bestFit="1" customWidth="1"/>
    <col min="41" max="41" width="10.54296875" style="6"/>
    <col min="42" max="42" width="35" style="6" bestFit="1" customWidth="1"/>
    <col min="43" max="45" width="10.54296875" style="6"/>
    <col min="46" max="46" width="6.1796875" style="6" customWidth="1"/>
    <col min="47" max="47" width="8.453125" style="6" customWidth="1"/>
    <col min="48" max="16384" width="10.54296875" style="6"/>
  </cols>
  <sheetData>
    <row r="1" spans="1:46" ht="26" x14ac:dyDescent="0.3">
      <c r="A1" s="1" t="s">
        <v>334</v>
      </c>
      <c r="B1" s="2" t="s">
        <v>308</v>
      </c>
      <c r="C1" s="2" t="s">
        <v>335</v>
      </c>
      <c r="D1" s="2" t="s">
        <v>336</v>
      </c>
      <c r="E1" s="3" t="s">
        <v>337</v>
      </c>
      <c r="F1" s="3" t="s">
        <v>338</v>
      </c>
      <c r="G1" s="3" t="s">
        <v>459</v>
      </c>
      <c r="H1" s="3" t="s">
        <v>340</v>
      </c>
      <c r="I1" s="3" t="s">
        <v>341</v>
      </c>
      <c r="J1" s="3" t="s">
        <v>342</v>
      </c>
      <c r="K1" s="3" t="s">
        <v>343</v>
      </c>
      <c r="L1" s="4" t="s">
        <v>344</v>
      </c>
      <c r="M1" s="4" t="s">
        <v>345</v>
      </c>
      <c r="N1" s="218" t="s">
        <v>346</v>
      </c>
      <c r="O1" s="61"/>
      <c r="Y1" s="6"/>
    </row>
    <row r="2" spans="1:46" ht="39" x14ac:dyDescent="0.3">
      <c r="A2" s="44" t="str">
        <f t="shared" ref="A2:A17" si="0">IF(ISNUMBER(SEARCH("CT",B2)),"1"&amp;MID(B2,2,FIND("CT",B2)-2)&amp;RIGHT(B2,1),MID(B2,2,FIND("C",B2)-2)&amp;RIGHT(B2,1))</f>
        <v>541</v>
      </c>
      <c r="B2" s="45" t="s">
        <v>1197</v>
      </c>
      <c r="C2" s="45" t="s">
        <v>318</v>
      </c>
      <c r="D2" s="45">
        <v>1</v>
      </c>
      <c r="E2" s="46" t="str">
        <f>IF(ISNUMBER(SEARCH("CT",B2)),
   "CrossTransferStation[" &amp; (Q$3 + COUNTIF($B$2:B2,"*CT*") - 1) &amp; "]",
   IF( OR(ISNUMBER(SEARCH("TT",B2)), AND(ISNUMBER(SEARCH("C",B2)), NOT(ISNUMBER(SEARCH("CT",B2)))) ),
      "ConveyorStation[" &amp; (Q$2 + COUNTIFS($B$2:B2,"*C*",$B$2:B2,"&lt;&gt;*CT*") + COUNTIF($B$2:B2,"*TT*") - 1) &amp; "]",
      ""))</f>
        <v>ConveyorStation[338]</v>
      </c>
      <c r="F2" s="9" t="s">
        <v>1198</v>
      </c>
      <c r="G2" s="53"/>
      <c r="H2" s="9"/>
      <c r="I2" s="9"/>
      <c r="J2" s="53" t="s">
        <v>1199</v>
      </c>
      <c r="K2" s="9"/>
      <c r="L2" s="47" t="s">
        <v>351</v>
      </c>
      <c r="M2" s="47" t="s">
        <v>351</v>
      </c>
      <c r="N2" s="219"/>
      <c r="O2" s="61"/>
      <c r="P2" s="62" t="s">
        <v>352</v>
      </c>
      <c r="Q2" s="63">
        <v>338</v>
      </c>
      <c r="Y2" s="6"/>
    </row>
    <row r="3" spans="1:46" x14ac:dyDescent="0.3">
      <c r="A3" s="44" t="str">
        <f t="shared" si="0"/>
        <v>542</v>
      </c>
      <c r="B3" s="45" t="s">
        <v>1200</v>
      </c>
      <c r="C3" s="45" t="s">
        <v>318</v>
      </c>
      <c r="D3" s="45">
        <v>1</v>
      </c>
      <c r="E3" s="46" t="str">
        <f>IF(ISNUMBER(SEARCH("CT",B3)),
   "CrossTransferStation[" &amp; (Q$3 + COUNTIF($B$2:B3,"*CT*") - 1) &amp; "]",
   IF( OR(ISNUMBER(SEARCH("TT",B3)), AND(ISNUMBER(SEARCH("C",B3)), NOT(ISNUMBER(SEARCH("CT",B3)))) ),
      "ConveyorStation[" &amp; (Q$2 + COUNTIFS($B$2:B3,"*C*",$B$2:B3,"&lt;&gt;*CT*") + COUNTIF($B$2:B3,"*TT*") - 1) &amp; "]",
      ""))</f>
        <v>ConveyorStation[339]</v>
      </c>
      <c r="F3" s="9" t="s">
        <v>1201</v>
      </c>
      <c r="G3" s="9"/>
      <c r="H3" s="9"/>
      <c r="I3" s="9"/>
      <c r="J3" s="9" t="s">
        <v>1202</v>
      </c>
      <c r="K3" s="9"/>
      <c r="L3" s="47" t="s">
        <v>351</v>
      </c>
      <c r="M3" s="146" t="s">
        <v>350</v>
      </c>
      <c r="N3" s="219"/>
      <c r="O3" s="61"/>
      <c r="P3" s="62" t="s">
        <v>356</v>
      </c>
      <c r="Q3" s="63">
        <v>155</v>
      </c>
      <c r="Y3" s="6"/>
    </row>
    <row r="4" spans="1:46" ht="39" x14ac:dyDescent="0.3">
      <c r="A4" s="23" t="str">
        <f t="shared" si="0"/>
        <v>543</v>
      </c>
      <c r="B4" s="45" t="s">
        <v>1203</v>
      </c>
      <c r="C4" s="45" t="s">
        <v>318</v>
      </c>
      <c r="D4" s="45">
        <v>1</v>
      </c>
      <c r="E4" s="46" t="str">
        <f>IF(ISNUMBER(SEARCH("CT",B4)),
   "CrossTransferStation[" &amp; (Q$3 + COUNTIF($B$2:B4,"*CT*") - 1) &amp; "]",
   IF( OR(ISNUMBER(SEARCH("TT",B4)), AND(ISNUMBER(SEARCH("C",B4)), NOT(ISNUMBER(SEARCH("CT",B4)))) ),
      "ConveyorStation[" &amp; (Q$2 + COUNTIFS($B$2:B4,"*C*",$B$2:B4,"&lt;&gt;*CT*") + COUNTIF($B$2:B4,"*TT*") - 1) &amp; "]",
      ""))</f>
        <v>ConveyorStation[340]</v>
      </c>
      <c r="F4" s="9" t="s">
        <v>1204</v>
      </c>
      <c r="G4" s="9"/>
      <c r="H4" s="9"/>
      <c r="I4" s="9"/>
      <c r="J4" s="9" t="s">
        <v>1205</v>
      </c>
      <c r="K4" s="9" t="s">
        <v>470</v>
      </c>
      <c r="L4" s="24" t="s">
        <v>350</v>
      </c>
      <c r="M4" s="24" t="s">
        <v>351</v>
      </c>
      <c r="N4" s="219"/>
      <c r="O4" s="61"/>
      <c r="P4" s="64"/>
      <c r="Q4" s="64"/>
      <c r="Y4" s="6"/>
    </row>
    <row r="5" spans="1:46" ht="26" x14ac:dyDescent="0.3">
      <c r="A5" s="44" t="str">
        <f t="shared" si="0"/>
        <v>1541</v>
      </c>
      <c r="B5" s="45" t="s">
        <v>1206</v>
      </c>
      <c r="C5" s="45" t="s">
        <v>318</v>
      </c>
      <c r="D5" s="45">
        <v>1</v>
      </c>
      <c r="E5" s="46" t="str">
        <f>IF(ISNUMBER(SEARCH("CT",B5)),
   "CrossTransferStation[" &amp; (Q$3 + COUNTIF($B$2:B5,"*CT*") - 1) &amp; "]",
   IF( OR(ISNUMBER(SEARCH("TT",B5)), AND(ISNUMBER(SEARCH("C",B5)), NOT(ISNUMBER(SEARCH("CT",B5)))) ),
      "ConveyorStation[" &amp; (Q$2 + COUNTIFS($B$2:B5,"*C*",$B$2:B5,"&lt;&gt;*CT*") + COUNTIF($B$2:B5,"*TT*") - 1) &amp; "]",
      ""))</f>
        <v>CrossTransferStation[155]</v>
      </c>
      <c r="F5" s="9" t="s">
        <v>1207</v>
      </c>
      <c r="G5" s="9"/>
      <c r="H5" s="9"/>
      <c r="I5" s="9"/>
      <c r="J5" s="9" t="s">
        <v>1021</v>
      </c>
      <c r="K5" s="9"/>
      <c r="L5" s="47" t="s">
        <v>350</v>
      </c>
      <c r="M5" s="47" t="s">
        <v>351</v>
      </c>
      <c r="N5" s="219"/>
      <c r="O5" s="61"/>
      <c r="Y5" s="6"/>
    </row>
    <row r="6" spans="1:46" x14ac:dyDescent="0.35">
      <c r="A6" s="44" t="str">
        <f t="shared" si="0"/>
        <v>551</v>
      </c>
      <c r="B6" s="48" t="s">
        <v>1208</v>
      </c>
      <c r="C6" s="45" t="s">
        <v>318</v>
      </c>
      <c r="D6" s="45">
        <v>1</v>
      </c>
      <c r="E6" s="46" t="str">
        <f>IF(ISNUMBER(SEARCH("CT",B6)),
   "CrossTransferStation[" &amp; (Q$3 + COUNTIF($B$2:B6,"*CT*") - 1) &amp; "]",
   IF( OR(ISNUMBER(SEARCH("TT",B6)), AND(ISNUMBER(SEARCH("C",B6)), NOT(ISNUMBER(SEARCH("CT",B6)))) ),
      "ConveyorStation[" &amp; (Q$2 + COUNTIFS($B$2:B6,"*C*",$B$2:B6,"&lt;&gt;*CT*") + COUNTIF($B$2:B6,"*TT*") - 1) &amp; "]",
      ""))</f>
        <v>ConveyorStation[341]</v>
      </c>
      <c r="F6" s="9" t="s">
        <v>1209</v>
      </c>
      <c r="G6" s="9"/>
      <c r="H6" s="9"/>
      <c r="I6" s="9"/>
      <c r="J6" s="9" t="s">
        <v>1210</v>
      </c>
      <c r="K6" s="27"/>
      <c r="L6" s="49" t="s">
        <v>350</v>
      </c>
      <c r="M6" s="49" t="s">
        <v>351</v>
      </c>
      <c r="N6" s="219"/>
      <c r="O6" s="61"/>
      <c r="P6" s="65" t="s">
        <v>308</v>
      </c>
      <c r="Q6" s="65" t="s">
        <v>365</v>
      </c>
      <c r="R6" s="65" t="s">
        <v>366</v>
      </c>
      <c r="S6" s="65" t="s">
        <v>367</v>
      </c>
      <c r="T6" s="65" t="s">
        <v>368</v>
      </c>
      <c r="U6" s="68"/>
      <c r="Z6" s="61"/>
      <c r="AT6"/>
    </row>
    <row r="7" spans="1:46" x14ac:dyDescent="0.35">
      <c r="A7" s="44" t="str">
        <f t="shared" si="0"/>
        <v>561</v>
      </c>
      <c r="B7" s="48" t="s">
        <v>1211</v>
      </c>
      <c r="C7" s="45" t="s">
        <v>318</v>
      </c>
      <c r="D7" s="45">
        <v>1</v>
      </c>
      <c r="E7" s="46" t="str">
        <f>IF(ISNUMBER(SEARCH("CT",B7)),
   "CrossTransferStation[" &amp; (Q$3 + COUNTIF($B$2:B7,"*CT*") - 1) &amp; "]",
   IF( OR(ISNUMBER(SEARCH("TT",B7)), AND(ISNUMBER(SEARCH("C",B7)), NOT(ISNUMBER(SEARCH("CT",B7)))) ),
      "ConveyorStation[" &amp; (Q$2 + COUNTIFS($B$2:B7,"*C*",$B$2:B7,"&lt;&gt;*CT*") + COUNTIF($B$2:B7,"*TT*") - 1) &amp; "]",
      ""))</f>
        <v>ConveyorStation[342]</v>
      </c>
      <c r="F7" s="9"/>
      <c r="G7" s="9"/>
      <c r="H7" s="9"/>
      <c r="I7" s="9"/>
      <c r="J7" s="9" t="s">
        <v>1212</v>
      </c>
      <c r="K7" s="9"/>
      <c r="L7" s="47" t="s">
        <v>350</v>
      </c>
      <c r="M7" s="47" t="s">
        <v>350</v>
      </c>
      <c r="N7" s="219"/>
      <c r="O7" s="61"/>
      <c r="P7" s="9" t="s">
        <v>322</v>
      </c>
      <c r="Q7" s="63">
        <v>338</v>
      </c>
      <c r="R7" s="63">
        <v>386</v>
      </c>
      <c r="S7" s="63">
        <v>10</v>
      </c>
      <c r="T7" s="63">
        <f>SUM(R7:S7)+1</f>
        <v>397</v>
      </c>
      <c r="U7" s="42">
        <f>T7-S7-Q7</f>
        <v>49</v>
      </c>
      <c r="AA7" s="61"/>
      <c r="AB7" s="61"/>
      <c r="AC7" s="61"/>
      <c r="AT7"/>
    </row>
    <row r="8" spans="1:46" x14ac:dyDescent="0.35">
      <c r="A8" s="7" t="str">
        <f t="shared" si="0"/>
        <v>562</v>
      </c>
      <c r="B8" s="48" t="s">
        <v>1213</v>
      </c>
      <c r="C8" s="45" t="s">
        <v>318</v>
      </c>
      <c r="D8" s="45">
        <v>1</v>
      </c>
      <c r="E8" s="46" t="str">
        <f>IF(ISNUMBER(SEARCH("CT",B8)),
   "CrossTransferStation[" &amp; (Q$3 + COUNTIF($B$2:B8,"*CT*") - 1) &amp; "]",
   IF( OR(ISNUMBER(SEARCH("TT",B8)), AND(ISNUMBER(SEARCH("C",B8)), NOT(ISNUMBER(SEARCH("CT",B8)))) ),
      "ConveyorStation[" &amp; (Q$2 + COUNTIFS($B$2:B8,"*C*",$B$2:B8,"&lt;&gt;*CT*") + COUNTIF($B$2:B8,"*TT*") - 1) &amp; "]",
      ""))</f>
        <v>ConveyorStation[343]</v>
      </c>
      <c r="F8" s="9" t="s">
        <v>1214</v>
      </c>
      <c r="G8" s="9"/>
      <c r="H8" s="9"/>
      <c r="I8" s="9"/>
      <c r="J8" s="9" t="s">
        <v>1215</v>
      </c>
      <c r="K8" s="9"/>
      <c r="L8" s="47" t="s">
        <v>350</v>
      </c>
      <c r="M8" s="47" t="s">
        <v>351</v>
      </c>
      <c r="N8" s="219"/>
      <c r="O8" s="61"/>
      <c r="P8" s="9" t="s">
        <v>323</v>
      </c>
      <c r="Q8" s="63">
        <v>155</v>
      </c>
      <c r="R8" s="63">
        <v>168</v>
      </c>
      <c r="S8" s="63">
        <v>10</v>
      </c>
      <c r="T8" s="63">
        <f t="shared" ref="T8:T13" si="1">SUM(R8:S8)+1</f>
        <v>179</v>
      </c>
      <c r="U8" s="42">
        <f t="shared" ref="U8:U17" si="2">T8-S8-Q8</f>
        <v>14</v>
      </c>
      <c r="AA8" s="61"/>
      <c r="AB8" s="61"/>
      <c r="AC8" s="61"/>
      <c r="AT8"/>
    </row>
    <row r="9" spans="1:46" x14ac:dyDescent="0.35">
      <c r="A9" s="7" t="str">
        <f t="shared" si="0"/>
        <v>563</v>
      </c>
      <c r="B9" s="48" t="s">
        <v>1216</v>
      </c>
      <c r="C9" s="45" t="s">
        <v>318</v>
      </c>
      <c r="D9" s="45">
        <v>1</v>
      </c>
      <c r="E9" s="46" t="str">
        <f>IF(ISNUMBER(SEARCH("CT",B9)),
   "CrossTransferStation[" &amp; (Q$3 + COUNTIF($B$2:B9,"*CT*") - 1) &amp; "]",
   IF( OR(ISNUMBER(SEARCH("TT",B9)), AND(ISNUMBER(SEARCH("C",B9)), NOT(ISNUMBER(SEARCH("CT",B9)))) ),
      "ConveyorStation[" &amp; (Q$2 + COUNTIFS($B$2:B9,"*C*",$B$2:B9,"&lt;&gt;*CT*") + COUNTIF($B$2:B9,"*TT*") - 1) &amp; "]",
      ""))</f>
        <v>ConveyorStation[344]</v>
      </c>
      <c r="F9" s="9"/>
      <c r="G9" s="9"/>
      <c r="H9" s="9"/>
      <c r="I9" s="9"/>
      <c r="J9" s="9" t="s">
        <v>1217</v>
      </c>
      <c r="K9" s="9"/>
      <c r="L9" s="47" t="s">
        <v>350</v>
      </c>
      <c r="M9" s="47" t="s">
        <v>350</v>
      </c>
      <c r="N9" s="219"/>
      <c r="O9" s="61"/>
      <c r="P9" s="9" t="s">
        <v>324</v>
      </c>
      <c r="Q9" s="63">
        <v>139</v>
      </c>
      <c r="R9" s="63">
        <v>153</v>
      </c>
      <c r="S9" s="63">
        <v>10</v>
      </c>
      <c r="T9" s="63">
        <f t="shared" si="1"/>
        <v>164</v>
      </c>
      <c r="U9" s="42">
        <f t="shared" si="2"/>
        <v>15</v>
      </c>
      <c r="AA9" s="61"/>
      <c r="AB9" s="61"/>
      <c r="AC9" s="61"/>
      <c r="AT9"/>
    </row>
    <row r="10" spans="1:46" x14ac:dyDescent="0.35">
      <c r="A10" s="7" t="str">
        <f t="shared" si="0"/>
        <v>571</v>
      </c>
      <c r="B10" s="48" t="s">
        <v>1218</v>
      </c>
      <c r="C10" s="45" t="s">
        <v>318</v>
      </c>
      <c r="D10" s="45">
        <v>1</v>
      </c>
      <c r="E10" s="46" t="str">
        <f>IF(ISNUMBER(SEARCH("CT",B10)),
   "CrossTransferStation[" &amp; (Q$3 + COUNTIF($B$2:B10,"*CT*") - 1) &amp; "]",
   IF( OR(ISNUMBER(SEARCH("TT",B10)), AND(ISNUMBER(SEARCH("C",B10)), NOT(ISNUMBER(SEARCH("CT",B10)))) ),
      "ConveyorStation[" &amp; (Q$2 + COUNTIFS($B$2:B10,"*C*",$B$2:B10,"&lt;&gt;*CT*") + COUNTIF($B$2:B10,"*TT*") - 1) &amp; "]",
      ""))</f>
        <v>ConveyorStation[345]</v>
      </c>
      <c r="F10" s="9"/>
      <c r="G10" s="9"/>
      <c r="H10" s="9"/>
      <c r="I10" s="9"/>
      <c r="J10" s="9" t="s">
        <v>1219</v>
      </c>
      <c r="K10" s="9"/>
      <c r="L10" s="47" t="s">
        <v>350</v>
      </c>
      <c r="M10" s="47" t="s">
        <v>350</v>
      </c>
      <c r="N10" s="219"/>
      <c r="O10" s="61"/>
      <c r="P10" s="9" t="s">
        <v>325</v>
      </c>
      <c r="Q10" s="63">
        <v>129</v>
      </c>
      <c r="R10" s="63">
        <v>132</v>
      </c>
      <c r="S10" s="63">
        <v>10</v>
      </c>
      <c r="T10" s="63">
        <f t="shared" si="1"/>
        <v>143</v>
      </c>
      <c r="U10" s="42">
        <f t="shared" si="2"/>
        <v>4</v>
      </c>
      <c r="AA10" s="61"/>
      <c r="AB10" s="61"/>
      <c r="AC10" s="61"/>
      <c r="AT10"/>
    </row>
    <row r="11" spans="1:46" x14ac:dyDescent="0.35">
      <c r="A11" s="7" t="str">
        <f t="shared" si="0"/>
        <v>572</v>
      </c>
      <c r="B11" s="48" t="s">
        <v>1220</v>
      </c>
      <c r="C11" s="45" t="s">
        <v>318</v>
      </c>
      <c r="D11" s="45">
        <v>1</v>
      </c>
      <c r="E11" s="46" t="str">
        <f>IF(ISNUMBER(SEARCH("CT",B11)),
   "CrossTransferStation[" &amp; (Q$3 + COUNTIF($B$2:B11,"*CT*") - 1) &amp; "]",
   IF( OR(ISNUMBER(SEARCH("TT",B11)), AND(ISNUMBER(SEARCH("C",B11)), NOT(ISNUMBER(SEARCH("CT",B11)))) ),
      "ConveyorStation[" &amp; (Q$2 + COUNTIFS($B$2:B11,"*C*",$B$2:B11,"&lt;&gt;*CT*") + COUNTIF($B$2:B11,"*TT*") - 1) &amp; "]",
      ""))</f>
        <v>ConveyorStation[346]</v>
      </c>
      <c r="F11" s="9"/>
      <c r="G11" s="9"/>
      <c r="H11" s="9"/>
      <c r="I11" s="9"/>
      <c r="J11" s="9" t="s">
        <v>1221</v>
      </c>
      <c r="K11" s="9"/>
      <c r="L11" s="47" t="s">
        <v>350</v>
      </c>
      <c r="M11" s="47" t="s">
        <v>350</v>
      </c>
      <c r="N11" s="219"/>
      <c r="O11" s="61"/>
      <c r="P11" s="9" t="s">
        <v>326</v>
      </c>
      <c r="Q11" s="63">
        <v>146</v>
      </c>
      <c r="R11" s="63">
        <v>151</v>
      </c>
      <c r="S11" s="63">
        <v>10</v>
      </c>
      <c r="T11" s="63">
        <f t="shared" si="1"/>
        <v>162</v>
      </c>
      <c r="U11" s="42">
        <f t="shared" si="2"/>
        <v>6</v>
      </c>
      <c r="AA11" s="61"/>
      <c r="AB11" s="61"/>
      <c r="AC11" s="61"/>
      <c r="AT11"/>
    </row>
    <row r="12" spans="1:46" x14ac:dyDescent="0.35">
      <c r="A12" s="7" t="str">
        <f t="shared" si="0"/>
        <v>573</v>
      </c>
      <c r="B12" s="48" t="s">
        <v>1222</v>
      </c>
      <c r="C12" s="45" t="s">
        <v>318</v>
      </c>
      <c r="D12" s="45">
        <v>1</v>
      </c>
      <c r="E12" s="46" t="str">
        <f>IF(ISNUMBER(SEARCH("CT",B12)),
   "CrossTransferStation[" &amp; (Q$3 + COUNTIF($B$2:B12,"*CT*") - 1) &amp; "]",
   IF( OR(ISNUMBER(SEARCH("TT",B12)), AND(ISNUMBER(SEARCH("C",B12)), NOT(ISNUMBER(SEARCH("CT",B12)))) ),
      "ConveyorStation[" &amp; (Q$2 + COUNTIFS($B$2:B12,"*C*",$B$2:B12,"&lt;&gt;*CT*") + COUNTIF($B$2:B12,"*TT*") - 1) &amp; "]",
      ""))</f>
        <v>ConveyorStation[347]</v>
      </c>
      <c r="F12" s="9"/>
      <c r="G12" s="9"/>
      <c r="H12" s="9"/>
      <c r="I12" s="9"/>
      <c r="J12" s="9" t="s">
        <v>1223</v>
      </c>
      <c r="K12" s="9"/>
      <c r="L12" s="47" t="s">
        <v>350</v>
      </c>
      <c r="M12" s="47" t="s">
        <v>350</v>
      </c>
      <c r="N12" s="219"/>
      <c r="O12" s="61"/>
      <c r="P12" s="9" t="s">
        <v>327</v>
      </c>
      <c r="Q12" s="63">
        <v>79</v>
      </c>
      <c r="R12" s="63">
        <v>80</v>
      </c>
      <c r="S12" s="63">
        <v>10</v>
      </c>
      <c r="T12" s="63">
        <f t="shared" si="1"/>
        <v>91</v>
      </c>
      <c r="U12" s="42">
        <f t="shared" si="2"/>
        <v>2</v>
      </c>
      <c r="AA12" s="61"/>
      <c r="AB12" s="61"/>
      <c r="AC12" s="61"/>
      <c r="AT12"/>
    </row>
    <row r="13" spans="1:46" ht="39" x14ac:dyDescent="0.35">
      <c r="A13" s="7" t="str">
        <f t="shared" si="0"/>
        <v>1571</v>
      </c>
      <c r="B13" s="48" t="s">
        <v>1224</v>
      </c>
      <c r="C13" s="45" t="s">
        <v>318</v>
      </c>
      <c r="D13" s="45">
        <v>1</v>
      </c>
      <c r="E13" s="46" t="str">
        <f>IF(ISNUMBER(SEARCH("CT",B13)),
   "CrossTransferStation[" &amp; (Q$3 + COUNTIF($B$2:B13,"*CT*") - 1) &amp; "]",
   IF( OR(ISNUMBER(SEARCH("TT",B13)), AND(ISNUMBER(SEARCH("C",B13)), NOT(ISNUMBER(SEARCH("CT",B13)))) ),
      "ConveyorStation[" &amp; (Q$2 + COUNTIFS($B$2:B13,"*C*",$B$2:B13,"&lt;&gt;*CT*") + COUNTIF($B$2:B13,"*TT*") - 1) &amp; "]",
      ""))</f>
        <v>CrossTransferStation[156]</v>
      </c>
      <c r="F13" s="9"/>
      <c r="G13" s="9"/>
      <c r="H13" s="9"/>
      <c r="I13" s="9"/>
      <c r="J13" s="9" t="s">
        <v>1225</v>
      </c>
      <c r="K13" s="9"/>
      <c r="L13" s="47" t="s">
        <v>350</v>
      </c>
      <c r="M13" s="47" t="s">
        <v>350</v>
      </c>
      <c r="N13" s="219"/>
      <c r="O13" s="61"/>
      <c r="P13" s="9" t="s">
        <v>328</v>
      </c>
      <c r="Q13" s="63">
        <v>58</v>
      </c>
      <c r="R13" s="63">
        <v>59</v>
      </c>
      <c r="S13" s="63">
        <v>10</v>
      </c>
      <c r="T13" s="63">
        <f t="shared" si="1"/>
        <v>70</v>
      </c>
      <c r="U13" s="42">
        <f t="shared" si="2"/>
        <v>2</v>
      </c>
      <c r="AA13" s="61"/>
      <c r="AB13" s="61"/>
      <c r="AC13" s="61"/>
      <c r="AT13"/>
    </row>
    <row r="14" spans="1:46" ht="39" x14ac:dyDescent="0.35">
      <c r="A14" s="7" t="str">
        <f t="shared" si="0"/>
        <v>1581</v>
      </c>
      <c r="B14" s="48" t="s">
        <v>1226</v>
      </c>
      <c r="C14" s="45" t="s">
        <v>318</v>
      </c>
      <c r="D14" s="45">
        <v>1</v>
      </c>
      <c r="E14" s="46" t="str">
        <f>IF(ISNUMBER(SEARCH("CT",B14)),
   "CrossTransferStation[" &amp; (Q$3 + COUNTIF($B$2:B14,"*CT*") - 1) &amp; "]",
   IF( OR(ISNUMBER(SEARCH("TT",B14)), AND(ISNUMBER(SEARCH("C",B14)), NOT(ISNUMBER(SEARCH("CT",B14)))) ),
      "ConveyorStation[" &amp; (Q$2 + COUNTIFS($B$2:B14,"*C*",$B$2:B14,"&lt;&gt;*CT*") + COUNTIF($B$2:B14,"*TT*") - 1) &amp; "]",
      ""))</f>
        <v>CrossTransferStation[157]</v>
      </c>
      <c r="F14" s="9" t="s">
        <v>1227</v>
      </c>
      <c r="G14" s="9"/>
      <c r="H14" s="9"/>
      <c r="I14" s="9"/>
      <c r="J14" s="9" t="s">
        <v>1228</v>
      </c>
      <c r="K14" s="9" t="s">
        <v>470</v>
      </c>
      <c r="L14" s="47" t="s">
        <v>351</v>
      </c>
      <c r="M14" s="47" t="s">
        <v>351</v>
      </c>
      <c r="N14" s="219"/>
      <c r="O14" s="61"/>
      <c r="P14" s="9" t="s">
        <v>329</v>
      </c>
      <c r="Q14" s="63"/>
      <c r="R14" s="63"/>
      <c r="S14" s="63"/>
      <c r="T14" s="63">
        <f>'EZ6 Prod G floor'!T14</f>
        <v>72</v>
      </c>
      <c r="U14" s="42"/>
      <c r="AA14" s="61"/>
      <c r="AB14" s="61"/>
      <c r="AC14" s="61"/>
      <c r="AT14"/>
    </row>
    <row r="15" spans="1:46" x14ac:dyDescent="0.35">
      <c r="A15" s="7" t="str">
        <f t="shared" si="0"/>
        <v>591</v>
      </c>
      <c r="B15" s="48" t="s">
        <v>1229</v>
      </c>
      <c r="C15" s="45" t="s">
        <v>318</v>
      </c>
      <c r="D15" s="45">
        <v>1</v>
      </c>
      <c r="E15" s="231" t="str">
        <f>IF(ISNUMBER(SEARCH("CT",B15)),
   "CrossTransferStation[" &amp; (Q$3 + COUNTIF($B$2:B15,"*CT*") - 1) &amp; "]",
   IF( OR(ISNUMBER(SEARCH("TT",B15)), AND(ISNUMBER(SEARCH("C",B15)), NOT(ISNUMBER(SEARCH("CT",B15)))) ),
      "ConveyorStation[" &amp; (Q$2 + COUNTIFS($B$2:B15,"*C*",$B$2:B15,"&lt;&gt;*CT*") + COUNTIF($B$2:B15,"*TT*") - 1) &amp; "]",
      ""))</f>
        <v>ConveyorStation[348]</v>
      </c>
      <c r="F15" s="9"/>
      <c r="G15" s="9"/>
      <c r="H15" s="9"/>
      <c r="I15" s="9"/>
      <c r="J15" s="9" t="s">
        <v>1230</v>
      </c>
      <c r="K15" s="9"/>
      <c r="L15" s="47" t="s">
        <v>350</v>
      </c>
      <c r="M15" s="47" t="s">
        <v>350</v>
      </c>
      <c r="N15" s="219"/>
      <c r="O15" s="61"/>
      <c r="P15" s="9" t="s">
        <v>185</v>
      </c>
      <c r="Q15" s="63"/>
      <c r="R15" s="63"/>
      <c r="S15" s="63"/>
      <c r="T15" s="63">
        <f>'EZ6 Prod G floor'!T15</f>
        <v>89</v>
      </c>
      <c r="U15" s="42"/>
      <c r="AA15" s="61"/>
      <c r="AB15" s="61"/>
      <c r="AC15" s="61"/>
      <c r="AT15"/>
    </row>
    <row r="16" spans="1:46" x14ac:dyDescent="0.35">
      <c r="A16" s="7" t="str">
        <f t="shared" si="0"/>
        <v>601</v>
      </c>
      <c r="B16" s="48" t="s">
        <v>1231</v>
      </c>
      <c r="C16" s="45" t="s">
        <v>318</v>
      </c>
      <c r="D16" s="45">
        <v>1</v>
      </c>
      <c r="E16" s="231" t="str">
        <f>IF(ISNUMBER(SEARCH("CT",B16)),
   "CrossTransferStation[" &amp; (Q$3 + COUNTIF($B$2:B16,"*CT*") - 1) &amp; "]",
   IF( OR(ISNUMBER(SEARCH("TT",B16)), AND(ISNUMBER(SEARCH("C",B16)), NOT(ISNUMBER(SEARCH("CT",B16)))) ),
      "ConveyorStation[" &amp; (Q$2 + COUNTIFS($B$2:B16,"*C*",$B$2:B16,"&lt;&gt;*CT*") + COUNTIF($B$2:B16,"*TT*") - 1) &amp; "]",
      ""))</f>
        <v>ConveyorStation[349]</v>
      </c>
      <c r="F16" s="64"/>
      <c r="G16" s="9"/>
      <c r="H16" s="9"/>
      <c r="I16" s="9"/>
      <c r="J16" s="9" t="s">
        <v>1232</v>
      </c>
      <c r="K16" s="9"/>
      <c r="L16" s="47" t="s">
        <v>350</v>
      </c>
      <c r="M16" s="47" t="s">
        <v>350</v>
      </c>
      <c r="N16" s="219"/>
      <c r="O16" s="61"/>
      <c r="P16" s="9" t="s">
        <v>330</v>
      </c>
      <c r="Q16" s="63">
        <v>23</v>
      </c>
      <c r="R16" s="63">
        <v>23</v>
      </c>
      <c r="S16" s="63">
        <v>10</v>
      </c>
      <c r="T16" s="63">
        <f t="shared" ref="T16:T17" si="3">SUM(R16:S16)+1</f>
        <v>34</v>
      </c>
      <c r="U16" s="42">
        <f t="shared" si="2"/>
        <v>1</v>
      </c>
      <c r="AA16" s="61"/>
      <c r="AB16" s="61"/>
      <c r="AC16" s="61"/>
      <c r="AT16"/>
    </row>
    <row r="17" spans="1:46" ht="26" x14ac:dyDescent="0.35">
      <c r="A17" s="7" t="str">
        <f t="shared" si="0"/>
        <v>1601</v>
      </c>
      <c r="B17" s="48" t="s">
        <v>1233</v>
      </c>
      <c r="C17" s="45" t="s">
        <v>318</v>
      </c>
      <c r="D17" s="45">
        <v>1</v>
      </c>
      <c r="E17" s="46" t="str">
        <f>IF(ISNUMBER(SEARCH("CT",B17)),
   "CrossTransferStation[" &amp; (Q$3 + COUNTIF($B$2:B17,"*CT*") - 1) &amp; "]",
   IF( OR(ISNUMBER(SEARCH("TT",B17)), AND(ISNUMBER(SEARCH("C",B17)), NOT(ISNUMBER(SEARCH("CT",B17)))) ),
      "ConveyorStation[" &amp; (Q$2 + COUNTIFS($B$2:B17,"*C*",$B$2:B17,"&lt;&gt;*CT*") + COUNTIF($B$2:B17,"*TT*") - 1) &amp; "]",
      ""))</f>
        <v>CrossTransferStation[158]</v>
      </c>
      <c r="F17" s="9" t="s">
        <v>1234</v>
      </c>
      <c r="G17" s="9"/>
      <c r="H17" s="9"/>
      <c r="I17" s="9"/>
      <c r="J17" s="9" t="s">
        <v>1235</v>
      </c>
      <c r="K17" s="9"/>
      <c r="L17" s="47" t="s">
        <v>351</v>
      </c>
      <c r="M17" s="47" t="s">
        <v>351</v>
      </c>
      <c r="N17" s="219"/>
      <c r="O17" s="61"/>
      <c r="P17" s="9" t="s">
        <v>331</v>
      </c>
      <c r="Q17" s="63">
        <v>70</v>
      </c>
      <c r="R17" s="63">
        <v>71</v>
      </c>
      <c r="S17" s="63">
        <v>10</v>
      </c>
      <c r="T17" s="63">
        <f t="shared" si="3"/>
        <v>82</v>
      </c>
      <c r="U17" s="42">
        <f t="shared" si="2"/>
        <v>2</v>
      </c>
      <c r="AA17" s="61"/>
      <c r="AB17" s="61"/>
      <c r="AC17" s="61"/>
      <c r="AT17"/>
    </row>
    <row r="18" spans="1:46" x14ac:dyDescent="0.35">
      <c r="A18" s="60" t="str">
        <f>IF(ISNUMBER(SEARCH("CT",B18)),"1"&amp;MID(B18,2,FIND("CT",B18)-2)&amp;RIGHT(B18,1),MID(B18,2,FIND("C",B18)-2)&amp;RIGHT(B18,1))</f>
        <v>611</v>
      </c>
      <c r="B18" s="26" t="s">
        <v>1236</v>
      </c>
      <c r="C18" s="45" t="s">
        <v>318</v>
      </c>
      <c r="D18" s="45">
        <v>1</v>
      </c>
      <c r="E18" s="46" t="str">
        <f>IF(ISNUMBER(SEARCH("CT",B18)),
   "CrossTransferStation[" &amp; (Q$3 + COUNTIF($B$2:B18,"*CT*") - 1) &amp; "]",
   IF( OR(ISNUMBER(SEARCH("TT",B18)), AND(ISNUMBER(SEARCH("C",B18)), NOT(ISNUMBER(SEARCH("CT",B18)))) ),
      "ConveyorStation[" &amp; (Q$2 + COUNTIFS($B$2:B18,"*C*",$B$2:B18,"&lt;&gt;*CT*") + COUNTIF($B$2:B18,"*TT*") - 1) &amp; "]",
      ""))</f>
        <v>ConveyorStation[350]</v>
      </c>
      <c r="F18" s="27"/>
      <c r="G18" s="27"/>
      <c r="H18" s="27"/>
      <c r="I18" s="27"/>
      <c r="J18" s="9" t="s">
        <v>1237</v>
      </c>
      <c r="K18" s="27"/>
      <c r="L18" s="47" t="s">
        <v>350</v>
      </c>
      <c r="M18" s="47" t="s">
        <v>350</v>
      </c>
      <c r="N18" s="220"/>
      <c r="O18" s="61"/>
      <c r="P18" s="69" t="s">
        <v>201</v>
      </c>
      <c r="Q18" s="63"/>
      <c r="R18" s="63"/>
      <c r="S18" s="63"/>
      <c r="T18" s="63">
        <f>'EZ6 Prod G floor'!U18</f>
        <v>29</v>
      </c>
      <c r="U18" s="42"/>
      <c r="AA18" s="61"/>
      <c r="AB18" s="61"/>
      <c r="AC18" s="61"/>
      <c r="AT18"/>
    </row>
    <row r="19" spans="1:46" x14ac:dyDescent="0.35">
      <c r="A19" s="7" t="str">
        <f t="shared" ref="A19:A25" si="4">IF(ISNUMBER(SEARCH("CT",B19)),"1"&amp;MID(B19,2,FIND("CT",B19)-2)&amp;RIGHT(B19,1),MID(B19,2,FIND("C",B19)-2)&amp;RIGHT(B19,1))</f>
        <v>612</v>
      </c>
      <c r="B19" s="26" t="s">
        <v>1238</v>
      </c>
      <c r="C19" s="45" t="s">
        <v>318</v>
      </c>
      <c r="D19" s="45">
        <v>1</v>
      </c>
      <c r="E19" s="46" t="str">
        <f>IF(ISNUMBER(SEARCH("CT",B19)),
   "CrossTransferStation[" &amp; (Q$3 + COUNTIF($B$2:B19,"*CT*") - 1) &amp; "]",
   IF( OR(ISNUMBER(SEARCH("TT",B19)), AND(ISNUMBER(SEARCH("C",B19)), NOT(ISNUMBER(SEARCH("CT",B19)))) ),
      "ConveyorStation[" &amp; (Q$2 + COUNTIFS($B$2:B19,"*C*",$B$2:B19,"&lt;&gt;*CT*") + COUNTIF($B$2:B19,"*TT*") - 1) &amp; "]",
      ""))</f>
        <v>ConveyorStation[351]</v>
      </c>
      <c r="F19" s="9"/>
      <c r="G19" s="9"/>
      <c r="H19" s="9"/>
      <c r="I19" s="9"/>
      <c r="J19" s="9" t="s">
        <v>1239</v>
      </c>
      <c r="K19" s="9"/>
      <c r="L19" s="47" t="s">
        <v>350</v>
      </c>
      <c r="M19" s="47" t="s">
        <v>350</v>
      </c>
      <c r="N19" s="219"/>
      <c r="O19" s="61"/>
      <c r="P19" s="69" t="s">
        <v>332</v>
      </c>
      <c r="Q19" s="63"/>
      <c r="R19" s="63"/>
      <c r="S19" s="63"/>
      <c r="T19" s="63">
        <f>'EZ6 Prod G floor'!U19</f>
        <v>13</v>
      </c>
      <c r="U19" s="42"/>
      <c r="AA19" s="61"/>
      <c r="AB19" s="61"/>
      <c r="AC19" s="61"/>
      <c r="AT19"/>
    </row>
    <row r="20" spans="1:46" x14ac:dyDescent="0.35">
      <c r="A20" s="7" t="str">
        <f t="shared" si="4"/>
        <v>613</v>
      </c>
      <c r="B20" s="26" t="s">
        <v>1240</v>
      </c>
      <c r="C20" s="45" t="s">
        <v>318</v>
      </c>
      <c r="D20" s="45">
        <v>1</v>
      </c>
      <c r="E20" s="46" t="str">
        <f>IF(ISNUMBER(SEARCH("CT",B20)),
   "CrossTransferStation[" &amp; (Q$3 + COUNTIF($B$2:B20,"*CT*") - 1) &amp; "]",
   IF( OR(ISNUMBER(SEARCH("TT",B20)), AND(ISNUMBER(SEARCH("C",B20)), NOT(ISNUMBER(SEARCH("CT",B20)))) ),
      "ConveyorStation[" &amp; (Q$2 + COUNTIFS($B$2:B20,"*C*",$B$2:B20,"&lt;&gt;*CT*") + COUNTIF($B$2:B20,"*TT*") - 1) &amp; "]",
      ""))</f>
        <v>ConveyorStation[352]</v>
      </c>
      <c r="F20" s="9"/>
      <c r="G20" s="9"/>
      <c r="H20" s="9"/>
      <c r="I20" s="9"/>
      <c r="J20" s="9" t="s">
        <v>1241</v>
      </c>
      <c r="K20" s="9"/>
      <c r="L20" s="47" t="s">
        <v>350</v>
      </c>
      <c r="M20" s="47" t="s">
        <v>350</v>
      </c>
      <c r="N20" s="219"/>
      <c r="O20" s="61"/>
      <c r="Y20" s="6"/>
      <c r="AT20"/>
    </row>
    <row r="21" spans="1:46" x14ac:dyDescent="0.35">
      <c r="A21" s="7" t="str">
        <f t="shared" si="4"/>
        <v>614</v>
      </c>
      <c r="B21" s="26" t="s">
        <v>1242</v>
      </c>
      <c r="C21" s="45" t="s">
        <v>318</v>
      </c>
      <c r="D21" s="45">
        <v>1</v>
      </c>
      <c r="E21" s="46" t="str">
        <f>IF(ISNUMBER(SEARCH("CT",B21)),
   "CrossTransferStation[" &amp; (Q$3 + COUNTIF($B$2:B21,"*CT*") - 1) &amp; "]",
   IF( OR(ISNUMBER(SEARCH("TT",B21)), AND(ISNUMBER(SEARCH("C",B21)), NOT(ISNUMBER(SEARCH("CT",B21)))) ),
      "ConveyorStation[" &amp; (Q$2 + COUNTIFS($B$2:B21,"*C*",$B$2:B21,"&lt;&gt;*CT*") + COUNTIF($B$2:B21,"*TT*") - 1) &amp; "]",
      ""))</f>
        <v>ConveyorStation[353]</v>
      </c>
      <c r="F21" s="9"/>
      <c r="G21" s="9"/>
      <c r="H21" s="9"/>
      <c r="I21" s="9"/>
      <c r="J21" s="9" t="s">
        <v>1243</v>
      </c>
      <c r="K21" s="9"/>
      <c r="L21" s="47" t="s">
        <v>350</v>
      </c>
      <c r="M21" s="47" t="s">
        <v>350</v>
      </c>
      <c r="N21" s="219"/>
      <c r="O21" s="61"/>
      <c r="Y21" s="6"/>
      <c r="AT21"/>
    </row>
    <row r="22" spans="1:46" x14ac:dyDescent="0.35">
      <c r="A22" s="7" t="str">
        <f t="shared" si="4"/>
        <v>615</v>
      </c>
      <c r="B22" s="26" t="s">
        <v>1244</v>
      </c>
      <c r="C22" s="45" t="s">
        <v>318</v>
      </c>
      <c r="D22" s="45">
        <v>1</v>
      </c>
      <c r="E22" s="46" t="str">
        <f>IF(ISNUMBER(SEARCH("CT",B22)),
   "CrossTransferStation[" &amp; (Q$3 + COUNTIF($B$2:B22,"*CT*") - 1) &amp; "]",
   IF( OR(ISNUMBER(SEARCH("TT",B22)), AND(ISNUMBER(SEARCH("C",B22)), NOT(ISNUMBER(SEARCH("CT",B22)))) ),
      "ConveyorStation[" &amp; (Q$2 + COUNTIFS($B$2:B22,"*C*",$B$2:B22,"&lt;&gt;*CT*") + COUNTIF($B$2:B22,"*TT*") - 1) &amp; "]",
      ""))</f>
        <v>ConveyorStation[354]</v>
      </c>
      <c r="F22" s="9"/>
      <c r="G22" s="9"/>
      <c r="H22" s="9"/>
      <c r="I22" s="9"/>
      <c r="J22" s="9" t="s">
        <v>1245</v>
      </c>
      <c r="K22" s="9"/>
      <c r="L22" s="47" t="s">
        <v>350</v>
      </c>
      <c r="M22" s="47" t="s">
        <v>350</v>
      </c>
      <c r="N22" s="219"/>
      <c r="O22" s="61"/>
      <c r="Y22" s="6"/>
      <c r="AT22"/>
    </row>
    <row r="23" spans="1:46" x14ac:dyDescent="0.35">
      <c r="A23" s="7" t="str">
        <f t="shared" si="4"/>
        <v>616</v>
      </c>
      <c r="B23" s="26" t="s">
        <v>1246</v>
      </c>
      <c r="C23" s="45" t="s">
        <v>318</v>
      </c>
      <c r="D23" s="45">
        <v>1</v>
      </c>
      <c r="E23" s="46" t="str">
        <f>IF(ISNUMBER(SEARCH("CT",B23)),
   "CrossTransferStation[" &amp; (Q$3 + COUNTIF($B$2:B23,"*CT*") - 1) &amp; "]",
   IF( OR(ISNUMBER(SEARCH("TT",B23)), AND(ISNUMBER(SEARCH("C",B23)), NOT(ISNUMBER(SEARCH("CT",B23)))) ),
      "ConveyorStation[" &amp; (Q$2 + COUNTIFS($B$2:B23,"*C*",$B$2:B23,"&lt;&gt;*CT*") + COUNTIF($B$2:B23,"*TT*") - 1) &amp; "]",
      ""))</f>
        <v>ConveyorStation[355]</v>
      </c>
      <c r="F23" s="9"/>
      <c r="G23" s="9"/>
      <c r="H23" s="9"/>
      <c r="I23" s="9"/>
      <c r="J23" s="9" t="s">
        <v>1247</v>
      </c>
      <c r="K23" s="9"/>
      <c r="L23" s="47" t="s">
        <v>350</v>
      </c>
      <c r="M23" s="47" t="s">
        <v>350</v>
      </c>
      <c r="N23" s="219"/>
      <c r="O23" s="61"/>
      <c r="Y23" s="6"/>
      <c r="AT23"/>
    </row>
    <row r="24" spans="1:46" ht="52" x14ac:dyDescent="0.35">
      <c r="A24" s="7" t="str">
        <f t="shared" si="4"/>
        <v>617</v>
      </c>
      <c r="B24" s="26" t="s">
        <v>1248</v>
      </c>
      <c r="C24" s="45" t="s">
        <v>318</v>
      </c>
      <c r="D24" s="45">
        <v>1</v>
      </c>
      <c r="E24" s="46" t="str">
        <f>IF(ISNUMBER(SEARCH("CT",B24)),
   "CrossTransferStation[" &amp; (Q$3 + COUNTIF($B$2:B24,"*CT*") - 1) &amp; "]",
   IF( OR(ISNUMBER(SEARCH("TT",B24)), AND(ISNUMBER(SEARCH("C",B24)), NOT(ISNUMBER(SEARCH("CT",B24)))) ),
      "ConveyorStation[" &amp; (Q$2 + COUNTIFS($B$2:B24,"*C*",$B$2:B24,"&lt;&gt;*CT*") + COUNTIF($B$2:B24,"*TT*") - 1) &amp; "]",
      ""))</f>
        <v>ConveyorStation[356]</v>
      </c>
      <c r="F24" s="227" t="s">
        <v>1249</v>
      </c>
      <c r="G24" s="225" t="s">
        <v>1293</v>
      </c>
      <c r="H24" s="9"/>
      <c r="I24" s="9"/>
      <c r="J24" s="9" t="s">
        <v>1250</v>
      </c>
      <c r="K24" s="9"/>
      <c r="L24" s="228" t="s">
        <v>350</v>
      </c>
      <c r="M24" s="228" t="s">
        <v>350</v>
      </c>
      <c r="N24" s="152" t="s">
        <v>1802</v>
      </c>
      <c r="O24" s="61"/>
      <c r="Y24" s="6"/>
      <c r="AT24"/>
    </row>
    <row r="25" spans="1:46" ht="39" x14ac:dyDescent="0.35">
      <c r="A25" s="7" t="str">
        <f t="shared" si="4"/>
        <v>618</v>
      </c>
      <c r="B25" s="26" t="s">
        <v>1251</v>
      </c>
      <c r="C25" s="45" t="s">
        <v>318</v>
      </c>
      <c r="D25" s="45">
        <v>1</v>
      </c>
      <c r="E25" s="46" t="str">
        <f>IF(ISNUMBER(SEARCH("CT",B25)),
   "CrossTransferStation[" &amp; (Q$3 + COUNTIF($B$2:B25,"*CT*") - 1) &amp; "]",
   IF( OR(ISNUMBER(SEARCH("TT",B25)), AND(ISNUMBER(SEARCH("C",B25)), NOT(ISNUMBER(SEARCH("CT",B25)))) ),
      "ConveyorStation[" &amp; (Q$2 + COUNTIFS($B$2:B25,"*C*",$B$2:B25,"&lt;&gt;*CT*") + COUNTIF($B$2:B25,"*TT*") - 1) &amp; "]",
      ""))</f>
        <v>ConveyorStation[357]</v>
      </c>
      <c r="F25" s="227" t="s">
        <v>1252</v>
      </c>
      <c r="G25" s="9"/>
      <c r="H25" s="9"/>
      <c r="I25" s="9"/>
      <c r="J25" s="9" t="s">
        <v>1253</v>
      </c>
      <c r="K25" s="9" t="s">
        <v>470</v>
      </c>
      <c r="L25" s="228" t="s">
        <v>350</v>
      </c>
      <c r="M25" s="228" t="s">
        <v>350</v>
      </c>
      <c r="N25" s="219"/>
      <c r="O25" s="61"/>
      <c r="Y25" s="6"/>
      <c r="AN25"/>
      <c r="AT25"/>
    </row>
    <row r="26" spans="1:46" x14ac:dyDescent="0.35">
      <c r="A26" s="7" t="str">
        <f>IF(ISNUMBER(SEARCH("CT",B26)),"1"&amp;MID(B26,2,FIND("CT",B26)-2)&amp;RIGHT(B26,1),MID(B26,2,FIND("C",B26)-2)&amp;RIGHT(B26,1))</f>
        <v>619</v>
      </c>
      <c r="B26" s="26" t="s">
        <v>1254</v>
      </c>
      <c r="C26" s="45" t="s">
        <v>318</v>
      </c>
      <c r="D26" s="45">
        <v>1</v>
      </c>
      <c r="E26" s="46" t="str">
        <f>IF(ISNUMBER(SEARCH("CT",B26)),
   "CrossTransferStation[" &amp; (Q$3 + COUNTIF($B$2:B26,"*CT*") - 1) &amp; "]",
   IF( OR(ISNUMBER(SEARCH("TT",B26)), AND(ISNUMBER(SEARCH("C",B26)), NOT(ISNUMBER(SEARCH("CT",B26)))) ),
      "ConveyorStation[" &amp; (Q$2 + COUNTIFS($B$2:B26,"*C*",$B$2:B26,"&lt;&gt;*CT*") + COUNTIF($B$2:B26,"*TT*") - 1) &amp; "]",
      ""))</f>
        <v>ConveyorStation[358]</v>
      </c>
      <c r="F26" s="227" t="s">
        <v>1255</v>
      </c>
      <c r="G26" s="9"/>
      <c r="H26" s="9"/>
      <c r="I26" s="9"/>
      <c r="J26" s="9" t="s">
        <v>1256</v>
      </c>
      <c r="K26" s="9"/>
      <c r="L26" s="228" t="s">
        <v>350</v>
      </c>
      <c r="M26" s="228" t="s">
        <v>350</v>
      </c>
      <c r="N26" s="219"/>
      <c r="O26" s="61"/>
      <c r="Y26" s="6"/>
      <c r="AN26"/>
      <c r="AT26"/>
    </row>
    <row r="27" spans="1:46" ht="26" x14ac:dyDescent="0.35">
      <c r="A27" s="7" t="str">
        <f>IF(ISNUMBER(SEARCH("CT",B27)),"1"&amp;MID(B27,2,FIND("CT",B27)-2)&amp;RIGHT(B27,1),MID(B27,2,FIND("C",B27)-2)&amp;RIGHT(B27,1))</f>
        <v>1611</v>
      </c>
      <c r="B27" s="8" t="s">
        <v>1257</v>
      </c>
      <c r="C27" s="45" t="s">
        <v>318</v>
      </c>
      <c r="D27" s="45">
        <v>1</v>
      </c>
      <c r="E27" s="46" t="str">
        <f>IF(ISNUMBER(SEARCH("CT",B27)),
   "CrossTransferStation[" &amp; (Q$3 + COUNTIF($B$2:B27,"*CT*") - 1) &amp; "]",
   IF( OR(ISNUMBER(SEARCH("TT",B27)), AND(ISNUMBER(SEARCH("C",B27)), NOT(ISNUMBER(SEARCH("CT",B27)))) ),
      "ConveyorStation[" &amp; (Q$2 + COUNTIFS($B$2:B27,"*C*",$B$2:B27,"&lt;&gt;*CT*") + COUNTIF($B$2:B27,"*TT*") - 1) &amp; "]",
      ""))</f>
        <v>CrossTransferStation[159]</v>
      </c>
      <c r="F27" s="9" t="s">
        <v>1258</v>
      </c>
      <c r="G27" s="9"/>
      <c r="H27" s="9"/>
      <c r="I27" s="9"/>
      <c r="J27" s="9" t="s">
        <v>1259</v>
      </c>
      <c r="K27" s="9"/>
      <c r="L27" s="10" t="s">
        <v>351</v>
      </c>
      <c r="M27" s="10" t="s">
        <v>351</v>
      </c>
      <c r="N27" s="219"/>
      <c r="O27" s="61"/>
      <c r="Y27" s="6"/>
      <c r="AN27"/>
      <c r="AT27"/>
    </row>
    <row r="28" spans="1:46" ht="52" x14ac:dyDescent="0.35">
      <c r="A28" s="60" t="str">
        <f>IF(ISNUMBER(SEARCH("CT",B28)),"1"&amp;MID(B28,2,FIND("CT",B28)-2)&amp;RIGHT(B28,1),MID(B28,2,FIND("C",B28)-2)&amp;RIGHT(B28,1))</f>
        <v>621</v>
      </c>
      <c r="B28" s="26" t="s">
        <v>1260</v>
      </c>
      <c r="C28" s="45" t="s">
        <v>318</v>
      </c>
      <c r="D28" s="45">
        <v>1</v>
      </c>
      <c r="E28" s="46" t="str">
        <f>IF(ISNUMBER(SEARCH("CT",B28)),
   "CrossTransferStation[" &amp; (Q$3 + COUNTIF($B$2:B28,"*CT*") - 1) &amp; "]",
   IF( OR(ISNUMBER(SEARCH("TT",B28)), AND(ISNUMBER(SEARCH("C",B28)), NOT(ISNUMBER(SEARCH("CT",B28)))) ),
      "ConveyorStation[" &amp; (Q$2 + COUNTIFS($B$2:B28,"*C*",$B$2:B28,"&lt;&gt;*CT*") + COUNTIF($B$2:B28,"*TT*") - 1) &amp; "]",
      ""))</f>
        <v>ConveyorStation[359]</v>
      </c>
      <c r="F28" s="227" t="s">
        <v>1261</v>
      </c>
      <c r="G28" s="226" t="s">
        <v>1341</v>
      </c>
      <c r="H28" s="27"/>
      <c r="I28" s="27"/>
      <c r="J28" s="9" t="s">
        <v>1262</v>
      </c>
      <c r="K28" s="27"/>
      <c r="L28" s="228" t="s">
        <v>350</v>
      </c>
      <c r="M28" s="228" t="s">
        <v>350</v>
      </c>
      <c r="N28" s="152" t="s">
        <v>1801</v>
      </c>
      <c r="O28" s="61"/>
      <c r="Y28" s="6"/>
      <c r="AN28"/>
      <c r="AT28"/>
    </row>
    <row r="29" spans="1:46" x14ac:dyDescent="0.35">
      <c r="A29" s="7" t="str">
        <f t="shared" ref="A29:A35" si="5">IF(ISNUMBER(SEARCH("CT",B29)),"1"&amp;MID(B29,2,FIND("CT",B29)-2)&amp;RIGHT(B29,1),MID(B29,2,FIND("C",B29)-2)&amp;RIGHT(B29,1))</f>
        <v>622</v>
      </c>
      <c r="B29" s="26" t="s">
        <v>1263</v>
      </c>
      <c r="C29" s="45" t="s">
        <v>318</v>
      </c>
      <c r="D29" s="45">
        <v>1</v>
      </c>
      <c r="E29" s="46" t="str">
        <f>IF(ISNUMBER(SEARCH("CT",B29)),
   "CrossTransferStation[" &amp; (Q$3 + COUNTIF($B$2:B29,"*CT*") - 1) &amp; "]",
   IF( OR(ISNUMBER(SEARCH("TT",B29)), AND(ISNUMBER(SEARCH("C",B29)), NOT(ISNUMBER(SEARCH("CT",B29)))) ),
      "ConveyorStation[" &amp; (Q$2 + COUNTIFS($B$2:B29,"*C*",$B$2:B29,"&lt;&gt;*CT*") + COUNTIF($B$2:B29,"*TT*") - 1) &amp; "]",
      ""))</f>
        <v>ConveyorStation[360]</v>
      </c>
      <c r="F29" s="227" t="s">
        <v>1264</v>
      </c>
      <c r="G29" s="9"/>
      <c r="H29" s="9"/>
      <c r="I29" s="9"/>
      <c r="J29" s="9" t="s">
        <v>1265</v>
      </c>
      <c r="K29" s="9"/>
      <c r="L29" s="228" t="s">
        <v>350</v>
      </c>
      <c r="M29" s="228" t="s">
        <v>350</v>
      </c>
      <c r="N29" s="219"/>
      <c r="O29" s="61"/>
      <c r="Y29" s="6"/>
      <c r="AN29"/>
      <c r="AT29"/>
    </row>
    <row r="30" spans="1:46" x14ac:dyDescent="0.35">
      <c r="A30" s="7" t="str">
        <f t="shared" si="5"/>
        <v>623</v>
      </c>
      <c r="B30" s="26" t="s">
        <v>1266</v>
      </c>
      <c r="C30" s="45" t="s">
        <v>318</v>
      </c>
      <c r="D30" s="45">
        <v>1</v>
      </c>
      <c r="E30" s="46" t="str">
        <f>IF(ISNUMBER(SEARCH("CT",B30)),
   "CrossTransferStation[" &amp; (Q$3 + COUNTIF($B$2:B30,"*CT*") - 1) &amp; "]",
   IF( OR(ISNUMBER(SEARCH("TT",B30)), AND(ISNUMBER(SEARCH("C",B30)), NOT(ISNUMBER(SEARCH("CT",B30)))) ),
      "ConveyorStation[" &amp; (Q$2 + COUNTIFS($B$2:B30,"*C*",$B$2:B30,"&lt;&gt;*CT*") + COUNTIF($B$2:B30,"*TT*") - 1) &amp; "]",
      ""))</f>
        <v>ConveyorStation[361]</v>
      </c>
      <c r="F30" s="9"/>
      <c r="G30" s="9"/>
      <c r="H30" s="9"/>
      <c r="I30" s="9"/>
      <c r="J30" s="9" t="s">
        <v>1267</v>
      </c>
      <c r="K30" s="9"/>
      <c r="L30" s="10" t="s">
        <v>350</v>
      </c>
      <c r="M30" s="10" t="s">
        <v>350</v>
      </c>
      <c r="N30" s="219"/>
      <c r="O30" s="61"/>
      <c r="Y30" s="6"/>
      <c r="AN30"/>
      <c r="AT30"/>
    </row>
    <row r="31" spans="1:46" x14ac:dyDescent="0.35">
      <c r="A31" s="7" t="str">
        <f t="shared" si="5"/>
        <v>624</v>
      </c>
      <c r="B31" s="26" t="s">
        <v>1268</v>
      </c>
      <c r="C31" s="45" t="s">
        <v>318</v>
      </c>
      <c r="D31" s="45">
        <v>1</v>
      </c>
      <c r="E31" s="46" t="str">
        <f>IF(ISNUMBER(SEARCH("CT",B31)),
   "CrossTransferStation[" &amp; (Q$3 + COUNTIF($B$2:B31,"*CT*") - 1) &amp; "]",
   IF( OR(ISNUMBER(SEARCH("TT",B31)), AND(ISNUMBER(SEARCH("C",B31)), NOT(ISNUMBER(SEARCH("CT",B31)))) ),
      "ConveyorStation[" &amp; (Q$2 + COUNTIFS($B$2:B31,"*C*",$B$2:B31,"&lt;&gt;*CT*") + COUNTIF($B$2:B31,"*TT*") - 1) &amp; "]",
      ""))</f>
        <v>ConveyorStation[362]</v>
      </c>
      <c r="F31" s="9"/>
      <c r="G31" s="9"/>
      <c r="H31" s="9"/>
      <c r="I31" s="9"/>
      <c r="J31" s="9" t="s">
        <v>1269</v>
      </c>
      <c r="K31" s="9"/>
      <c r="L31" s="10" t="s">
        <v>350</v>
      </c>
      <c r="M31" s="10" t="s">
        <v>350</v>
      </c>
      <c r="N31" s="219"/>
      <c r="O31" s="61"/>
      <c r="Y31" s="6"/>
      <c r="AN31"/>
      <c r="AT31"/>
    </row>
    <row r="32" spans="1:46" x14ac:dyDescent="0.35">
      <c r="A32" s="7" t="str">
        <f t="shared" si="5"/>
        <v>625</v>
      </c>
      <c r="B32" s="26" t="s">
        <v>1270</v>
      </c>
      <c r="C32" s="45" t="s">
        <v>318</v>
      </c>
      <c r="D32" s="45">
        <v>1</v>
      </c>
      <c r="E32" s="46" t="str">
        <f>IF(ISNUMBER(SEARCH("CT",B32)),
   "CrossTransferStation[" &amp; (Q$3 + COUNTIF($B$2:B32,"*CT*") - 1) &amp; "]",
   IF( OR(ISNUMBER(SEARCH("TT",B32)), AND(ISNUMBER(SEARCH("C",B32)), NOT(ISNUMBER(SEARCH("CT",B32)))) ),
      "ConveyorStation[" &amp; (Q$2 + COUNTIFS($B$2:B32,"*C*",$B$2:B32,"&lt;&gt;*CT*") + COUNTIF($B$2:B32,"*TT*") - 1) &amp; "]",
      ""))</f>
        <v>ConveyorStation[363]</v>
      </c>
      <c r="F32" s="9"/>
      <c r="G32" s="9"/>
      <c r="H32" s="9"/>
      <c r="I32" s="9"/>
      <c r="J32" s="9" t="s">
        <v>1271</v>
      </c>
      <c r="K32" s="9"/>
      <c r="L32" s="10" t="s">
        <v>350</v>
      </c>
      <c r="M32" s="10" t="s">
        <v>350</v>
      </c>
      <c r="N32" s="219"/>
      <c r="O32" s="61"/>
      <c r="Y32" s="6"/>
      <c r="AN32"/>
      <c r="AT32"/>
    </row>
    <row r="33" spans="1:55" x14ac:dyDescent="0.35">
      <c r="A33" s="7" t="str">
        <f t="shared" si="5"/>
        <v>626</v>
      </c>
      <c r="B33" s="26" t="s">
        <v>1272</v>
      </c>
      <c r="C33" s="45" t="s">
        <v>318</v>
      </c>
      <c r="D33" s="45">
        <v>1</v>
      </c>
      <c r="E33" s="46" t="str">
        <f>IF(ISNUMBER(SEARCH("CT",B33)),
   "CrossTransferStation[" &amp; (Q$3 + COUNTIF($B$2:B33,"*CT*") - 1) &amp; "]",
   IF( OR(ISNUMBER(SEARCH("TT",B33)), AND(ISNUMBER(SEARCH("C",B33)), NOT(ISNUMBER(SEARCH("CT",B33)))) ),
      "ConveyorStation[" &amp; (Q$2 + COUNTIFS($B$2:B33,"*C*",$B$2:B33,"&lt;&gt;*CT*") + COUNTIF($B$2:B33,"*TT*") - 1) &amp; "]",
      ""))</f>
        <v>ConveyorStation[364]</v>
      </c>
      <c r="F33" s="9"/>
      <c r="G33" s="9"/>
      <c r="H33" s="9"/>
      <c r="I33" s="9"/>
      <c r="J33" s="9" t="s">
        <v>1273</v>
      </c>
      <c r="K33" s="9"/>
      <c r="L33" s="10" t="s">
        <v>350</v>
      </c>
      <c r="M33" s="10" t="s">
        <v>350</v>
      </c>
      <c r="N33" s="219"/>
      <c r="O33" s="61"/>
      <c r="Y33" s="6"/>
      <c r="AN33"/>
      <c r="AT33"/>
    </row>
    <row r="34" spans="1:55" x14ac:dyDescent="0.35">
      <c r="A34" s="7" t="str">
        <f t="shared" si="5"/>
        <v>627</v>
      </c>
      <c r="B34" s="26" t="s">
        <v>1274</v>
      </c>
      <c r="C34" s="45" t="s">
        <v>318</v>
      </c>
      <c r="D34" s="45">
        <v>1</v>
      </c>
      <c r="E34" s="46" t="str">
        <f>IF(ISNUMBER(SEARCH("CT",B34)),
   "CrossTransferStation[" &amp; (Q$3 + COUNTIF($B$2:B34,"*CT*") - 1) &amp; "]",
   IF( OR(ISNUMBER(SEARCH("TT",B34)), AND(ISNUMBER(SEARCH("C",B34)), NOT(ISNUMBER(SEARCH("CT",B34)))) ),
      "ConveyorStation[" &amp; (Q$2 + COUNTIFS($B$2:B34,"*C*",$B$2:B34,"&lt;&gt;*CT*") + COUNTIF($B$2:B34,"*TT*") - 1) &amp; "]",
      ""))</f>
        <v>ConveyorStation[365]</v>
      </c>
      <c r="F34" s="9"/>
      <c r="G34" s="9"/>
      <c r="H34" s="9"/>
      <c r="I34" s="9"/>
      <c r="J34" s="9" t="s">
        <v>1275</v>
      </c>
      <c r="K34" s="9"/>
      <c r="L34" s="10" t="s">
        <v>350</v>
      </c>
      <c r="M34" s="10" t="s">
        <v>350</v>
      </c>
      <c r="N34" s="219"/>
      <c r="O34" s="61"/>
      <c r="Y34" s="6"/>
      <c r="AN34"/>
      <c r="AT34"/>
    </row>
    <row r="35" spans="1:55" x14ac:dyDescent="0.35">
      <c r="A35" s="7" t="str">
        <f t="shared" si="5"/>
        <v>628</v>
      </c>
      <c r="B35" s="26" t="s">
        <v>1276</v>
      </c>
      <c r="C35" s="45" t="s">
        <v>318</v>
      </c>
      <c r="D35" s="45">
        <v>1</v>
      </c>
      <c r="E35" s="46" t="str">
        <f>IF(ISNUMBER(SEARCH("CT",B35)),
   "CrossTransferStation[" &amp; (Q$3 + COUNTIF($B$2:B35,"*CT*") - 1) &amp; "]",
   IF( OR(ISNUMBER(SEARCH("TT",B35)), AND(ISNUMBER(SEARCH("C",B35)), NOT(ISNUMBER(SEARCH("CT",B35)))) ),
      "ConveyorStation[" &amp; (Q$2 + COUNTIFS($B$2:B35,"*C*",$B$2:B35,"&lt;&gt;*CT*") + COUNTIF($B$2:B35,"*TT*") - 1) &amp; "]",
      ""))</f>
        <v>ConveyorStation[366]</v>
      </c>
      <c r="F35" s="9"/>
      <c r="G35" s="9"/>
      <c r="H35" s="9"/>
      <c r="I35" s="9"/>
      <c r="J35" s="9" t="s">
        <v>1277</v>
      </c>
      <c r="K35" s="9"/>
      <c r="L35" s="10" t="s">
        <v>350</v>
      </c>
      <c r="M35" s="10" t="s">
        <v>350</v>
      </c>
      <c r="N35" s="219"/>
      <c r="O35" s="61"/>
      <c r="Y35" s="6"/>
      <c r="AN35"/>
      <c r="AT35"/>
    </row>
    <row r="36" spans="1:55" ht="26" x14ac:dyDescent="0.35">
      <c r="A36" s="7" t="str">
        <f>IF(ISNUMBER(SEARCH("CT",B36)),"1"&amp;MID(B36,2,FIND("CT",B36)-2)&amp;RIGHT(B36,1),MID(B36,2,FIND("C",B36)-2)&amp;RIGHT(B36,1))</f>
        <v>1621</v>
      </c>
      <c r="B36" s="8" t="s">
        <v>1278</v>
      </c>
      <c r="C36" s="45" t="s">
        <v>318</v>
      </c>
      <c r="D36" s="45">
        <v>1</v>
      </c>
      <c r="E36" s="46" t="str">
        <f>IF(ISNUMBER(SEARCH("CT",B36)),
   "CrossTransferStation[" &amp; (Q$3 + COUNTIF($B$2:B36,"*CT*") - 1) &amp; "]",
   IF( OR(ISNUMBER(SEARCH("TT",B36)), AND(ISNUMBER(SEARCH("C",B36)), NOT(ISNUMBER(SEARCH("CT",B36)))) ),
      "ConveyorStation[" &amp; (Q$2 + COUNTIFS($B$2:B36,"*C*",$B$2:B36,"&lt;&gt;*CT*") + COUNTIF($B$2:B36,"*TT*") - 1) &amp; "]",
      ""))</f>
        <v>CrossTransferStation[160]</v>
      </c>
      <c r="F36" s="9" t="s">
        <v>1279</v>
      </c>
      <c r="G36" s="9"/>
      <c r="H36" s="9"/>
      <c r="I36" s="9"/>
      <c r="J36" s="9" t="s">
        <v>1280</v>
      </c>
      <c r="K36" s="9"/>
      <c r="L36" s="10" t="s">
        <v>351</v>
      </c>
      <c r="M36" s="10" t="s">
        <v>351</v>
      </c>
      <c r="N36" s="219"/>
      <c r="O36" s="61"/>
      <c r="Y36" s="6"/>
      <c r="AN36"/>
      <c r="AP36"/>
      <c r="AT36"/>
    </row>
    <row r="37" spans="1:55" x14ac:dyDescent="0.35">
      <c r="A37" s="60" t="str">
        <f>IF(ISNUMBER(SEARCH("CT",B37)),"1"&amp;MID(B37,2,FIND("CT",B37)-2)&amp;RIGHT(B37,1),MID(B37,2,FIND("C",B37)-2)&amp;RIGHT(B37,1))</f>
        <v>631</v>
      </c>
      <c r="B37" s="26" t="s">
        <v>1281</v>
      </c>
      <c r="C37" s="45" t="s">
        <v>318</v>
      </c>
      <c r="D37" s="45">
        <v>1</v>
      </c>
      <c r="E37" s="46" t="str">
        <f>IF(ISNUMBER(SEARCH("CT",B37)),
   "CrossTransferStation[" &amp; (Q$3 + COUNTIF($B$2:B37,"*CT*") - 1) &amp; "]",
   IF( OR(ISNUMBER(SEARCH("TT",B37)), AND(ISNUMBER(SEARCH("C",B37)), NOT(ISNUMBER(SEARCH("CT",B37)))) ),
      "ConveyorStation[" &amp; (Q$2 + COUNTIFS($B$2:B37,"*C*",$B$2:B37,"&lt;&gt;*CT*") + COUNTIF($B$2:B37,"*TT*") - 1) &amp; "]",
      ""))</f>
        <v>ConveyorStation[367]</v>
      </c>
      <c r="F37" s="27"/>
      <c r="G37" s="27"/>
      <c r="H37" s="27"/>
      <c r="I37" s="27"/>
      <c r="J37" s="9" t="s">
        <v>1282</v>
      </c>
      <c r="K37" s="27"/>
      <c r="L37" s="10" t="s">
        <v>350</v>
      </c>
      <c r="M37" s="10" t="s">
        <v>350</v>
      </c>
      <c r="N37" s="220"/>
      <c r="O37" s="61"/>
      <c r="Y37" s="6"/>
      <c r="AN37"/>
      <c r="AT37"/>
    </row>
    <row r="38" spans="1:55" ht="26" x14ac:dyDescent="0.35">
      <c r="A38" s="7" t="str">
        <f t="shared" ref="A38:A41" si="6">IF(ISNUMBER(SEARCH("CT",B38)),"1"&amp;MID(B38,2,FIND("CT",B38)-2)&amp;RIGHT(B38,1),MID(B38,2,FIND("C",B38)-2)&amp;RIGHT(B38,1))</f>
        <v>632</v>
      </c>
      <c r="B38" s="26" t="s">
        <v>1283</v>
      </c>
      <c r="C38" s="45" t="s">
        <v>318</v>
      </c>
      <c r="D38" s="45">
        <v>1</v>
      </c>
      <c r="E38" s="46" t="str">
        <f>IF(ISNUMBER(SEARCH("CT",B38)),
   "CrossTransferStation[" &amp; (Q$3 + COUNTIF($B$2:B38,"*CT*") - 1) &amp; "]",
   IF( OR(ISNUMBER(SEARCH("TT",B38)), AND(ISNUMBER(SEARCH("C",B38)), NOT(ISNUMBER(SEARCH("CT",B38)))) ),
      "ConveyorStation[" &amp; (Q$2 + COUNTIFS($B$2:B38,"*C*",$B$2:B38,"&lt;&gt;*CT*") + COUNTIF($B$2:B38,"*TT*") - 1) &amp; "]",
      ""))</f>
        <v>ConveyorStation[368]</v>
      </c>
      <c r="F38" s="9"/>
      <c r="G38" s="9"/>
      <c r="H38" s="9"/>
      <c r="I38" s="9"/>
      <c r="J38" s="9" t="s">
        <v>1284</v>
      </c>
      <c r="K38" s="9"/>
      <c r="L38" s="10" t="s">
        <v>350</v>
      </c>
      <c r="M38" s="10" t="s">
        <v>350</v>
      </c>
      <c r="N38" s="219"/>
      <c r="O38" s="61"/>
      <c r="Y38" s="6"/>
      <c r="AN38"/>
      <c r="AT38"/>
      <c r="BA38" s="237"/>
      <c r="BB38" s="237"/>
      <c r="BC38" s="237"/>
    </row>
    <row r="39" spans="1:55" x14ac:dyDescent="0.35">
      <c r="A39" s="7" t="str">
        <f t="shared" si="6"/>
        <v>633</v>
      </c>
      <c r="B39" s="26" t="s">
        <v>1285</v>
      </c>
      <c r="C39" s="45" t="s">
        <v>318</v>
      </c>
      <c r="D39" s="45">
        <v>1</v>
      </c>
      <c r="E39" s="46" t="str">
        <f>IF(ISNUMBER(SEARCH("CT",B39)),
   "CrossTransferStation[" &amp; (Q$3 + COUNTIF($B$2:B39,"*CT*") - 1) &amp; "]",
   IF( OR(ISNUMBER(SEARCH("TT",B39)), AND(ISNUMBER(SEARCH("C",B39)), NOT(ISNUMBER(SEARCH("CT",B39)))) ),
      "ConveyorStation[" &amp; (Q$2 + COUNTIFS($B$2:B39,"*C*",$B$2:B39,"&lt;&gt;*CT*") + COUNTIF($B$2:B39,"*TT*") - 1) &amp; "]",
      ""))</f>
        <v>ConveyorStation[369]</v>
      </c>
      <c r="F39" s="9"/>
      <c r="G39" s="9"/>
      <c r="H39" s="9"/>
      <c r="I39" s="9"/>
      <c r="J39" s="9" t="s">
        <v>1286</v>
      </c>
      <c r="K39" s="9"/>
      <c r="L39" s="10" t="s">
        <v>350</v>
      </c>
      <c r="M39" s="10" t="s">
        <v>350</v>
      </c>
      <c r="N39" s="219"/>
      <c r="O39" s="61"/>
      <c r="Y39" s="6"/>
      <c r="AN39"/>
      <c r="AP39"/>
    </row>
    <row r="40" spans="1:55" x14ac:dyDescent="0.35">
      <c r="A40" s="7" t="str">
        <f t="shared" si="6"/>
        <v>634</v>
      </c>
      <c r="B40" s="26" t="s">
        <v>1287</v>
      </c>
      <c r="C40" s="45" t="s">
        <v>318</v>
      </c>
      <c r="D40" s="45">
        <v>1</v>
      </c>
      <c r="E40" s="46" t="str">
        <f>IF(ISNUMBER(SEARCH("CT",B40)),
   "CrossTransferStation[" &amp; (Q$3 + COUNTIF($B$2:B40,"*CT*") - 1) &amp; "]",
   IF( OR(ISNUMBER(SEARCH("TT",B40)), AND(ISNUMBER(SEARCH("C",B40)), NOT(ISNUMBER(SEARCH("CT",B40)))) ),
      "ConveyorStation[" &amp; (Q$2 + COUNTIFS($B$2:B40,"*C*",$B$2:B40,"&lt;&gt;*CT*") + COUNTIF($B$2:B40,"*TT*") - 1) &amp; "]",
      ""))</f>
        <v>ConveyorStation[370]</v>
      </c>
      <c r="F40" s="9" t="s">
        <v>1288</v>
      </c>
      <c r="G40" s="9"/>
      <c r="H40" s="9"/>
      <c r="I40" s="9"/>
      <c r="J40" s="9" t="s">
        <v>1289</v>
      </c>
      <c r="K40" s="9"/>
      <c r="L40" s="10" t="s">
        <v>350</v>
      </c>
      <c r="M40" s="10" t="s">
        <v>351</v>
      </c>
      <c r="N40" s="219"/>
      <c r="O40" s="61"/>
      <c r="Y40" s="6"/>
      <c r="AN40"/>
      <c r="AP40"/>
    </row>
    <row r="41" spans="1:55" ht="26" x14ac:dyDescent="0.3">
      <c r="A41" s="7" t="str">
        <f t="shared" si="6"/>
        <v>635</v>
      </c>
      <c r="B41" s="26" t="s">
        <v>1290</v>
      </c>
      <c r="C41" s="45" t="s">
        <v>318</v>
      </c>
      <c r="D41" s="45">
        <v>1</v>
      </c>
      <c r="E41" s="46" t="str">
        <f>IF(ISNUMBER(SEARCH("CT",B41)),
   "CrossTransferStation[" &amp; (Q$3 + COUNTIF($B$2:B41,"*CT*") - 1) &amp; "]",
   IF( OR(ISNUMBER(SEARCH("TT",B41)), AND(ISNUMBER(SEARCH("C",B41)), NOT(ISNUMBER(SEARCH("CT",B41)))) ),
      "ConveyorStation[" &amp; (Q$2 + COUNTIFS($B$2:B41,"*C*",$B$2:B41,"&lt;&gt;*CT*") + COUNTIF($B$2:B41,"*TT*") - 1) &amp; "]",
      ""))</f>
        <v>ConveyorStation[371]</v>
      </c>
      <c r="F41" s="9" t="s">
        <v>1291</v>
      </c>
      <c r="G41" s="150" t="s">
        <v>1293</v>
      </c>
      <c r="H41" s="9"/>
      <c r="I41" s="9"/>
      <c r="J41" s="9" t="s">
        <v>1292</v>
      </c>
      <c r="K41" s="9" t="s">
        <v>470</v>
      </c>
      <c r="L41" s="10" t="s">
        <v>351</v>
      </c>
      <c r="M41" s="10" t="s">
        <v>351</v>
      </c>
      <c r="N41" s="219"/>
      <c r="O41" s="61"/>
      <c r="Y41" s="6"/>
    </row>
    <row r="42" spans="1:55" ht="39" x14ac:dyDescent="0.3">
      <c r="A42" s="7" t="str">
        <f>IF(ISNUMBER(SEARCH("CT",B42)),"1"&amp;MID(B42,2,FIND("CT",B42)-2)&amp;RIGHT(B42,1),MID(B42,2,FIND("C",B42)-2)&amp;RIGHT(B42,1))</f>
        <v>1631</v>
      </c>
      <c r="B42" s="8" t="s">
        <v>1294</v>
      </c>
      <c r="C42" s="45" t="s">
        <v>318</v>
      </c>
      <c r="D42" s="45">
        <v>1</v>
      </c>
      <c r="E42" s="46" t="str">
        <f>IF(ISNUMBER(SEARCH("CT",B42)),
   "CrossTransferStation[" &amp; (Q$3 + COUNTIF($B$2:B42,"*CT*") - 1) &amp; "]",
   IF( OR(ISNUMBER(SEARCH("TT",B42)), AND(ISNUMBER(SEARCH("C",B42)), NOT(ISNUMBER(SEARCH("CT",B42)))) ),
      "ConveyorStation[" &amp; (Q$2 + COUNTIFS($B$2:B42,"*C*",$B$2:B42,"&lt;&gt;*CT*") + COUNTIF($B$2:B42,"*TT*") - 1) &amp; "]",
      ""))</f>
        <v>CrossTransferStation[161]</v>
      </c>
      <c r="F42" s="9" t="s">
        <v>1295</v>
      </c>
      <c r="G42" s="9"/>
      <c r="H42" s="9"/>
      <c r="I42" s="9"/>
      <c r="J42" s="9" t="s">
        <v>1296</v>
      </c>
      <c r="K42" s="9" t="s">
        <v>470</v>
      </c>
      <c r="L42" s="10" t="s">
        <v>351</v>
      </c>
      <c r="M42" s="10" t="s">
        <v>351</v>
      </c>
      <c r="N42" s="219"/>
      <c r="O42" s="61"/>
      <c r="Y42" s="6"/>
    </row>
    <row r="43" spans="1:55" ht="26" x14ac:dyDescent="0.3">
      <c r="A43" s="7" t="str">
        <f>IF(ISNUMBER(SEARCH("CT",B43)),"1"&amp;MID(B43,2,FIND("CT",B43)-2)&amp;RIGHT(B43,1),MID(B43,2,FIND("C",B43)-2)&amp;RIGHT(B43,1))</f>
        <v>1632</v>
      </c>
      <c r="B43" s="8" t="s">
        <v>1297</v>
      </c>
      <c r="C43" s="45" t="s">
        <v>318</v>
      </c>
      <c r="D43" s="45">
        <v>1</v>
      </c>
      <c r="E43" s="46" t="str">
        <f>IF(ISNUMBER(SEARCH("CT",B43)),
   "CrossTransferStation[" &amp; (Q$3 + COUNTIF($B$2:B43,"*CT*") - 1) &amp; "]",
   IF( OR(ISNUMBER(SEARCH("TT",B43)), AND(ISNUMBER(SEARCH("C",B43)), NOT(ISNUMBER(SEARCH("CT",B43)))) ),
      "ConveyorStation[" &amp; (Q$2 + COUNTIFS($B$2:B43,"*C*",$B$2:B43,"&lt;&gt;*CT*") + COUNTIF($B$2:B43,"*TT*") - 1) &amp; "]",
      ""))</f>
        <v>CrossTransferStation[162]</v>
      </c>
      <c r="F43" s="9" t="s">
        <v>1298</v>
      </c>
      <c r="G43" s="9"/>
      <c r="H43" s="9"/>
      <c r="I43" s="9"/>
      <c r="J43" s="9" t="s">
        <v>1299</v>
      </c>
      <c r="K43" s="9"/>
      <c r="L43" s="146" t="s">
        <v>351</v>
      </c>
      <c r="M43" s="10" t="s">
        <v>351</v>
      </c>
      <c r="N43" s="219"/>
      <c r="O43" s="61"/>
      <c r="Y43" s="6"/>
    </row>
    <row r="44" spans="1:55" ht="29" x14ac:dyDescent="0.3">
      <c r="A44" s="60" t="str">
        <f>IF(ISNUMBER(SEARCH("CT",B44)),"1"&amp;MID(B44,2,FIND("CT",B44)-2)&amp;RIGHT(B44,1),MID(B44,2,FIND("C",B44)-2)&amp;RIGHT(B44,1))</f>
        <v>641</v>
      </c>
      <c r="B44" s="26" t="s">
        <v>1300</v>
      </c>
      <c r="C44" s="45" t="s">
        <v>318</v>
      </c>
      <c r="D44" s="45">
        <v>1</v>
      </c>
      <c r="E44" s="46" t="str">
        <f>IF(ISNUMBER(SEARCH("CT",B44)),
   "CrossTransferStation[" &amp; (Q$3 + COUNTIF($B$2:B44,"*CT*") - 1) &amp; "]",
   IF( OR(ISNUMBER(SEARCH("TT",B44)), AND(ISNUMBER(SEARCH("C",B44)), NOT(ISNUMBER(SEARCH("CT",B44)))) ),
      "ConveyorStation[" &amp; (Q$2 + COUNTIFS($B$2:B44,"*C*",$B$2:B44,"&lt;&gt;*CT*") + COUNTIF($B$2:B44,"*TT*") - 1) &amp; "]",
      ""))</f>
        <v>ConveyorStation[372]</v>
      </c>
      <c r="F44" s="216" t="s">
        <v>1797</v>
      </c>
      <c r="G44" s="9"/>
      <c r="H44" s="27"/>
      <c r="I44" s="27"/>
      <c r="J44" s="9" t="s">
        <v>1301</v>
      </c>
      <c r="K44" s="27"/>
      <c r="L44" s="217" t="s">
        <v>350</v>
      </c>
      <c r="M44" s="217" t="s">
        <v>350</v>
      </c>
      <c r="N44" s="220"/>
      <c r="O44" s="61"/>
      <c r="Y44" s="6"/>
    </row>
    <row r="45" spans="1:55" ht="39" x14ac:dyDescent="0.3">
      <c r="A45" s="60" t="str">
        <f>IF(ISNUMBER(SEARCH("CT",B45)),"1"&amp;MID(B45,2,FIND("CT",B45)-2)&amp;RIGHT(B45,1),MID(B45,2,FIND("C",B45)-2)&amp;RIGHT(B45,1))</f>
        <v>651</v>
      </c>
      <c r="B45" s="26" t="s">
        <v>1302</v>
      </c>
      <c r="C45" s="45" t="s">
        <v>318</v>
      </c>
      <c r="D45" s="45">
        <v>1</v>
      </c>
      <c r="E45" s="46" t="str">
        <f>IF(ISNUMBER(SEARCH("CT",B45)),
   "CrossTransferStation[" &amp; (Q$3 + COUNTIF($B$2:B45,"*CT*") - 1) &amp; "]",
   IF( OR(ISNUMBER(SEARCH("TT",B45)), AND(ISNUMBER(SEARCH("C",B45)), NOT(ISNUMBER(SEARCH("CT",B45)))) ),
      "ConveyorStation[" &amp; (Q$2 + COUNTIFS($B$2:B45,"*C*",$B$2:B45,"&lt;&gt;*CT*") + COUNTIF($B$2:B45,"*TT*") - 1) &amp; "]",
      ""))</f>
        <v>ConveyorStation[373]</v>
      </c>
      <c r="F45" s="27" t="s">
        <v>1303</v>
      </c>
      <c r="G45" s="27"/>
      <c r="H45" s="27"/>
      <c r="I45" s="27"/>
      <c r="J45" s="53" t="s">
        <v>1304</v>
      </c>
      <c r="K45" s="27"/>
      <c r="L45" s="28" t="s">
        <v>351</v>
      </c>
      <c r="M45" s="28" t="s">
        <v>351</v>
      </c>
      <c r="N45" s="220"/>
      <c r="O45" s="61"/>
      <c r="Y45" s="6"/>
    </row>
    <row r="46" spans="1:55" x14ac:dyDescent="0.3">
      <c r="A46" s="7" t="str">
        <f t="shared" ref="A46:A48" si="7">IF(ISNUMBER(SEARCH("CT",B46)),"1"&amp;MID(B46,2,FIND("CT",B46)-2)&amp;RIGHT(B46,1),MID(B46,2,FIND("C",B46)-2)&amp;RIGHT(B46,1))</f>
        <v>652</v>
      </c>
      <c r="B46" s="26" t="s">
        <v>1305</v>
      </c>
      <c r="C46" s="45" t="s">
        <v>318</v>
      </c>
      <c r="D46" s="45">
        <v>1</v>
      </c>
      <c r="E46" s="46" t="str">
        <f>IF(ISNUMBER(SEARCH("CT",B46)),
   "CrossTransferStation[" &amp; (Q$3 + COUNTIF($B$2:B46,"*CT*") - 1) &amp; "]",
   IF( OR(ISNUMBER(SEARCH("TT",B46)), AND(ISNUMBER(SEARCH("C",B46)), NOT(ISNUMBER(SEARCH("CT",B46)))) ),
      "ConveyorStation[" &amp; (Q$2 + COUNTIFS($B$2:B46,"*C*",$B$2:B46,"&lt;&gt;*CT*") + COUNTIF($B$2:B46,"*TT*") - 1) &amp; "]",
      ""))</f>
        <v>ConveyorStation[374]</v>
      </c>
      <c r="F46" s="9" t="s">
        <v>1306</v>
      </c>
      <c r="G46" s="9"/>
      <c r="H46" s="9"/>
      <c r="I46" s="9"/>
      <c r="J46" s="9" t="s">
        <v>1307</v>
      </c>
      <c r="K46" s="9"/>
      <c r="L46" s="146" t="s">
        <v>351</v>
      </c>
      <c r="M46" s="146" t="s">
        <v>350</v>
      </c>
      <c r="N46" s="219"/>
      <c r="O46" s="61"/>
      <c r="Y46" s="6"/>
    </row>
    <row r="47" spans="1:55" ht="39" x14ac:dyDescent="0.3">
      <c r="A47" s="7" t="str">
        <f t="shared" si="7"/>
        <v>653</v>
      </c>
      <c r="B47" s="26" t="s">
        <v>1308</v>
      </c>
      <c r="C47" s="45" t="s">
        <v>318</v>
      </c>
      <c r="D47" s="45">
        <v>1</v>
      </c>
      <c r="E47" s="46" t="str">
        <f>IF(ISNUMBER(SEARCH("CT",B47)),
   "CrossTransferStation[" &amp; (Q$3 + COUNTIF($B$2:B47,"*CT*") - 1) &amp; "]",
   IF( OR(ISNUMBER(SEARCH("TT",B47)), AND(ISNUMBER(SEARCH("C",B47)), NOT(ISNUMBER(SEARCH("CT",B47)))) ),
      "ConveyorStation[" &amp; (Q$2 + COUNTIFS($B$2:B47,"*C*",$B$2:B47,"&lt;&gt;*CT*") + COUNTIF($B$2:B47,"*TT*") - 1) &amp; "]",
      ""))</f>
        <v>ConveyorStation[375]</v>
      </c>
      <c r="F47" s="9"/>
      <c r="G47" s="9"/>
      <c r="H47" s="9"/>
      <c r="I47" s="9"/>
      <c r="J47" s="9" t="s">
        <v>1309</v>
      </c>
      <c r="K47" s="9" t="s">
        <v>470</v>
      </c>
      <c r="L47" s="10" t="s">
        <v>350</v>
      </c>
      <c r="M47" s="10" t="s">
        <v>350</v>
      </c>
      <c r="N47" s="219"/>
      <c r="O47" s="61"/>
      <c r="Y47" s="6"/>
    </row>
    <row r="48" spans="1:55" ht="39" x14ac:dyDescent="0.3">
      <c r="A48" s="7" t="str">
        <f t="shared" si="7"/>
        <v>654</v>
      </c>
      <c r="B48" s="26" t="s">
        <v>1310</v>
      </c>
      <c r="C48" s="45" t="s">
        <v>318</v>
      </c>
      <c r="D48" s="45">
        <v>1</v>
      </c>
      <c r="E48" s="46" t="str">
        <f>IF(ISNUMBER(SEARCH("CT",B48)),
   "CrossTransferStation[" &amp; (Q$3 + COUNTIF($B$2:B48,"*CT*") - 1) &amp; "]",
   IF( OR(ISNUMBER(SEARCH("TT",B48)), AND(ISNUMBER(SEARCH("C",B48)), NOT(ISNUMBER(SEARCH("CT",B48)))) ),
      "ConveyorStation[" &amp; (Q$2 + COUNTIFS($B$2:B48,"*C*",$B$2:B48,"&lt;&gt;*CT*") + COUNTIF($B$2:B48,"*TT*") - 1) &amp; "]",
      ""))</f>
        <v>ConveyorStation[376]</v>
      </c>
      <c r="F48" s="9" t="s">
        <v>1311</v>
      </c>
      <c r="G48" s="9"/>
      <c r="H48" s="9"/>
      <c r="I48" s="9"/>
      <c r="J48" s="9" t="s">
        <v>1312</v>
      </c>
      <c r="K48" s="9" t="s">
        <v>470</v>
      </c>
      <c r="L48" s="10" t="s">
        <v>350</v>
      </c>
      <c r="M48" s="10" t="s">
        <v>351</v>
      </c>
      <c r="N48" s="219"/>
      <c r="O48" s="61"/>
      <c r="Y48" s="6"/>
    </row>
    <row r="49" spans="1:25" ht="26" x14ac:dyDescent="0.3">
      <c r="A49" s="7" t="str">
        <f t="shared" ref="A49:A56" si="8">IF(ISNUMBER(SEARCH("CT",B49)),"1"&amp;MID(B49,2,FIND("CT",B49)-2)&amp;RIGHT(B49,1),MID(B49,2,FIND("C",B49)-2)&amp;RIGHT(B49,1))</f>
        <v>1651</v>
      </c>
      <c r="B49" s="8" t="s">
        <v>1313</v>
      </c>
      <c r="C49" s="45" t="s">
        <v>318</v>
      </c>
      <c r="D49" s="45">
        <v>1</v>
      </c>
      <c r="E49" s="46" t="str">
        <f>IF(ISNUMBER(SEARCH("CT",B49)),
   "CrossTransferStation[" &amp; (Q$3 + COUNTIF($B$2:B49,"*CT*") - 1) &amp; "]",
   IF( OR(ISNUMBER(SEARCH("TT",B49)), AND(ISNUMBER(SEARCH("C",B49)), NOT(ISNUMBER(SEARCH("CT",B49)))) ),
      "ConveyorStation[" &amp; (Q$2 + COUNTIFS($B$2:B49,"*C*",$B$2:B49,"&lt;&gt;*CT*") + COUNTIF($B$2:B49,"*TT*") - 1) &amp; "]",
      ""))</f>
        <v>CrossTransferStation[163]</v>
      </c>
      <c r="F49" s="9"/>
      <c r="G49" s="9"/>
      <c r="H49" s="9"/>
      <c r="I49" s="9"/>
      <c r="J49" s="9" t="s">
        <v>1314</v>
      </c>
      <c r="K49" s="9"/>
      <c r="L49" s="10" t="s">
        <v>350</v>
      </c>
      <c r="M49" s="10" t="s">
        <v>350</v>
      </c>
      <c r="N49" s="219"/>
      <c r="O49" s="61"/>
      <c r="Y49" s="6"/>
    </row>
    <row r="50" spans="1:25" ht="26" x14ac:dyDescent="0.3">
      <c r="A50" s="7" t="str">
        <f t="shared" si="8"/>
        <v>1652</v>
      </c>
      <c r="B50" s="8" t="s">
        <v>1315</v>
      </c>
      <c r="C50" s="45" t="s">
        <v>318</v>
      </c>
      <c r="D50" s="45">
        <v>1</v>
      </c>
      <c r="E50" s="46" t="str">
        <f>IF(ISNUMBER(SEARCH("CT",B50)),
   "CrossTransferStation[" &amp; (Q$3 + COUNTIF($B$2:B50,"*CT*") - 1) &amp; "]",
   IF( OR(ISNUMBER(SEARCH("TT",B50)), AND(ISNUMBER(SEARCH("C",B50)), NOT(ISNUMBER(SEARCH("CT",B50)))) ),
      "ConveyorStation[" &amp; (Q$2 + COUNTIFS($B$2:B50,"*C*",$B$2:B50,"&lt;&gt;*CT*") + COUNTIF($B$2:B50,"*TT*") - 1) &amp; "]",
      ""))</f>
        <v>CrossTransferStation[164]</v>
      </c>
      <c r="F50" s="9" t="s">
        <v>1316</v>
      </c>
      <c r="G50" s="9"/>
      <c r="H50" s="9"/>
      <c r="I50" s="9"/>
      <c r="J50" s="9" t="s">
        <v>1317</v>
      </c>
      <c r="K50" s="9"/>
      <c r="L50" s="10" t="s">
        <v>350</v>
      </c>
      <c r="M50" s="10" t="s">
        <v>351</v>
      </c>
      <c r="N50" s="219"/>
      <c r="O50" s="61"/>
      <c r="Y50" s="6"/>
    </row>
    <row r="51" spans="1:25" ht="13" x14ac:dyDescent="0.3">
      <c r="A51" s="60" t="str">
        <f t="shared" si="8"/>
        <v>661</v>
      </c>
      <c r="B51" s="26" t="s">
        <v>1318</v>
      </c>
      <c r="C51" s="45" t="s">
        <v>318</v>
      </c>
      <c r="D51" s="45">
        <v>1</v>
      </c>
      <c r="E51" s="46" t="str">
        <f>IF(ISNUMBER(SEARCH("CT",B51)),
   "CrossTransferStation[" &amp; (Q$3 + COUNTIF($B$2:B51,"*CT*") - 1) &amp; "]",
   IF( OR(ISNUMBER(SEARCH("TT",B51)), AND(ISNUMBER(SEARCH("C",B51)), NOT(ISNUMBER(SEARCH("CT",B51)))) ),
      "ConveyorStation[" &amp; (Q$2 + COUNTIFS($B$2:B51,"*C*",$B$2:B51,"&lt;&gt;*CT*") + COUNTIF($B$2:B51,"*TT*") - 1) &amp; "]",
      ""))</f>
        <v>ConveyorStation[377]</v>
      </c>
      <c r="F51" s="9" t="s">
        <v>1319</v>
      </c>
      <c r="G51" s="27"/>
      <c r="H51" s="27"/>
      <c r="I51" s="27"/>
      <c r="J51" s="9" t="s">
        <v>1320</v>
      </c>
      <c r="K51" s="27"/>
      <c r="L51" s="28" t="s">
        <v>350</v>
      </c>
      <c r="M51" s="28" t="s">
        <v>351</v>
      </c>
      <c r="N51" s="220"/>
      <c r="O51" s="61"/>
      <c r="Y51" s="6"/>
    </row>
    <row r="52" spans="1:25" ht="13" x14ac:dyDescent="0.3">
      <c r="A52" s="60" t="str">
        <f t="shared" si="8"/>
        <v>671</v>
      </c>
      <c r="B52" s="26" t="s">
        <v>1321</v>
      </c>
      <c r="C52" s="45" t="s">
        <v>318</v>
      </c>
      <c r="D52" s="45">
        <v>1</v>
      </c>
      <c r="E52" s="46" t="str">
        <f>IF(ISNUMBER(SEARCH("CT",B52)),
   "CrossTransferStation[" &amp; (Q$3 + COUNTIF($B$2:B52,"*CT*") - 1) &amp; "]",
   IF( OR(ISNUMBER(SEARCH("TT",B52)), AND(ISNUMBER(SEARCH("C",B52)), NOT(ISNUMBER(SEARCH("CT",B52)))) ),
      "ConveyorStation[" &amp; (Q$2 + COUNTIFS($B$2:B52,"*C*",$B$2:B52,"&lt;&gt;*CT*") + COUNTIF($B$2:B52,"*TT*") - 1) &amp; "]",
      ""))</f>
        <v>ConveyorStation[378]</v>
      </c>
      <c r="F52" s="27"/>
      <c r="G52" s="27"/>
      <c r="H52" s="27"/>
      <c r="I52" s="27"/>
      <c r="J52" s="9" t="s">
        <v>1322</v>
      </c>
      <c r="K52" s="27"/>
      <c r="L52" s="28" t="s">
        <v>350</v>
      </c>
      <c r="M52" s="28" t="s">
        <v>350</v>
      </c>
      <c r="N52" s="220"/>
      <c r="O52" s="61"/>
      <c r="Y52" s="6"/>
    </row>
    <row r="53" spans="1:25" ht="13" x14ac:dyDescent="0.3">
      <c r="A53" s="7" t="str">
        <f t="shared" si="8"/>
        <v>672</v>
      </c>
      <c r="B53" s="26" t="s">
        <v>1323</v>
      </c>
      <c r="C53" s="45" t="s">
        <v>318</v>
      </c>
      <c r="D53" s="45">
        <v>1</v>
      </c>
      <c r="E53" s="46" t="str">
        <f>IF(ISNUMBER(SEARCH("CT",B53)),
   "CrossTransferStation[" &amp; (Q$3 + COUNTIF($B$2:B53,"*CT*") - 1) &amp; "]",
   IF( OR(ISNUMBER(SEARCH("TT",B53)), AND(ISNUMBER(SEARCH("C",B53)), NOT(ISNUMBER(SEARCH("CT",B53)))) ),
      "ConveyorStation[" &amp; (Q$2 + COUNTIFS($B$2:B53,"*C*",$B$2:B53,"&lt;&gt;*CT*") + COUNTIF($B$2:B53,"*TT*") - 1) &amp; "]",
      ""))</f>
        <v>ConveyorStation[379]</v>
      </c>
      <c r="F53" s="9"/>
      <c r="G53" s="9"/>
      <c r="H53" s="9"/>
      <c r="I53" s="9"/>
      <c r="J53" s="9" t="s">
        <v>1324</v>
      </c>
      <c r="K53" s="9"/>
      <c r="L53" s="10" t="s">
        <v>350</v>
      </c>
      <c r="M53" s="10" t="s">
        <v>350</v>
      </c>
      <c r="N53" s="219"/>
      <c r="O53" s="61"/>
      <c r="Y53" s="6"/>
    </row>
    <row r="54" spans="1:25" ht="13" x14ac:dyDescent="0.3">
      <c r="A54" s="60" t="str">
        <f t="shared" si="8"/>
        <v>681</v>
      </c>
      <c r="B54" s="26" t="s">
        <v>1325</v>
      </c>
      <c r="C54" s="45" t="s">
        <v>318</v>
      </c>
      <c r="D54" s="45">
        <v>1</v>
      </c>
      <c r="E54" s="231" t="str">
        <f>IF(ISNUMBER(SEARCH("CT",B54)),
   "CrossTransferStation[" &amp; (Q$3 + COUNTIF($B$2:B54,"*CT*") - 1) &amp; "]",
   IF( OR(ISNUMBER(SEARCH("TT",B54)), AND(ISNUMBER(SEARCH("C",B54)), NOT(ISNUMBER(SEARCH("CT",B54)))) ),
      "ConveyorStation[" &amp; (Q$2 + COUNTIFS($B$2:B54,"*C*",$B$2:B54,"&lt;&gt;*CT*") + COUNTIF($B$2:B54,"*TT*") - 1) &amp; "]",
      ""))</f>
        <v>ConveyorStation[380]</v>
      </c>
      <c r="F54" s="27"/>
      <c r="G54" s="27"/>
      <c r="H54" s="27"/>
      <c r="I54" s="27"/>
      <c r="J54" s="9" t="s">
        <v>1326</v>
      </c>
      <c r="K54" s="27"/>
      <c r="L54" s="28" t="s">
        <v>350</v>
      </c>
      <c r="M54" s="28" t="s">
        <v>350</v>
      </c>
      <c r="N54" s="220"/>
      <c r="O54" s="61"/>
      <c r="Y54" s="6"/>
    </row>
    <row r="55" spans="1:25" ht="26" x14ac:dyDescent="0.3">
      <c r="A55" s="7" t="str">
        <f t="shared" si="8"/>
        <v>1681</v>
      </c>
      <c r="B55" s="26" t="s">
        <v>1327</v>
      </c>
      <c r="C55" s="45" t="s">
        <v>318</v>
      </c>
      <c r="D55" s="45">
        <v>1</v>
      </c>
      <c r="E55" s="46" t="str">
        <f>IF(ISNUMBER(SEARCH("CT",B55)),
   "CrossTransferStation[" &amp; (Q$3 + COUNTIF($B$2:B55,"*CT*") - 1) &amp; "]",
   IF( OR(ISNUMBER(SEARCH("TT",B55)), AND(ISNUMBER(SEARCH("C",B55)), NOT(ISNUMBER(SEARCH("CT",B55)))) ),
      "ConveyorStation[" &amp; (Q$2 + COUNTIFS($B$2:B55,"*C*",$B$2:B55,"&lt;&gt;*CT*") + COUNTIF($B$2:B55,"*TT*") - 1) &amp; "]",
      ""))</f>
        <v>CrossTransferStation[165]</v>
      </c>
      <c r="F55" s="149" t="s">
        <v>1784</v>
      </c>
      <c r="G55" s="9"/>
      <c r="H55" s="9"/>
      <c r="I55" s="9"/>
      <c r="J55" s="9" t="s">
        <v>1328</v>
      </c>
      <c r="K55" s="9"/>
      <c r="L55" s="10" t="s">
        <v>351</v>
      </c>
      <c r="M55" s="10" t="s">
        <v>351</v>
      </c>
      <c r="N55" s="219"/>
      <c r="O55" s="61"/>
      <c r="Y55" s="6"/>
    </row>
    <row r="56" spans="1:25" ht="13" x14ac:dyDescent="0.3">
      <c r="A56" s="60" t="str">
        <f t="shared" si="8"/>
        <v>691</v>
      </c>
      <c r="B56" s="26" t="s">
        <v>1329</v>
      </c>
      <c r="C56" s="45" t="s">
        <v>318</v>
      </c>
      <c r="D56" s="45">
        <v>1</v>
      </c>
      <c r="E56" s="231" t="str">
        <f>IF(ISNUMBER(SEARCH("CT",B56)),
   "CrossTransferStation[" &amp; (Q$3 + COUNTIF($B$2:B56,"*CT*") - 1) &amp; "]",
   IF( OR(ISNUMBER(SEARCH("TT",B56)), AND(ISNUMBER(SEARCH("C",B56)), NOT(ISNUMBER(SEARCH("CT",B56)))) ),
      "ConveyorStation[" &amp; (Q$2 + COUNTIFS($B$2:B56,"*C*",$B$2:B56,"&lt;&gt;*CT*") + COUNTIF($B$2:B56,"*TT*") - 1) &amp; "]",
      ""))</f>
        <v>ConveyorStation[381]</v>
      </c>
      <c r="F56" s="27"/>
      <c r="G56" s="27"/>
      <c r="H56" s="27"/>
      <c r="I56" s="27"/>
      <c r="J56" s="9" t="s">
        <v>1330</v>
      </c>
      <c r="K56" s="27"/>
      <c r="L56" s="10" t="s">
        <v>350</v>
      </c>
      <c r="M56" s="10" t="s">
        <v>350</v>
      </c>
      <c r="N56" s="220"/>
      <c r="O56" s="61"/>
      <c r="Y56" s="6"/>
    </row>
    <row r="57" spans="1:25" ht="13" x14ac:dyDescent="0.3">
      <c r="A57" s="7" t="str">
        <f t="shared" ref="A57:A60" si="9">IF(ISNUMBER(SEARCH("CT",B57)),"1"&amp;MID(B57,2,FIND("CT",B57)-2)&amp;RIGHT(B57,1),MID(B57,2,FIND("C",B57)-2)&amp;RIGHT(B57,1))</f>
        <v>692</v>
      </c>
      <c r="B57" s="26" t="s">
        <v>1331</v>
      </c>
      <c r="C57" s="45" t="s">
        <v>318</v>
      </c>
      <c r="D57" s="45">
        <v>1</v>
      </c>
      <c r="E57" s="46" t="str">
        <f>IF(ISNUMBER(SEARCH("CT",B57)),
   "CrossTransferStation[" &amp; (Q$3 + COUNTIF($B$2:B57,"*CT*") - 1) &amp; "]",
   IF( OR(ISNUMBER(SEARCH("TT",B57)), AND(ISNUMBER(SEARCH("C",B57)), NOT(ISNUMBER(SEARCH("CT",B57)))) ),
      "ConveyorStation[" &amp; (Q$2 + COUNTIFS($B$2:B57,"*C*",$B$2:B57,"&lt;&gt;*CT*") + COUNTIF($B$2:B57,"*TT*") - 1) &amp; "]",
      ""))</f>
        <v>ConveyorStation[382]</v>
      </c>
      <c r="F57" s="9"/>
      <c r="G57" s="9"/>
      <c r="H57" s="9"/>
      <c r="I57" s="9"/>
      <c r="J57" s="9" t="s">
        <v>1332</v>
      </c>
      <c r="K57" s="9"/>
      <c r="L57" s="10" t="s">
        <v>350</v>
      </c>
      <c r="M57" s="10" t="s">
        <v>350</v>
      </c>
      <c r="N57" s="219"/>
      <c r="O57" s="61"/>
      <c r="Y57" s="6"/>
    </row>
    <row r="58" spans="1:25" ht="13" x14ac:dyDescent="0.3">
      <c r="A58" s="7" t="str">
        <f t="shared" si="9"/>
        <v>693</v>
      </c>
      <c r="B58" s="26" t="s">
        <v>1333</v>
      </c>
      <c r="C58" s="45" t="s">
        <v>318</v>
      </c>
      <c r="D58" s="45">
        <v>1</v>
      </c>
      <c r="E58" s="46" t="str">
        <f>IF(ISNUMBER(SEARCH("CT",B58)),
   "CrossTransferStation[" &amp; (Q$3 + COUNTIF($B$2:B58,"*CT*") - 1) &amp; "]",
   IF( OR(ISNUMBER(SEARCH("TT",B58)), AND(ISNUMBER(SEARCH("C",B58)), NOT(ISNUMBER(SEARCH("CT",B58)))) ),
      "ConveyorStation[" &amp; (Q$2 + COUNTIFS($B$2:B58,"*C*",$B$2:B58,"&lt;&gt;*CT*") + COUNTIF($B$2:B58,"*TT*") - 1) &amp; "]",
      ""))</f>
        <v>ConveyorStation[383]</v>
      </c>
      <c r="F58" s="9"/>
      <c r="G58" s="9"/>
      <c r="H58" s="9"/>
      <c r="I58" s="9"/>
      <c r="J58" s="9" t="s">
        <v>1334</v>
      </c>
      <c r="K58" s="9"/>
      <c r="L58" s="10" t="s">
        <v>350</v>
      </c>
      <c r="M58" s="10" t="s">
        <v>350</v>
      </c>
      <c r="N58" s="219"/>
      <c r="O58" s="61"/>
      <c r="Y58" s="6"/>
    </row>
    <row r="59" spans="1:25" ht="13" x14ac:dyDescent="0.3">
      <c r="A59" s="7" t="str">
        <f t="shared" si="9"/>
        <v>694</v>
      </c>
      <c r="B59" s="26" t="s">
        <v>1335</v>
      </c>
      <c r="C59" s="45" t="s">
        <v>318</v>
      </c>
      <c r="D59" s="45">
        <v>1</v>
      </c>
      <c r="E59" s="46" t="str">
        <f>IF(ISNUMBER(SEARCH("CT",B59)),
   "CrossTransferStation[" &amp; (Q$3 + COUNTIF($B$2:B59,"*CT*") - 1) &amp; "]",
   IF( OR(ISNUMBER(SEARCH("TT",B59)), AND(ISNUMBER(SEARCH("C",B59)), NOT(ISNUMBER(SEARCH("CT",B59)))) ),
      "ConveyorStation[" &amp; (Q$2 + COUNTIFS($B$2:B59,"*C*",$B$2:B59,"&lt;&gt;*CT*") + COUNTIF($B$2:B59,"*TT*") - 1) &amp; "]",
      ""))</f>
        <v>ConveyorStation[384]</v>
      </c>
      <c r="F59" s="9" t="s">
        <v>1336</v>
      </c>
      <c r="G59" s="9"/>
      <c r="H59" s="9"/>
      <c r="I59" s="9"/>
      <c r="J59" s="9" t="s">
        <v>1337</v>
      </c>
      <c r="K59" s="9"/>
      <c r="L59" s="10" t="s">
        <v>350</v>
      </c>
      <c r="M59" s="10" t="s">
        <v>351</v>
      </c>
      <c r="N59" s="219"/>
      <c r="O59" s="61"/>
      <c r="Y59" s="6"/>
    </row>
    <row r="60" spans="1:25" ht="26" x14ac:dyDescent="0.3">
      <c r="A60" s="7" t="str">
        <f t="shared" si="9"/>
        <v>695</v>
      </c>
      <c r="B60" s="26" t="s">
        <v>1338</v>
      </c>
      <c r="C60" s="45" t="s">
        <v>318</v>
      </c>
      <c r="D60" s="45">
        <v>1</v>
      </c>
      <c r="E60" s="46" t="str">
        <f>IF(ISNUMBER(SEARCH("CT",B60)),
   "CrossTransferStation[" &amp; (Q$3 + COUNTIF($B$2:B60,"*CT*") - 1) &amp; "]",
   IF( OR(ISNUMBER(SEARCH("TT",B60)), AND(ISNUMBER(SEARCH("C",B60)), NOT(ISNUMBER(SEARCH("CT",B60)))) ),
      "ConveyorStation[" &amp; (Q$2 + COUNTIFS($B$2:B60,"*C*",$B$2:B60,"&lt;&gt;*CT*") + COUNTIF($B$2:B60,"*TT*") - 1) &amp; "]",
      ""))</f>
        <v>ConveyorStation[385]</v>
      </c>
      <c r="F60" s="9" t="s">
        <v>1339</v>
      </c>
      <c r="G60" s="150" t="s">
        <v>1341</v>
      </c>
      <c r="H60" s="9"/>
      <c r="I60" s="9"/>
      <c r="J60" s="9" t="s">
        <v>1340</v>
      </c>
      <c r="K60" s="9" t="s">
        <v>470</v>
      </c>
      <c r="L60" s="10" t="s">
        <v>351</v>
      </c>
      <c r="M60" s="10" t="s">
        <v>351</v>
      </c>
      <c r="N60" s="219"/>
      <c r="O60" s="61"/>
      <c r="Y60" s="6"/>
    </row>
    <row r="61" spans="1:25" ht="39" x14ac:dyDescent="0.3">
      <c r="A61" s="7" t="str">
        <f>IF(ISNUMBER(SEARCH("CT",B61)),"1"&amp;MID(B61,2,FIND("CT",B61)-2)&amp;RIGHT(B61,1),MID(B61,2,FIND("C",B61)-2)&amp;RIGHT(B61,1))</f>
        <v>1691</v>
      </c>
      <c r="B61" s="8" t="s">
        <v>1342</v>
      </c>
      <c r="C61" s="45" t="s">
        <v>318</v>
      </c>
      <c r="D61" s="45">
        <v>1</v>
      </c>
      <c r="E61" s="46" t="str">
        <f>IF(ISNUMBER(SEARCH("CT",B61)),
   "CrossTransferStation[" &amp; (Q$3 + COUNTIF($B$2:B61,"*CT*") - 1) &amp; "]",
   IF( OR(ISNUMBER(SEARCH("TT",B61)), AND(ISNUMBER(SEARCH("C",B61)), NOT(ISNUMBER(SEARCH("CT",B61)))) ),
      "ConveyorStation[" &amp; (Q$2 + COUNTIFS($B$2:B61,"*C*",$B$2:B61,"&lt;&gt;*CT*") + COUNTIF($B$2:B61,"*TT*") - 1) &amp; "]",
      ""))</f>
        <v>CrossTransferStation[166]</v>
      </c>
      <c r="F61" s="9" t="s">
        <v>1343</v>
      </c>
      <c r="G61" s="9"/>
      <c r="H61" s="9"/>
      <c r="I61" s="9"/>
      <c r="J61" s="9" t="s">
        <v>1344</v>
      </c>
      <c r="K61" s="9" t="s">
        <v>470</v>
      </c>
      <c r="L61" s="10" t="s">
        <v>351</v>
      </c>
      <c r="M61" s="10" t="s">
        <v>351</v>
      </c>
      <c r="N61" s="219"/>
      <c r="O61" s="61"/>
      <c r="Y61" s="6"/>
    </row>
    <row r="62" spans="1:25" ht="39" x14ac:dyDescent="0.3">
      <c r="A62" s="7" t="str">
        <f>IF(ISNUMBER(SEARCH("CT",B62)),"1"&amp;MID(B62,2,FIND("CT",B62)-2)&amp;RIGHT(B62,1),MID(B62,2,FIND("C",B62)-2)&amp;RIGHT(B62,1))</f>
        <v>1692</v>
      </c>
      <c r="B62" s="8" t="s">
        <v>1345</v>
      </c>
      <c r="C62" s="45" t="s">
        <v>318</v>
      </c>
      <c r="D62" s="45">
        <v>1</v>
      </c>
      <c r="E62" s="46" t="str">
        <f>IF(ISNUMBER(SEARCH("CT",B62)),
   "CrossTransferStation[" &amp; (Q$3 + COUNTIF($B$2:B62,"*CT*") - 1) &amp; "]",
   IF( OR(ISNUMBER(SEARCH("TT",B62)), AND(ISNUMBER(SEARCH("C",B62)), NOT(ISNUMBER(SEARCH("CT",B62)))) ),
      "ConveyorStation[" &amp; (Q$2 + COUNTIFS($B$2:B62,"*C*",$B$2:B62,"&lt;&gt;*CT*") + COUNTIF($B$2:B62,"*TT*") - 1) &amp; "]",
      ""))</f>
        <v>CrossTransferStation[167]</v>
      </c>
      <c r="F62" s="9"/>
      <c r="G62" s="9"/>
      <c r="H62" s="9"/>
      <c r="I62" s="9"/>
      <c r="J62" s="9" t="s">
        <v>1346</v>
      </c>
      <c r="K62" s="9" t="s">
        <v>470</v>
      </c>
      <c r="L62" s="10" t="s">
        <v>350</v>
      </c>
      <c r="M62" s="10" t="s">
        <v>350</v>
      </c>
      <c r="N62" s="219"/>
      <c r="O62" s="61"/>
      <c r="Y62" s="6"/>
    </row>
    <row r="63" spans="1:25" ht="39" x14ac:dyDescent="0.3">
      <c r="A63" s="7" t="str">
        <f>IF(ISNUMBER(SEARCH("CT",B63)),"1"&amp;MID(B63,2,FIND("CT",B63)-2)&amp;RIGHT(B63,1),MID(B63,2,FIND("C",B63)-2)&amp;RIGHT(B63,1))</f>
        <v>1693</v>
      </c>
      <c r="B63" s="8" t="s">
        <v>1347</v>
      </c>
      <c r="C63" s="45" t="s">
        <v>318</v>
      </c>
      <c r="D63" s="45">
        <v>1</v>
      </c>
      <c r="E63" s="46" t="str">
        <f>IF(ISNUMBER(SEARCH("CT",B63)),
   "CrossTransferStation[" &amp; (Q$3 + COUNTIF($B$2:B63,"*CT*") - 1) &amp; "]",
   IF( OR(ISNUMBER(SEARCH("TT",B63)), AND(ISNUMBER(SEARCH("C",B63)), NOT(ISNUMBER(SEARCH("CT",B63)))) ),
      "ConveyorStation[" &amp; (Q$2 + COUNTIFS($B$2:B63,"*C*",$B$2:B63,"&lt;&gt;*CT*") + COUNTIF($B$2:B63,"*TT*") - 1) &amp; "]",
      ""))</f>
        <v>CrossTransferStation[168]</v>
      </c>
      <c r="F63" s="150" t="s">
        <v>1348</v>
      </c>
      <c r="G63" s="9"/>
      <c r="H63" s="9"/>
      <c r="I63" s="9"/>
      <c r="J63" s="9" t="s">
        <v>1349</v>
      </c>
      <c r="K63" s="9" t="s">
        <v>470</v>
      </c>
      <c r="L63" s="10" t="s">
        <v>350</v>
      </c>
      <c r="M63" s="146" t="s">
        <v>350</v>
      </c>
      <c r="N63" s="219"/>
      <c r="O63" s="61"/>
      <c r="Y63" s="6"/>
    </row>
    <row r="64" spans="1:25" ht="26" x14ac:dyDescent="0.3">
      <c r="A64" s="60" t="str">
        <f>IF(ISNUMBER(SEARCH("CT",B64)),"1"&amp;MID(B64,2,FIND("CT",B64)-2)&amp;RIGHT(B64,1),MID(B64,2,FIND("C",B64)-2)&amp;RIGHT(B64,1))</f>
        <v>701</v>
      </c>
      <c r="B64" s="154" t="s">
        <v>1350</v>
      </c>
      <c r="C64" s="155" t="s">
        <v>318</v>
      </c>
      <c r="D64" s="155">
        <v>1</v>
      </c>
      <c r="E64" s="256" t="str">
        <f>IF(ISNUMBER(SEARCH("CT",B64)),
   "CrossTransferStation[" &amp; (Q$3 + COUNTIF($B$2:B70,"*CT*") - 1) &amp; "]",
   IF( OR(ISNUMBER(SEARCH("TT",B64)), AND(ISNUMBER(SEARCH("C",B64)), NOT(ISNUMBER(SEARCH("CT",B64)))) ),
      "ConveyorStation[" &amp; (Q$2 + COUNTIFS($B$2:B70,"*C*",$B$2:B70,"&lt;&gt;*CT*") + COUNTIF($B$2:B70,"*TT*") - 1) &amp; "]",
      ""))</f>
        <v>ConveyorStation[386]</v>
      </c>
      <c r="F64" s="148" t="s">
        <v>1351</v>
      </c>
      <c r="G64" s="156"/>
      <c r="H64" s="156"/>
      <c r="I64" s="156"/>
      <c r="J64" s="148" t="s">
        <v>1352</v>
      </c>
      <c r="K64" s="156"/>
      <c r="L64" s="157" t="s">
        <v>350</v>
      </c>
      <c r="M64" s="157" t="s">
        <v>351</v>
      </c>
      <c r="N64" s="220" t="s">
        <v>1798</v>
      </c>
      <c r="O64" s="61"/>
      <c r="Y64" s="6"/>
    </row>
    <row r="65" spans="1:14" x14ac:dyDescent="0.3">
      <c r="A65" s="255"/>
      <c r="B65" s="8" t="s">
        <v>1976</v>
      </c>
      <c r="C65" s="45" t="s">
        <v>318</v>
      </c>
      <c r="D65" s="45">
        <v>1</v>
      </c>
      <c r="E65" s="253" t="s">
        <v>1982</v>
      </c>
      <c r="F65" s="9"/>
      <c r="G65" s="46"/>
      <c r="H65" s="9"/>
      <c r="I65" s="9"/>
      <c r="J65" s="9"/>
      <c r="K65" s="9"/>
      <c r="L65" s="10"/>
      <c r="M65" s="10"/>
      <c r="N65" s="219"/>
    </row>
    <row r="66" spans="1:14" x14ac:dyDescent="0.3">
      <c r="A66" s="255"/>
      <c r="B66" s="8" t="s">
        <v>1977</v>
      </c>
      <c r="C66" s="45" t="s">
        <v>318</v>
      </c>
      <c r="D66" s="45">
        <v>1</v>
      </c>
      <c r="E66" s="253" t="s">
        <v>1983</v>
      </c>
      <c r="F66" s="9"/>
      <c r="G66" s="46"/>
      <c r="H66" s="9"/>
      <c r="I66" s="9"/>
      <c r="J66" s="9"/>
      <c r="K66" s="9"/>
      <c r="L66" s="10"/>
      <c r="M66" s="10"/>
      <c r="N66" s="219"/>
    </row>
    <row r="67" spans="1:14" x14ac:dyDescent="0.3">
      <c r="A67" s="255"/>
      <c r="B67" s="8" t="s">
        <v>1978</v>
      </c>
      <c r="C67" s="45" t="s">
        <v>318</v>
      </c>
      <c r="D67" s="45">
        <v>1</v>
      </c>
      <c r="E67" s="253" t="s">
        <v>1984</v>
      </c>
      <c r="F67" s="9"/>
      <c r="G67" s="46"/>
      <c r="H67" s="9"/>
      <c r="I67" s="9"/>
      <c r="J67" s="9"/>
      <c r="K67" s="9"/>
      <c r="L67" s="10"/>
      <c r="M67" s="10"/>
      <c r="N67" s="219"/>
    </row>
    <row r="68" spans="1:14" x14ac:dyDescent="0.3">
      <c r="A68" s="255"/>
      <c r="B68" s="8" t="s">
        <v>1979</v>
      </c>
      <c r="C68" s="45" t="s">
        <v>318</v>
      </c>
      <c r="D68" s="45">
        <v>1</v>
      </c>
      <c r="E68" s="253" t="s">
        <v>1985</v>
      </c>
      <c r="F68" s="9"/>
      <c r="G68" s="46"/>
      <c r="H68" s="9"/>
      <c r="I68" s="9"/>
      <c r="J68" s="9"/>
      <c r="K68" s="9"/>
      <c r="L68" s="10"/>
      <c r="M68" s="10"/>
      <c r="N68" s="219"/>
    </row>
    <row r="69" spans="1:14" x14ac:dyDescent="0.3">
      <c r="A69" s="7"/>
      <c r="B69" s="8" t="s">
        <v>1980</v>
      </c>
      <c r="C69" s="45" t="s">
        <v>318</v>
      </c>
      <c r="D69" s="45">
        <v>1</v>
      </c>
      <c r="E69" s="253" t="s">
        <v>1986</v>
      </c>
      <c r="F69" s="9"/>
      <c r="G69" s="46"/>
      <c r="H69" s="9"/>
      <c r="I69" s="9"/>
      <c r="J69" s="9"/>
      <c r="K69" s="9"/>
      <c r="L69" s="10"/>
      <c r="M69" s="10"/>
      <c r="N69" s="219"/>
    </row>
    <row r="70" spans="1:14" x14ac:dyDescent="0.3">
      <c r="A70" s="7"/>
      <c r="B70" s="8" t="s">
        <v>1981</v>
      </c>
      <c r="C70" s="45" t="s">
        <v>318</v>
      </c>
      <c r="D70" s="45">
        <v>1</v>
      </c>
      <c r="E70" s="253" t="s">
        <v>1987</v>
      </c>
      <c r="F70" s="9"/>
      <c r="G70" s="46"/>
      <c r="H70" s="9"/>
      <c r="I70" s="9"/>
      <c r="J70" s="9"/>
      <c r="K70" s="9"/>
      <c r="L70" s="10"/>
      <c r="M70" s="10"/>
      <c r="N70" s="219"/>
    </row>
  </sheetData>
  <phoneticPr fontId="10" type="noConversion"/>
  <pageMargins left="0.7" right="0.7" top="0.75" bottom="0.75" header="0.3" footer="0.3"/>
  <pageSetup paperSize="9" orientation="portrait" verticalDpi="0" r:id="rId1"/>
  <ignoredErrors>
    <ignoredError sqref="E64:E70" calculatedColumn="1"/>
  </ignoredErrors>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898B1-B9A9-4B67-B643-14656610C51C}">
  <dimension ref="A1:AH73"/>
  <sheetViews>
    <sheetView topLeftCell="A56" zoomScale="124" zoomScaleNormal="100" workbookViewId="0">
      <selection activeCell="C75" sqref="C75"/>
    </sheetView>
  </sheetViews>
  <sheetFormatPr defaultColWidth="10.54296875" defaultRowHeight="13" x14ac:dyDescent="0.3"/>
  <cols>
    <col min="1" max="1" width="7.7265625" style="30" bestFit="1" customWidth="1"/>
    <col min="2" max="2" width="15" style="30" bestFit="1" customWidth="1"/>
    <col min="3" max="3" width="16.1796875" style="30" customWidth="1"/>
    <col min="4" max="4" width="11.453125" style="30" customWidth="1"/>
    <col min="5" max="5" width="37.1796875" style="31" customWidth="1"/>
    <col min="6" max="6" width="23.81640625" style="31" bestFit="1" customWidth="1"/>
    <col min="7" max="7" width="21" style="31" customWidth="1"/>
    <col min="8" max="9" width="16.453125" style="31" customWidth="1"/>
    <col min="10" max="10" width="29.453125" style="31" customWidth="1"/>
    <col min="11" max="11" width="27.81640625" style="31" customWidth="1"/>
    <col min="12" max="13" width="15.7265625" style="30" bestFit="1" customWidth="1"/>
    <col min="14" max="14" width="23.7265625" style="30" customWidth="1"/>
    <col min="15" max="15" width="4.453125" style="61" customWidth="1"/>
    <col min="16" max="16" width="17.81640625" style="61" bestFit="1" customWidth="1"/>
    <col min="17" max="17" width="4.1796875" style="61" bestFit="1" customWidth="1"/>
    <col min="18" max="18" width="4.453125" style="61" bestFit="1" customWidth="1"/>
    <col min="19" max="19" width="10" style="61" bestFit="1" customWidth="1"/>
    <col min="20" max="20" width="10.1796875" style="61" bestFit="1" customWidth="1"/>
    <col min="21" max="21" width="5.1796875" style="61" bestFit="1" customWidth="1"/>
    <col min="22" max="24" width="10.54296875" style="61"/>
    <col min="25" max="25" width="10.54296875" style="6"/>
    <col min="26" max="26" width="75" style="6" bestFit="1" customWidth="1"/>
    <col min="27" max="16384" width="10.54296875" style="6"/>
  </cols>
  <sheetData>
    <row r="1" spans="1:34" ht="26" x14ac:dyDescent="0.3">
      <c r="A1" s="1" t="s">
        <v>334</v>
      </c>
      <c r="B1" s="2" t="s">
        <v>308</v>
      </c>
      <c r="C1" s="2" t="s">
        <v>335</v>
      </c>
      <c r="D1" s="2" t="s">
        <v>336</v>
      </c>
      <c r="E1" s="3" t="s">
        <v>337</v>
      </c>
      <c r="F1" s="3" t="s">
        <v>338</v>
      </c>
      <c r="G1" s="3" t="s">
        <v>459</v>
      </c>
      <c r="H1" s="3" t="s">
        <v>340</v>
      </c>
      <c r="I1" s="3" t="s">
        <v>341</v>
      </c>
      <c r="J1" s="3" t="s">
        <v>342</v>
      </c>
      <c r="K1" s="3" t="s">
        <v>343</v>
      </c>
      <c r="L1" s="4" t="s">
        <v>344</v>
      </c>
      <c r="M1" s="4" t="s">
        <v>345</v>
      </c>
      <c r="N1" s="5" t="s">
        <v>346</v>
      </c>
    </row>
    <row r="2" spans="1:34" ht="39" x14ac:dyDescent="0.3">
      <c r="A2" s="44" t="str">
        <f t="shared" ref="A2:A17" si="0">IF(ISNUMBER(SEARCH("CT",B2)),"1"&amp;MID(B2,2,FIND("CT",B2)-2)&amp;RIGHT(B2,1),MID(B2,2,FIND("C",B2)-2)&amp;RIGHT(B2,1))</f>
        <v>711</v>
      </c>
      <c r="B2" s="45" t="s">
        <v>1353</v>
      </c>
      <c r="C2" s="45" t="s">
        <v>319</v>
      </c>
      <c r="D2" s="45">
        <v>1</v>
      </c>
      <c r="E2" s="46" t="str">
        <f>IF(ISNUMBER(SEARCH("CT",B2)),
   "CrossTransferStation[" &amp; (Q$3 + COUNTIF($B$2:B2,"*CT*") - 1) &amp; "]",
   IF( OR(ISNUMBER(SEARCH("TT",B2)), AND(ISNUMBER(SEARCH("C",B2)), NOT(ISNUMBER(SEARCH("CT",B2)))) ),
      "ConveyorStation[" &amp; (Q$2 + COUNTIFS($B$2:B2,"*C*",$B$2:B2,"&lt;&gt;*CT*") + COUNTIF($B$2:B2,"*TT*") - 1) &amp; "]",
      ""))</f>
        <v>ConveyorStation[397]</v>
      </c>
      <c r="F2" s="9" t="s">
        <v>1354</v>
      </c>
      <c r="G2" s="53"/>
      <c r="H2" s="9"/>
      <c r="I2" s="9"/>
      <c r="J2" s="53" t="s">
        <v>1355</v>
      </c>
      <c r="K2" s="53"/>
      <c r="L2" s="47" t="s">
        <v>351</v>
      </c>
      <c r="M2" s="47" t="s">
        <v>351</v>
      </c>
      <c r="N2" s="11"/>
      <c r="P2" s="62" t="s">
        <v>352</v>
      </c>
      <c r="Q2" s="63">
        <v>397</v>
      </c>
    </row>
    <row r="3" spans="1:34" ht="14.5" x14ac:dyDescent="0.3">
      <c r="A3" s="44" t="str">
        <f t="shared" si="0"/>
        <v>712</v>
      </c>
      <c r="B3" s="45" t="s">
        <v>1356</v>
      </c>
      <c r="C3" s="45" t="s">
        <v>319</v>
      </c>
      <c r="D3" s="45">
        <v>1</v>
      </c>
      <c r="E3" s="46" t="str">
        <f>IF(ISNUMBER(SEARCH("CT",B3)),
   "CrossTransferStation[" &amp; (Q$3 + COUNTIF($B$2:B3,"*CT*") - 1) &amp; "]",
   IF( OR(ISNUMBER(SEARCH("TT",B3)), AND(ISNUMBER(SEARCH("C",B3)), NOT(ISNUMBER(SEARCH("CT",B3)))) ),
      "ConveyorStation[" &amp; (Q$2 + COUNTIFS($B$2:B3,"*C*",$B$2:B3,"&lt;&gt;*CT*") + COUNTIF($B$2:B3,"*TT*") - 1) &amp; "]",
      ""))</f>
        <v>ConveyorStation[398]</v>
      </c>
      <c r="F3" s="9" t="s">
        <v>1357</v>
      </c>
      <c r="G3" s="9"/>
      <c r="H3" s="9"/>
      <c r="I3" s="9"/>
      <c r="J3" s="9" t="s">
        <v>1358</v>
      </c>
      <c r="K3" s="9"/>
      <c r="L3" s="146" t="s">
        <v>351</v>
      </c>
      <c r="M3" s="146" t="s">
        <v>350</v>
      </c>
      <c r="N3" s="11"/>
      <c r="P3" s="62" t="s">
        <v>356</v>
      </c>
      <c r="Q3" s="63">
        <v>179</v>
      </c>
    </row>
    <row r="4" spans="1:34" ht="26" x14ac:dyDescent="0.3">
      <c r="A4" s="23" t="str">
        <f t="shared" si="0"/>
        <v>713</v>
      </c>
      <c r="B4" s="45" t="s">
        <v>1359</v>
      </c>
      <c r="C4" s="45" t="s">
        <v>319</v>
      </c>
      <c r="D4" s="45">
        <v>1</v>
      </c>
      <c r="E4" s="46" t="str">
        <f>IF(ISNUMBER(SEARCH("CT",B4)),
   "CrossTransferStation[" &amp; (Q$3 + COUNTIF($B$2:B4,"*CT*") - 1) &amp; "]",
   IF( OR(ISNUMBER(SEARCH("TT",B4)), AND(ISNUMBER(SEARCH("C",B4)), NOT(ISNUMBER(SEARCH("CT",B4)))) ),
      "ConveyorStation[" &amp; (Q$2 + COUNTIFS($B$2:B4,"*C*",$B$2:B4,"&lt;&gt;*CT*") + COUNTIF($B$2:B4,"*TT*") - 1) &amp; "]",
      ""))</f>
        <v>ConveyorStation[399]</v>
      </c>
      <c r="F4" s="9"/>
      <c r="G4" s="9"/>
      <c r="H4" s="9"/>
      <c r="I4" s="9"/>
      <c r="J4" s="9" t="s">
        <v>1360</v>
      </c>
      <c r="K4" s="9"/>
      <c r="L4" s="24" t="s">
        <v>350</v>
      </c>
      <c r="M4" s="24" t="s">
        <v>350</v>
      </c>
      <c r="N4" s="11"/>
      <c r="P4" s="62"/>
      <c r="Q4" s="64"/>
    </row>
    <row r="5" spans="1:34" ht="39" x14ac:dyDescent="0.3">
      <c r="A5" s="44" t="str">
        <f t="shared" si="0"/>
        <v>714</v>
      </c>
      <c r="B5" s="45" t="s">
        <v>1361</v>
      </c>
      <c r="C5" s="45" t="s">
        <v>319</v>
      </c>
      <c r="D5" s="45">
        <v>1</v>
      </c>
      <c r="E5" s="46" t="str">
        <f>IF(ISNUMBER(SEARCH("CT",B5)),
   "CrossTransferStation[" &amp; (Q$3 + COUNTIF($B$2:B5,"*CT*") - 1) &amp; "]",
   IF( OR(ISNUMBER(SEARCH("TT",B5)), AND(ISNUMBER(SEARCH("C",B5)), NOT(ISNUMBER(SEARCH("CT",B5)))) ),
      "ConveyorStation[" &amp; (Q$2 + COUNTIFS($B$2:B5,"*C*",$B$2:B5,"&lt;&gt;*CT*") + COUNTIF($B$2:B5,"*TT*") - 1) &amp; "]",
      ""))</f>
        <v>ConveyorStation[400]</v>
      </c>
      <c r="F5" s="9" t="s">
        <v>1362</v>
      </c>
      <c r="G5" s="9"/>
      <c r="H5" s="9"/>
      <c r="I5" s="9"/>
      <c r="J5" s="9" t="s">
        <v>1363</v>
      </c>
      <c r="K5" s="10" t="s">
        <v>470</v>
      </c>
      <c r="L5" s="47" t="s">
        <v>350</v>
      </c>
      <c r="M5" s="47" t="s">
        <v>351</v>
      </c>
      <c r="N5" s="11"/>
    </row>
    <row r="6" spans="1:34" ht="39" x14ac:dyDescent="0.3">
      <c r="A6" s="44" t="str">
        <f t="shared" si="0"/>
        <v>1711</v>
      </c>
      <c r="B6" s="45" t="s">
        <v>1364</v>
      </c>
      <c r="C6" s="45" t="s">
        <v>319</v>
      </c>
      <c r="D6" s="45">
        <v>1</v>
      </c>
      <c r="E6" s="46" t="str">
        <f>IF(ISNUMBER(SEARCH("CT",B6)),
   "CrossTransferStation[" &amp; (Q$3 + COUNTIF($B$2:B6,"*CT*") - 1) &amp; "]",
   IF( OR(ISNUMBER(SEARCH("TT",B6)), AND(ISNUMBER(SEARCH("C",B6)), NOT(ISNUMBER(SEARCH("CT",B6)))) ),
      "ConveyorStation[" &amp; (Q$2 + COUNTIFS($B$2:B6,"*C*",$B$2:B6,"&lt;&gt;*CT*") + COUNTIF($B$2:B6,"*TT*") - 1) &amp; "]",
      ""))</f>
        <v>CrossTransferStation[179]</v>
      </c>
      <c r="F6" s="9"/>
      <c r="G6" s="9"/>
      <c r="H6" s="9"/>
      <c r="I6" s="9"/>
      <c r="J6" s="27" t="s">
        <v>1365</v>
      </c>
      <c r="K6" s="27"/>
      <c r="L6" s="49" t="s">
        <v>350</v>
      </c>
      <c r="M6" s="49" t="s">
        <v>350</v>
      </c>
      <c r="N6" s="11"/>
      <c r="P6" s="65" t="s">
        <v>308</v>
      </c>
      <c r="Q6" s="65" t="s">
        <v>365</v>
      </c>
      <c r="R6" s="65" t="s">
        <v>366</v>
      </c>
      <c r="S6" s="65" t="s">
        <v>367</v>
      </c>
      <c r="T6" s="65" t="s">
        <v>368</v>
      </c>
      <c r="U6" s="68"/>
    </row>
    <row r="7" spans="1:34" ht="26" x14ac:dyDescent="0.3">
      <c r="A7" s="44" t="str">
        <f t="shared" si="0"/>
        <v>1712</v>
      </c>
      <c r="B7" s="45" t="s">
        <v>1366</v>
      </c>
      <c r="C7" s="45" t="s">
        <v>319</v>
      </c>
      <c r="D7" s="45">
        <v>1</v>
      </c>
      <c r="E7" s="46" t="str">
        <f>IF(ISNUMBER(SEARCH("CT",B7)),
   "CrossTransferStation[" &amp; (Q$3 + COUNTIF($B$2:B7,"*CT*") - 1) &amp; "]",
   IF( OR(ISNUMBER(SEARCH("TT",B7)), AND(ISNUMBER(SEARCH("C",B7)), NOT(ISNUMBER(SEARCH("CT",B7)))) ),
      "ConveyorStation[" &amp; (Q$2 + COUNTIFS($B$2:B7,"*C*",$B$2:B7,"&lt;&gt;*CT*") + COUNTIF($B$2:B7,"*TT*") - 1) &amp; "]",
      ""))</f>
        <v>CrossTransferStation[180]</v>
      </c>
      <c r="F7" s="9" t="s">
        <v>1367</v>
      </c>
      <c r="G7" s="9"/>
      <c r="H7" s="9"/>
      <c r="I7" s="9"/>
      <c r="J7" s="9" t="s">
        <v>1368</v>
      </c>
      <c r="K7" s="9"/>
      <c r="L7" s="47" t="s">
        <v>350</v>
      </c>
      <c r="M7" s="47" t="s">
        <v>351</v>
      </c>
      <c r="N7" s="11"/>
      <c r="P7" s="9" t="s">
        <v>322</v>
      </c>
      <c r="Q7" s="63">
        <v>397</v>
      </c>
      <c r="R7" s="63">
        <v>443</v>
      </c>
      <c r="S7" s="63">
        <v>10</v>
      </c>
      <c r="T7" s="63">
        <f>SUM(R7:S7)+1</f>
        <v>454</v>
      </c>
      <c r="U7" s="42">
        <f>T7-S7-Q7</f>
        <v>47</v>
      </c>
    </row>
    <row r="8" spans="1:34" ht="14.5" x14ac:dyDescent="0.3">
      <c r="A8" s="7" t="str">
        <f t="shared" si="0"/>
        <v>721</v>
      </c>
      <c r="B8" s="48" t="s">
        <v>1369</v>
      </c>
      <c r="C8" s="45" t="s">
        <v>319</v>
      </c>
      <c r="D8" s="45">
        <v>1</v>
      </c>
      <c r="E8" s="46" t="str">
        <f>IF(ISNUMBER(SEARCH("CT",B8)),
   "CrossTransferStation[" &amp; (Q$3 + COUNTIF($B$2:B8,"*CT*") - 1) &amp; "]",
   IF( OR(ISNUMBER(SEARCH("TT",B8)), AND(ISNUMBER(SEARCH("C",B8)), NOT(ISNUMBER(SEARCH("CT",B8)))) ),
      "ConveyorStation[" &amp; (Q$2 + COUNTIFS($B$2:B8,"*C*",$B$2:B8,"&lt;&gt;*CT*") + COUNTIF($B$2:B8,"*TT*") - 1) &amp; "]",
      ""))</f>
        <v>ConveyorStation[401]</v>
      </c>
      <c r="F8" s="9" t="s">
        <v>1370</v>
      </c>
      <c r="G8" s="9"/>
      <c r="H8" s="9"/>
      <c r="I8" s="9"/>
      <c r="J8" s="9" t="s">
        <v>1371</v>
      </c>
      <c r="K8" s="9"/>
      <c r="L8" s="47" t="s">
        <v>350</v>
      </c>
      <c r="M8" s="47" t="s">
        <v>351</v>
      </c>
      <c r="N8" s="11"/>
      <c r="P8" s="9" t="s">
        <v>323</v>
      </c>
      <c r="Q8" s="63">
        <v>179</v>
      </c>
      <c r="R8" s="63">
        <v>193</v>
      </c>
      <c r="S8" s="63">
        <v>10</v>
      </c>
      <c r="T8" s="63">
        <f t="shared" ref="T8:T13" si="1">SUM(R8:S8)+1</f>
        <v>204</v>
      </c>
      <c r="U8" s="42">
        <f t="shared" ref="U8:U17" si="2">T8-S8-Q8</f>
        <v>15</v>
      </c>
    </row>
    <row r="9" spans="1:34" ht="14.5" x14ac:dyDescent="0.3">
      <c r="A9" s="7" t="str">
        <f t="shared" si="0"/>
        <v>731</v>
      </c>
      <c r="B9" s="48" t="s">
        <v>1372</v>
      </c>
      <c r="C9" s="45" t="s">
        <v>319</v>
      </c>
      <c r="D9" s="45">
        <v>1</v>
      </c>
      <c r="E9" s="46" t="str">
        <f>IF(ISNUMBER(SEARCH("CT",B9)),
   "CrossTransferStation[" &amp; (Q$3 + COUNTIF($B$2:B9,"*CT*") - 1) &amp; "]",
   IF( OR(ISNUMBER(SEARCH("TT",B9)), AND(ISNUMBER(SEARCH("C",B9)), NOT(ISNUMBER(SEARCH("CT",B9)))) ),
      "ConveyorStation[" &amp; (Q$2 + COUNTIFS($B$2:B9,"*C*",$B$2:B9,"&lt;&gt;*CT*") + COUNTIF($B$2:B9,"*TT*") - 1) &amp; "]",
      ""))</f>
        <v>ConveyorStation[402]</v>
      </c>
      <c r="F9" s="9"/>
      <c r="G9" s="9"/>
      <c r="H9" s="9"/>
      <c r="I9" s="9"/>
      <c r="J9" s="9" t="s">
        <v>1373</v>
      </c>
      <c r="K9" s="9"/>
      <c r="L9" s="47" t="s">
        <v>350</v>
      </c>
      <c r="M9" s="47" t="s">
        <v>350</v>
      </c>
      <c r="N9" s="11"/>
      <c r="P9" s="9" t="s">
        <v>324</v>
      </c>
      <c r="Q9" s="63">
        <v>164</v>
      </c>
      <c r="R9" s="63">
        <v>184</v>
      </c>
      <c r="S9" s="63">
        <f>10-2</f>
        <v>8</v>
      </c>
      <c r="T9" s="63">
        <f t="shared" si="1"/>
        <v>193</v>
      </c>
      <c r="U9" s="42">
        <f t="shared" si="2"/>
        <v>21</v>
      </c>
    </row>
    <row r="10" spans="1:34" ht="14.5" x14ac:dyDescent="0.3">
      <c r="A10" s="7" t="str">
        <f t="shared" si="0"/>
        <v>732</v>
      </c>
      <c r="B10" s="48" t="s">
        <v>1374</v>
      </c>
      <c r="C10" s="45" t="s">
        <v>319</v>
      </c>
      <c r="D10" s="45">
        <v>1</v>
      </c>
      <c r="E10" s="46" t="str">
        <f>IF(ISNUMBER(SEARCH("CT",B10)),
   "CrossTransferStation[" &amp; (Q$3 + COUNTIF($B$2:B10,"*CT*") - 1) &amp; "]",
   IF( OR(ISNUMBER(SEARCH("TT",B10)), AND(ISNUMBER(SEARCH("C",B10)), NOT(ISNUMBER(SEARCH("CT",B10)))) ),
      "ConveyorStation[" &amp; (Q$2 + COUNTIFS($B$2:B10,"*C*",$B$2:B10,"&lt;&gt;*CT*") + COUNTIF($B$2:B10,"*TT*") - 1) &amp; "]",
      ""))</f>
        <v>ConveyorStation[403]</v>
      </c>
      <c r="F10" s="9"/>
      <c r="G10" s="9"/>
      <c r="H10" s="9"/>
      <c r="I10" s="9"/>
      <c r="J10" s="9" t="s">
        <v>1375</v>
      </c>
      <c r="K10" s="9"/>
      <c r="L10" s="47" t="s">
        <v>350</v>
      </c>
      <c r="M10" s="47" t="s">
        <v>350</v>
      </c>
      <c r="N10" s="11"/>
      <c r="P10" s="9" t="s">
        <v>325</v>
      </c>
      <c r="Q10" s="63">
        <v>143</v>
      </c>
      <c r="R10" s="63">
        <v>146</v>
      </c>
      <c r="S10" s="63">
        <v>10</v>
      </c>
      <c r="T10" s="63">
        <f t="shared" si="1"/>
        <v>157</v>
      </c>
      <c r="U10" s="42">
        <f t="shared" si="2"/>
        <v>4</v>
      </c>
    </row>
    <row r="11" spans="1:34" ht="39" x14ac:dyDescent="0.3">
      <c r="A11" s="7" t="str">
        <f t="shared" si="0"/>
        <v>1741</v>
      </c>
      <c r="B11" s="48" t="s">
        <v>1376</v>
      </c>
      <c r="C11" s="45" t="s">
        <v>319</v>
      </c>
      <c r="D11" s="45">
        <v>1</v>
      </c>
      <c r="E11" s="46" t="str">
        <f>IF(ISNUMBER(SEARCH("CT",B11)),
   "CrossTransferStation[" &amp; (Q$3 + COUNTIF($B$2:B11,"*CT*") - 1) &amp; "]",
   IF( OR(ISNUMBER(SEARCH("TT",B11)), AND(ISNUMBER(SEARCH("C",B11)), NOT(ISNUMBER(SEARCH("CT",B11)))) ),
      "ConveyorStation[" &amp; (Q$2 + COUNTIFS($B$2:B11,"*C*",$B$2:B11,"&lt;&gt;*CT*") + COUNTIF($B$2:B11,"*TT*") - 1) &amp; "]",
      ""))</f>
        <v>CrossTransferStation[181]</v>
      </c>
      <c r="F11" s="9" t="s">
        <v>1377</v>
      </c>
      <c r="G11" s="9"/>
      <c r="H11" s="9"/>
      <c r="I11" s="9"/>
      <c r="J11" s="9" t="s">
        <v>1378</v>
      </c>
      <c r="K11" s="10" t="s">
        <v>470</v>
      </c>
      <c r="L11" s="47" t="s">
        <v>351</v>
      </c>
      <c r="M11" s="47" t="s">
        <v>351</v>
      </c>
      <c r="N11" s="11"/>
      <c r="P11" s="9" t="s">
        <v>326</v>
      </c>
      <c r="Q11" s="63">
        <v>162</v>
      </c>
      <c r="R11" s="63">
        <v>165</v>
      </c>
      <c r="S11" s="63">
        <f>10+2</f>
        <v>12</v>
      </c>
      <c r="T11" s="63">
        <f t="shared" si="1"/>
        <v>178</v>
      </c>
      <c r="U11" s="42">
        <f t="shared" si="2"/>
        <v>4</v>
      </c>
      <c r="Y11" s="6">
        <v>7</v>
      </c>
      <c r="Z11" s="6" t="s">
        <v>1847</v>
      </c>
      <c r="AA11" s="6" t="s">
        <v>1848</v>
      </c>
      <c r="AB11" s="6" t="s">
        <v>1849</v>
      </c>
      <c r="AC11" s="6" t="s">
        <v>1850</v>
      </c>
      <c r="AE11" s="6" t="s">
        <v>1851</v>
      </c>
      <c r="AF11" s="237">
        <v>0.82005457175925922</v>
      </c>
      <c r="AG11" s="237">
        <v>0.82005457175925922</v>
      </c>
      <c r="AH11" s="6" t="s">
        <v>1846</v>
      </c>
    </row>
    <row r="12" spans="1:34" ht="14.5" x14ac:dyDescent="0.3">
      <c r="A12" s="7" t="str">
        <f t="shared" si="0"/>
        <v>751</v>
      </c>
      <c r="B12" s="48" t="s">
        <v>1379</v>
      </c>
      <c r="C12" s="45" t="s">
        <v>319</v>
      </c>
      <c r="D12" s="45">
        <v>1</v>
      </c>
      <c r="E12" s="231" t="str">
        <f>IF(ISNUMBER(SEARCH("CT",B12)),
   "CrossTransferStation[" &amp; (Q$3 + COUNTIF($B$2:B12,"*CT*") - 1) &amp; "]",
   IF( OR(ISNUMBER(SEARCH("TT",B12)), AND(ISNUMBER(SEARCH("C",B12)), NOT(ISNUMBER(SEARCH("CT",B12)))) ),
      "ConveyorStation[" &amp; (Q$2 + COUNTIFS($B$2:B12,"*C*",$B$2:B12,"&lt;&gt;*CT*") + COUNTIF($B$2:B12,"*TT*") - 1) &amp; "]",
      ""))</f>
        <v>ConveyorStation[404]</v>
      </c>
      <c r="F12" s="9"/>
      <c r="G12" s="9"/>
      <c r="H12" s="9"/>
      <c r="I12" s="9"/>
      <c r="J12" s="9" t="s">
        <v>1380</v>
      </c>
      <c r="K12" s="9"/>
      <c r="L12" s="47" t="s">
        <v>350</v>
      </c>
      <c r="M12" s="47" t="s">
        <v>350</v>
      </c>
      <c r="N12" s="11"/>
      <c r="P12" s="9" t="s">
        <v>327</v>
      </c>
      <c r="Q12" s="63">
        <v>91</v>
      </c>
      <c r="R12" s="63">
        <v>92</v>
      </c>
      <c r="S12" s="63">
        <v>10</v>
      </c>
      <c r="T12" s="63">
        <f t="shared" si="1"/>
        <v>103</v>
      </c>
      <c r="U12" s="42">
        <f t="shared" si="2"/>
        <v>2</v>
      </c>
    </row>
    <row r="13" spans="1:34" ht="14.5" x14ac:dyDescent="0.3">
      <c r="A13" s="7" t="str">
        <f t="shared" si="0"/>
        <v>761</v>
      </c>
      <c r="B13" s="48" t="s">
        <v>1381</v>
      </c>
      <c r="C13" s="45" t="s">
        <v>319</v>
      </c>
      <c r="D13" s="45">
        <v>1</v>
      </c>
      <c r="E13" s="231" t="str">
        <f>IF(ISNUMBER(SEARCH("CT",B13)),
   "CrossTransferStation[" &amp; (Q$3 + COUNTIF($B$2:B13,"*CT*") - 1) &amp; "]",
   IF( OR(ISNUMBER(SEARCH("TT",B13)), AND(ISNUMBER(SEARCH("C",B13)), NOT(ISNUMBER(SEARCH("CT",B13)))) ),
      "ConveyorStation[" &amp; (Q$2 + COUNTIFS($B$2:B13,"*C*",$B$2:B13,"&lt;&gt;*CT*") + COUNTIF($B$2:B13,"*TT*") - 1) &amp; "]",
      ""))</f>
        <v>ConveyorStation[405]</v>
      </c>
      <c r="F13" s="9"/>
      <c r="G13" s="9"/>
      <c r="H13" s="9"/>
      <c r="I13" s="9"/>
      <c r="J13" s="9" t="s">
        <v>1382</v>
      </c>
      <c r="K13" s="9"/>
      <c r="L13" s="47" t="s">
        <v>350</v>
      </c>
      <c r="M13" s="47" t="s">
        <v>350</v>
      </c>
      <c r="N13" s="11"/>
      <c r="P13" s="9" t="s">
        <v>328</v>
      </c>
      <c r="Q13" s="63">
        <v>70</v>
      </c>
      <c r="R13" s="63">
        <v>71</v>
      </c>
      <c r="S13" s="63">
        <v>10</v>
      </c>
      <c r="T13" s="63">
        <f t="shared" si="1"/>
        <v>82</v>
      </c>
      <c r="U13" s="42">
        <f t="shared" si="2"/>
        <v>2</v>
      </c>
    </row>
    <row r="14" spans="1:34" ht="26" x14ac:dyDescent="0.3">
      <c r="A14" s="7" t="str">
        <f t="shared" si="0"/>
        <v>1761</v>
      </c>
      <c r="B14" s="48" t="s">
        <v>1383</v>
      </c>
      <c r="C14" s="45" t="s">
        <v>319</v>
      </c>
      <c r="D14" s="45">
        <v>1</v>
      </c>
      <c r="E14" s="46" t="str">
        <f>IF(ISNUMBER(SEARCH("CT",B14)),
   "CrossTransferStation[" &amp; (Q$3 + COUNTIF($B$2:B14,"*CT*") - 1) &amp; "]",
   IF( OR(ISNUMBER(SEARCH("TT",B14)), AND(ISNUMBER(SEARCH("C",B14)), NOT(ISNUMBER(SEARCH("CT",B14)))) ),
      "ConveyorStation[" &amp; (Q$2 + COUNTIFS($B$2:B14,"*C*",$B$2:B14,"&lt;&gt;*CT*") + COUNTIF($B$2:B14,"*TT*") - 1) &amp; "]",
      ""))</f>
        <v>CrossTransferStation[182]</v>
      </c>
      <c r="F14" s="9" t="s">
        <v>1384</v>
      </c>
      <c r="G14" s="9"/>
      <c r="H14" s="9"/>
      <c r="I14" s="9"/>
      <c r="J14" s="27" t="s">
        <v>1385</v>
      </c>
      <c r="K14" s="27"/>
      <c r="L14" s="47" t="s">
        <v>351</v>
      </c>
      <c r="M14" s="47" t="s">
        <v>351</v>
      </c>
      <c r="N14" s="11"/>
      <c r="P14" s="9" t="s">
        <v>329</v>
      </c>
      <c r="Q14" s="63"/>
      <c r="R14" s="63"/>
      <c r="S14" s="63"/>
      <c r="T14" s="63">
        <f>'EZ8 Prod G+1&amp;2 AMB'!T14</f>
        <v>72</v>
      </c>
      <c r="U14" s="42"/>
    </row>
    <row r="15" spans="1:34" ht="14.5" x14ac:dyDescent="0.3">
      <c r="A15" s="7" t="str">
        <f t="shared" si="0"/>
        <v>771</v>
      </c>
      <c r="B15" s="48" t="s">
        <v>1386</v>
      </c>
      <c r="C15" s="45" t="s">
        <v>319</v>
      </c>
      <c r="D15" s="45">
        <v>1</v>
      </c>
      <c r="E15" s="46" t="str">
        <f>IF(ISNUMBER(SEARCH("CT",B15)),
   "CrossTransferStation[" &amp; (Q$3 + COUNTIF($B$2:B15,"*CT*") - 1) &amp; "]",
   IF( OR(ISNUMBER(SEARCH("TT",B15)), AND(ISNUMBER(SEARCH("C",B15)), NOT(ISNUMBER(SEARCH("CT",B15)))) ),
      "ConveyorStation[" &amp; (Q$2 + COUNTIFS($B$2:B15,"*C*",$B$2:B15,"&lt;&gt;*CT*") + COUNTIF($B$2:B15,"*TT*") - 1) &amp; "]",
      ""))</f>
        <v>ConveyorStation[406]</v>
      </c>
      <c r="F15" s="9"/>
      <c r="G15" s="9"/>
      <c r="H15" s="9"/>
      <c r="I15" s="9"/>
      <c r="J15" s="9" t="s">
        <v>1387</v>
      </c>
      <c r="K15" s="9"/>
      <c r="L15" s="47" t="s">
        <v>350</v>
      </c>
      <c r="M15" s="47" t="s">
        <v>350</v>
      </c>
      <c r="N15" s="11"/>
      <c r="P15" s="9" t="s">
        <v>185</v>
      </c>
      <c r="Q15" s="63"/>
      <c r="R15" s="63"/>
      <c r="S15" s="63"/>
      <c r="T15" s="63">
        <f>'EZ8 Prod G+1&amp;2 AMB'!T15</f>
        <v>89</v>
      </c>
      <c r="U15" s="42"/>
    </row>
    <row r="16" spans="1:34" ht="14.5" x14ac:dyDescent="0.3">
      <c r="A16" s="7" t="str">
        <f t="shared" si="0"/>
        <v>772</v>
      </c>
      <c r="B16" s="48" t="s">
        <v>1388</v>
      </c>
      <c r="C16" s="45" t="s">
        <v>319</v>
      </c>
      <c r="D16" s="45">
        <v>1</v>
      </c>
      <c r="E16" s="46" t="str">
        <f>IF(ISNUMBER(SEARCH("CT",B16)),
   "CrossTransferStation[" &amp; (Q$3 + COUNTIF($B$2:B16,"*CT*") - 1) &amp; "]",
   IF( OR(ISNUMBER(SEARCH("TT",B16)), AND(ISNUMBER(SEARCH("C",B16)), NOT(ISNUMBER(SEARCH("CT",B16)))) ),
      "ConveyorStation[" &amp; (Q$2 + COUNTIFS($B$2:B16,"*C*",$B$2:B16,"&lt;&gt;*CT*") + COUNTIF($B$2:B16,"*TT*") - 1) &amp; "]",
      ""))</f>
        <v>ConveyorStation[407]</v>
      </c>
      <c r="F16" s="9"/>
      <c r="G16" s="9"/>
      <c r="H16" s="9"/>
      <c r="I16" s="9"/>
      <c r="J16" s="9" t="s">
        <v>1389</v>
      </c>
      <c r="K16" s="9"/>
      <c r="L16" s="47" t="s">
        <v>350</v>
      </c>
      <c r="M16" s="47" t="s">
        <v>350</v>
      </c>
      <c r="N16" s="11"/>
      <c r="P16" s="9" t="s">
        <v>330</v>
      </c>
      <c r="Q16" s="63"/>
      <c r="R16" s="63"/>
      <c r="S16" s="63"/>
      <c r="T16" s="63">
        <f>'EZ8 Prod G+1&amp;2 AMB'!T16</f>
        <v>34</v>
      </c>
      <c r="U16" s="42"/>
    </row>
    <row r="17" spans="1:21" ht="14.5" x14ac:dyDescent="0.3">
      <c r="A17" s="7" t="str">
        <f t="shared" si="0"/>
        <v>773</v>
      </c>
      <c r="B17" s="48" t="s">
        <v>1390</v>
      </c>
      <c r="C17" s="45" t="s">
        <v>319</v>
      </c>
      <c r="D17" s="45">
        <v>1</v>
      </c>
      <c r="E17" s="46" t="str">
        <f>IF(ISNUMBER(SEARCH("CT",B17)),
   "CrossTransferStation[" &amp; (Q$3 + COUNTIF($B$2:B17,"*CT*") - 1) &amp; "]",
   IF( OR(ISNUMBER(SEARCH("TT",B17)), AND(ISNUMBER(SEARCH("C",B17)), NOT(ISNUMBER(SEARCH("CT",B17)))) ),
      "ConveyorStation[" &amp; (Q$2 + COUNTIFS($B$2:B17,"*C*",$B$2:B17,"&lt;&gt;*CT*") + COUNTIF($B$2:B17,"*TT*") - 1) &amp; "]",
      ""))</f>
        <v>ConveyorStation[408]</v>
      </c>
      <c r="F17" s="9"/>
      <c r="G17" s="9"/>
      <c r="H17" s="9"/>
      <c r="I17" s="9"/>
      <c r="J17" s="9" t="s">
        <v>1391</v>
      </c>
      <c r="K17" s="9"/>
      <c r="L17" s="47" t="s">
        <v>350</v>
      </c>
      <c r="M17" s="47" t="s">
        <v>350</v>
      </c>
      <c r="N17" s="11"/>
      <c r="P17" s="9" t="s">
        <v>331</v>
      </c>
      <c r="Q17" s="63">
        <v>82</v>
      </c>
      <c r="R17" s="63">
        <v>83</v>
      </c>
      <c r="S17" s="63">
        <v>10</v>
      </c>
      <c r="T17" s="63">
        <f t="shared" ref="T17" si="3">SUM(R17:S17)+1</f>
        <v>94</v>
      </c>
      <c r="U17" s="42">
        <f t="shared" si="2"/>
        <v>2</v>
      </c>
    </row>
    <row r="18" spans="1:21" ht="14.5" x14ac:dyDescent="0.3">
      <c r="A18" s="60" t="str">
        <f>IF(ISNUMBER(SEARCH("CT",B18)),"1"&amp;MID(B18,2,FIND("CT",B18)-2)&amp;RIGHT(B18,1),MID(B18,2,FIND("C",B18)-2)&amp;RIGHT(B18,1))</f>
        <v>774</v>
      </c>
      <c r="B18" s="48" t="s">
        <v>1392</v>
      </c>
      <c r="C18" s="45" t="s">
        <v>319</v>
      </c>
      <c r="D18" s="45">
        <v>1</v>
      </c>
      <c r="E18" s="46" t="str">
        <f>IF(ISNUMBER(SEARCH("CT",B18)),
   "CrossTransferStation[" &amp; (Q$3 + COUNTIF($B$2:B18,"*CT*") - 1) &amp; "]",
   IF( OR(ISNUMBER(SEARCH("TT",B18)), AND(ISNUMBER(SEARCH("C",B18)), NOT(ISNUMBER(SEARCH("CT",B18)))) ),
      "ConveyorStation[" &amp; (Q$2 + COUNTIFS($B$2:B18,"*C*",$B$2:B18,"&lt;&gt;*CT*") + COUNTIF($B$2:B18,"*TT*") - 1) &amp; "]",
      ""))</f>
        <v>ConveyorStation[409]</v>
      </c>
      <c r="F18" s="9"/>
      <c r="G18" s="27"/>
      <c r="H18" s="27"/>
      <c r="I18" s="27"/>
      <c r="J18" s="9" t="s">
        <v>1393</v>
      </c>
      <c r="K18" s="9"/>
      <c r="L18" s="47" t="s">
        <v>350</v>
      </c>
      <c r="M18" s="47" t="s">
        <v>350</v>
      </c>
      <c r="N18" s="29"/>
      <c r="P18" s="69" t="s">
        <v>201</v>
      </c>
      <c r="Q18" s="63"/>
      <c r="R18" s="63"/>
      <c r="S18" s="63"/>
      <c r="T18" s="63">
        <f>'EZ8 Prod G+1&amp;2 AMB'!T18</f>
        <v>29</v>
      </c>
      <c r="U18" s="42"/>
    </row>
    <row r="19" spans="1:21" ht="14.5" x14ac:dyDescent="0.3">
      <c r="A19" s="7" t="str">
        <f t="shared" ref="A19:A25" si="4">IF(ISNUMBER(SEARCH("CT",B19)),"1"&amp;MID(B19,2,FIND("CT",B19)-2)&amp;RIGHT(B19,1),MID(B19,2,FIND("C",B19)-2)&amp;RIGHT(B19,1))</f>
        <v>775</v>
      </c>
      <c r="B19" s="48" t="s">
        <v>1394</v>
      </c>
      <c r="C19" s="45" t="s">
        <v>319</v>
      </c>
      <c r="D19" s="45">
        <v>1</v>
      </c>
      <c r="E19" s="46" t="str">
        <f>IF(ISNUMBER(SEARCH("CT",B19)),
   "CrossTransferStation[" &amp; (Q$3 + COUNTIF($B$2:B19,"*CT*") - 1) &amp; "]",
   IF( OR(ISNUMBER(SEARCH("TT",B19)), AND(ISNUMBER(SEARCH("C",B19)), NOT(ISNUMBER(SEARCH("CT",B19)))) ),
      "ConveyorStation[" &amp; (Q$2 + COUNTIFS($B$2:B19,"*C*",$B$2:B19,"&lt;&gt;*CT*") + COUNTIF($B$2:B19,"*TT*") - 1) &amp; "]",
      ""))</f>
        <v>ConveyorStation[410]</v>
      </c>
      <c r="F19" s="9"/>
      <c r="G19" s="9"/>
      <c r="H19" s="9"/>
      <c r="I19" s="9"/>
      <c r="J19" s="9" t="s">
        <v>1395</v>
      </c>
      <c r="K19" s="9"/>
      <c r="L19" s="47" t="s">
        <v>350</v>
      </c>
      <c r="M19" s="47" t="s">
        <v>350</v>
      </c>
      <c r="N19" s="11"/>
      <c r="P19" s="69" t="s">
        <v>332</v>
      </c>
      <c r="Q19" s="63">
        <v>13</v>
      </c>
      <c r="R19" s="63">
        <v>14</v>
      </c>
      <c r="S19" s="63">
        <v>10</v>
      </c>
      <c r="T19" s="63">
        <f t="shared" ref="T19" si="5">SUM(R19:S19)+1</f>
        <v>25</v>
      </c>
      <c r="U19" s="42">
        <f t="shared" ref="U19" si="6">T19-S19-Q19</f>
        <v>2</v>
      </c>
    </row>
    <row r="20" spans="1:21" x14ac:dyDescent="0.3">
      <c r="A20" s="7" t="str">
        <f t="shared" si="4"/>
        <v>776</v>
      </c>
      <c r="B20" s="48" t="s">
        <v>1396</v>
      </c>
      <c r="C20" s="45" t="s">
        <v>319</v>
      </c>
      <c r="D20" s="45">
        <v>1</v>
      </c>
      <c r="E20" s="46" t="str">
        <f>IF(ISNUMBER(SEARCH("CT",B20)),
   "CrossTransferStation[" &amp; (Q$3 + COUNTIF($B$2:B20,"*CT*") - 1) &amp; "]",
   IF( OR(ISNUMBER(SEARCH("TT",B20)), AND(ISNUMBER(SEARCH("C",B20)), NOT(ISNUMBER(SEARCH("CT",B20)))) ),
      "ConveyorStation[" &amp; (Q$2 + COUNTIFS($B$2:B20,"*C*",$B$2:B20,"&lt;&gt;*CT*") + COUNTIF($B$2:B20,"*TT*") - 1) &amp; "]",
      ""))</f>
        <v>ConveyorStation[411]</v>
      </c>
      <c r="F20" s="9"/>
      <c r="G20" s="9"/>
      <c r="H20" s="9"/>
      <c r="I20" s="9"/>
      <c r="J20" s="9" t="s">
        <v>1397</v>
      </c>
      <c r="K20" s="9"/>
      <c r="L20" s="47" t="s">
        <v>350</v>
      </c>
      <c r="M20" s="47" t="s">
        <v>350</v>
      </c>
      <c r="N20" s="11"/>
    </row>
    <row r="21" spans="1:21" x14ac:dyDescent="0.3">
      <c r="A21" s="7" t="str">
        <f t="shared" si="4"/>
        <v>777</v>
      </c>
      <c r="B21" s="48" t="s">
        <v>1398</v>
      </c>
      <c r="C21" s="45" t="s">
        <v>319</v>
      </c>
      <c r="D21" s="45">
        <v>1</v>
      </c>
      <c r="E21" s="46" t="str">
        <f>IF(ISNUMBER(SEARCH("CT",B21)),
   "CrossTransferStation[" &amp; (Q$3 + COUNTIF($B$2:B21,"*CT*") - 1) &amp; "]",
   IF( OR(ISNUMBER(SEARCH("TT",B21)), AND(ISNUMBER(SEARCH("C",B21)), NOT(ISNUMBER(SEARCH("CT",B21)))) ),
      "ConveyorStation[" &amp; (Q$2 + COUNTIFS($B$2:B21,"*C*",$B$2:B21,"&lt;&gt;*CT*") + COUNTIF($B$2:B21,"*TT*") - 1) &amp; "]",
      ""))</f>
        <v>ConveyorStation[412]</v>
      </c>
      <c r="F21" s="227" t="s">
        <v>1399</v>
      </c>
      <c r="G21" s="9"/>
      <c r="H21" s="9"/>
      <c r="I21" s="9"/>
      <c r="J21" s="9" t="s">
        <v>1400</v>
      </c>
      <c r="K21" s="9"/>
      <c r="L21" s="229" t="s">
        <v>350</v>
      </c>
      <c r="M21" s="229" t="s">
        <v>350</v>
      </c>
      <c r="N21" s="11"/>
    </row>
    <row r="22" spans="1:21" x14ac:dyDescent="0.3">
      <c r="A22" s="7" t="str">
        <f t="shared" si="4"/>
        <v>778</v>
      </c>
      <c r="B22" s="48" t="s">
        <v>1401</v>
      </c>
      <c r="C22" s="45" t="s">
        <v>319</v>
      </c>
      <c r="D22" s="45">
        <v>1</v>
      </c>
      <c r="E22" s="46" t="str">
        <f>IF(ISNUMBER(SEARCH("CT",B22)),
   "CrossTransferStation[" &amp; (Q$3 + COUNTIF($B$2:B22,"*CT*") - 1) &amp; "]",
   IF( OR(ISNUMBER(SEARCH("TT",B22)), AND(ISNUMBER(SEARCH("C",B22)), NOT(ISNUMBER(SEARCH("CT",B22)))) ),
      "ConveyorStation[" &amp; (Q$2 + COUNTIFS($B$2:B22,"*C*",$B$2:B22,"&lt;&gt;*CT*") + COUNTIF($B$2:B22,"*TT*") - 1) &amp; "]",
      ""))</f>
        <v>ConveyorStation[413]</v>
      </c>
      <c r="F22" s="227" t="s">
        <v>1402</v>
      </c>
      <c r="G22" s="9"/>
      <c r="H22" s="9"/>
      <c r="I22" s="9"/>
      <c r="J22" s="9" t="s">
        <v>1403</v>
      </c>
      <c r="K22" s="9"/>
      <c r="L22" s="229" t="s">
        <v>350</v>
      </c>
      <c r="M22" s="229" t="s">
        <v>350</v>
      </c>
      <c r="N22" s="11"/>
    </row>
    <row r="23" spans="1:21" ht="39" x14ac:dyDescent="0.3">
      <c r="A23" s="7" t="str">
        <f t="shared" si="4"/>
        <v>779</v>
      </c>
      <c r="B23" s="48" t="s">
        <v>1404</v>
      </c>
      <c r="C23" s="45" t="s">
        <v>319</v>
      </c>
      <c r="D23" s="45">
        <v>1</v>
      </c>
      <c r="E23" s="46" t="str">
        <f>IF(ISNUMBER(SEARCH("CT",B23)),
   "CrossTransferStation[" &amp; (Q$3 + COUNTIF($B$2:B23,"*CT*") - 1) &amp; "]",
   IF( OR(ISNUMBER(SEARCH("TT",B23)), AND(ISNUMBER(SEARCH("C",B23)), NOT(ISNUMBER(SEARCH("CT",B23)))) ),
      "ConveyorStation[" &amp; (Q$2 + COUNTIFS($B$2:B23,"*C*",$B$2:B23,"&lt;&gt;*CT*") + COUNTIF($B$2:B23,"*TT*") - 1) &amp; "]",
      ""))</f>
        <v>ConveyorStation[414]</v>
      </c>
      <c r="F23" s="227" t="s">
        <v>1405</v>
      </c>
      <c r="G23" s="225" t="s">
        <v>1449</v>
      </c>
      <c r="H23" s="9"/>
      <c r="I23" s="9"/>
      <c r="J23" s="9" t="s">
        <v>1406</v>
      </c>
      <c r="K23" s="9"/>
      <c r="L23" s="229" t="s">
        <v>350</v>
      </c>
      <c r="M23" s="229" t="s">
        <v>350</v>
      </c>
      <c r="N23" s="152" t="s">
        <v>1802</v>
      </c>
    </row>
    <row r="24" spans="1:21" ht="26" x14ac:dyDescent="0.3">
      <c r="A24" s="7" t="str">
        <f t="shared" si="4"/>
        <v>1771</v>
      </c>
      <c r="B24" s="48" t="s">
        <v>1407</v>
      </c>
      <c r="C24" s="45" t="s">
        <v>319</v>
      </c>
      <c r="D24" s="45">
        <v>1</v>
      </c>
      <c r="E24" s="46" t="str">
        <f>IF(ISNUMBER(SEARCH("CT",B24)),
   "CrossTransferStation[" &amp; (Q$3 + COUNTIF($B$2:B24,"*CT*") - 1) &amp; "]",
   IF( OR(ISNUMBER(SEARCH("TT",B24)), AND(ISNUMBER(SEARCH("C",B24)), NOT(ISNUMBER(SEARCH("CT",B24)))) ),
      "ConveyorStation[" &amp; (Q$2 + COUNTIFS($B$2:B24,"*C*",$B$2:B24,"&lt;&gt;*CT*") + COUNTIF($B$2:B24,"*TT*") - 1) &amp; "]",
      ""))</f>
        <v>CrossTransferStation[183]</v>
      </c>
      <c r="F24" s="9" t="s">
        <v>1408</v>
      </c>
      <c r="G24" s="9"/>
      <c r="H24" s="9"/>
      <c r="I24" s="9"/>
      <c r="J24" s="27" t="s">
        <v>1409</v>
      </c>
      <c r="K24" s="27"/>
      <c r="L24" s="10" t="s">
        <v>351</v>
      </c>
      <c r="M24" s="10" t="s">
        <v>351</v>
      </c>
      <c r="N24" s="11"/>
    </row>
    <row r="25" spans="1:21" ht="26" x14ac:dyDescent="0.3">
      <c r="A25" s="7" t="str">
        <f t="shared" si="4"/>
        <v>1772</v>
      </c>
      <c r="B25" s="48" t="s">
        <v>1410</v>
      </c>
      <c r="C25" s="45" t="s">
        <v>319</v>
      </c>
      <c r="D25" s="45">
        <v>1</v>
      </c>
      <c r="E25" s="46" t="str">
        <f>IF(ISNUMBER(SEARCH("CT",B25)),
   "CrossTransferStation[" &amp; (Q$3 + COUNTIF($B$2:B25,"*CT*") - 1) &amp; "]",
   IF( OR(ISNUMBER(SEARCH("TT",B25)), AND(ISNUMBER(SEARCH("C",B25)), NOT(ISNUMBER(SEARCH("CT",B25)))) ),
      "ConveyorStation[" &amp; (Q$2 + COUNTIFS($B$2:B25,"*C*",$B$2:B25,"&lt;&gt;*CT*") + COUNTIF($B$2:B25,"*TT*") - 1) &amp; "]",
      ""))</f>
        <v>CrossTransferStation[184]</v>
      </c>
      <c r="F25" s="9" t="s">
        <v>1411</v>
      </c>
      <c r="G25" s="9"/>
      <c r="H25" s="9"/>
      <c r="I25" s="9"/>
      <c r="J25" s="27" t="s">
        <v>1412</v>
      </c>
      <c r="K25" s="27"/>
      <c r="L25" s="10" t="s">
        <v>351</v>
      </c>
      <c r="M25" s="10" t="s">
        <v>351</v>
      </c>
      <c r="N25" s="11"/>
    </row>
    <row r="26" spans="1:21" ht="52" x14ac:dyDescent="0.3">
      <c r="A26" s="7" t="str">
        <f>IF(ISNUMBER(SEARCH("CT",B26)),"1"&amp;MID(B26,2,FIND("CT",B26)-2)&amp;RIGHT(B26,1),MID(B26,2,FIND("C",B26)-2)&amp;RIGHT(B26,1))</f>
        <v>781</v>
      </c>
      <c r="B26" s="26" t="s">
        <v>1413</v>
      </c>
      <c r="C26" s="45" t="s">
        <v>319</v>
      </c>
      <c r="D26" s="45">
        <v>1</v>
      </c>
      <c r="E26" s="46" t="str">
        <f>IF(ISNUMBER(SEARCH("CT",B26)),
   "CrossTransferStation[" &amp; (Q$3 + COUNTIF($B$2:B26,"*CT*") - 1) &amp; "]",
   IF( OR(ISNUMBER(SEARCH("TT",B26)), AND(ISNUMBER(SEARCH("C",B26)), NOT(ISNUMBER(SEARCH("CT",B26)))) ),
      "ConveyorStation[" &amp; (Q$2 + COUNTIFS($B$2:B26,"*C*",$B$2:B26,"&lt;&gt;*CT*") + COUNTIF($B$2:B26,"*TT*") - 1) &amp; "]",
      ""))</f>
        <v>ConveyorStation[415]</v>
      </c>
      <c r="F26" s="227" t="s">
        <v>1414</v>
      </c>
      <c r="G26" s="225" t="s">
        <v>1498</v>
      </c>
      <c r="H26" s="9"/>
      <c r="I26" s="9"/>
      <c r="J26" s="9" t="s">
        <v>1415</v>
      </c>
      <c r="K26" s="9"/>
      <c r="L26" s="228" t="s">
        <v>350</v>
      </c>
      <c r="M26" s="228" t="s">
        <v>350</v>
      </c>
      <c r="N26" s="152" t="s">
        <v>1801</v>
      </c>
    </row>
    <row r="27" spans="1:21" x14ac:dyDescent="0.3">
      <c r="A27" s="7" t="str">
        <f>IF(ISNUMBER(SEARCH("CT",B27)),"1"&amp;MID(B27,2,FIND("CT",B27)-2)&amp;RIGHT(B27,1),MID(B27,2,FIND("C",B27)-2)&amp;RIGHT(B27,1))</f>
        <v>782</v>
      </c>
      <c r="B27" s="26" t="s">
        <v>1416</v>
      </c>
      <c r="C27" s="45" t="s">
        <v>319</v>
      </c>
      <c r="D27" s="45">
        <v>1</v>
      </c>
      <c r="E27" s="46" t="str">
        <f>IF(ISNUMBER(SEARCH("CT",B27)),
   "CrossTransferStation[" &amp; (Q$3 + COUNTIF($B$2:B27,"*CT*") - 1) &amp; "]",
   IF( OR(ISNUMBER(SEARCH("TT",B27)), AND(ISNUMBER(SEARCH("C",B27)), NOT(ISNUMBER(SEARCH("CT",B27)))) ),
      "ConveyorStation[" &amp; (Q$2 + COUNTIFS($B$2:B27,"*C*",$B$2:B27,"&lt;&gt;*CT*") + COUNTIF($B$2:B27,"*TT*") - 1) &amp; "]",
      ""))</f>
        <v>ConveyorStation[416]</v>
      </c>
      <c r="F27" s="227" t="s">
        <v>1417</v>
      </c>
      <c r="G27" s="9"/>
      <c r="H27" s="9"/>
      <c r="I27" s="9"/>
      <c r="J27" s="9" t="s">
        <v>1418</v>
      </c>
      <c r="K27" s="9"/>
      <c r="L27" s="228" t="s">
        <v>350</v>
      </c>
      <c r="M27" s="228" t="s">
        <v>350</v>
      </c>
      <c r="N27" s="11"/>
    </row>
    <row r="28" spans="1:21" x14ac:dyDescent="0.3">
      <c r="A28" s="60" t="str">
        <f>IF(ISNUMBER(SEARCH("CT",B28)),"1"&amp;MID(B28,2,FIND("CT",B28)-2)&amp;RIGHT(B28,1),MID(B28,2,FIND("C",B28)-2)&amp;RIGHT(B28,1))</f>
        <v>783</v>
      </c>
      <c r="B28" s="26" t="s">
        <v>1419</v>
      </c>
      <c r="C28" s="45" t="s">
        <v>319</v>
      </c>
      <c r="D28" s="45">
        <v>1</v>
      </c>
      <c r="E28" s="46" t="str">
        <f>IF(ISNUMBER(SEARCH("CT",B28)),
   "CrossTransferStation[" &amp; (Q$3 + COUNTIF($B$2:B28,"*CT*") - 1) &amp; "]",
   IF( OR(ISNUMBER(SEARCH("TT",B28)), AND(ISNUMBER(SEARCH("C",B28)), NOT(ISNUMBER(SEARCH("CT",B28)))) ),
      "ConveyorStation[" &amp; (Q$2 + COUNTIFS($B$2:B28,"*C*",$B$2:B28,"&lt;&gt;*CT*") + COUNTIF($B$2:B28,"*TT*") - 1) &amp; "]",
      ""))</f>
        <v>ConveyorStation[417]</v>
      </c>
      <c r="F28" s="227" t="s">
        <v>1420</v>
      </c>
      <c r="G28" s="27"/>
      <c r="H28" s="27"/>
      <c r="I28" s="27"/>
      <c r="J28" s="9" t="s">
        <v>1421</v>
      </c>
      <c r="K28" s="9"/>
      <c r="L28" s="228" t="s">
        <v>350</v>
      </c>
      <c r="M28" s="228" t="s">
        <v>350</v>
      </c>
      <c r="N28" s="29"/>
    </row>
    <row r="29" spans="1:21" x14ac:dyDescent="0.3">
      <c r="A29" s="7" t="str">
        <f t="shared" ref="A29:A35" si="7">IF(ISNUMBER(SEARCH("CT",B29)),"1"&amp;MID(B29,2,FIND("CT",B29)-2)&amp;RIGHT(B29,1),MID(B29,2,FIND("C",B29)-2)&amp;RIGHT(B29,1))</f>
        <v>784</v>
      </c>
      <c r="B29" s="26" t="s">
        <v>1422</v>
      </c>
      <c r="C29" s="45" t="s">
        <v>319</v>
      </c>
      <c r="D29" s="45">
        <v>1</v>
      </c>
      <c r="E29" s="46" t="str">
        <f>IF(ISNUMBER(SEARCH("CT",B29)),
   "CrossTransferStation[" &amp; (Q$3 + COUNTIF($B$2:B29,"*CT*") - 1) &amp; "]",
   IF( OR(ISNUMBER(SEARCH("TT",B29)), AND(ISNUMBER(SEARCH("C",B29)), NOT(ISNUMBER(SEARCH("CT",B29)))) ),
      "ConveyorStation[" &amp; (Q$2 + COUNTIFS($B$2:B29,"*C*",$B$2:B29,"&lt;&gt;*CT*") + COUNTIF($B$2:B29,"*TT*") - 1) &amp; "]",
      ""))</f>
        <v>ConveyorStation[418]</v>
      </c>
      <c r="F29" s="9"/>
      <c r="G29" s="9"/>
      <c r="H29" s="9"/>
      <c r="I29" s="9"/>
      <c r="J29" s="9" t="s">
        <v>1423</v>
      </c>
      <c r="K29" s="9"/>
      <c r="L29" s="47" t="s">
        <v>350</v>
      </c>
      <c r="M29" s="47" t="s">
        <v>350</v>
      </c>
      <c r="N29" s="11"/>
    </row>
    <row r="30" spans="1:21" x14ac:dyDescent="0.3">
      <c r="A30" s="7" t="str">
        <f t="shared" si="7"/>
        <v>785</v>
      </c>
      <c r="B30" s="26" t="s">
        <v>1424</v>
      </c>
      <c r="C30" s="45" t="s">
        <v>319</v>
      </c>
      <c r="D30" s="45">
        <v>1</v>
      </c>
      <c r="E30" s="46" t="str">
        <f>IF(ISNUMBER(SEARCH("CT",B30)),
   "CrossTransferStation[" &amp; (Q$3 + COUNTIF($B$2:B30,"*CT*") - 1) &amp; "]",
   IF( OR(ISNUMBER(SEARCH("TT",B30)), AND(ISNUMBER(SEARCH("C",B30)), NOT(ISNUMBER(SEARCH("CT",B30)))) ),
      "ConveyorStation[" &amp; (Q$2 + COUNTIFS($B$2:B30,"*C*",$B$2:B30,"&lt;&gt;*CT*") + COUNTIF($B$2:B30,"*TT*") - 1) &amp; "]",
      ""))</f>
        <v>ConveyorStation[419]</v>
      </c>
      <c r="F30" s="9"/>
      <c r="G30" s="9"/>
      <c r="H30" s="9"/>
      <c r="I30" s="9"/>
      <c r="J30" s="9" t="s">
        <v>1425</v>
      </c>
      <c r="K30" s="9"/>
      <c r="L30" s="47" t="s">
        <v>350</v>
      </c>
      <c r="M30" s="47" t="s">
        <v>350</v>
      </c>
      <c r="N30" s="11"/>
    </row>
    <row r="31" spans="1:21" x14ac:dyDescent="0.3">
      <c r="A31" s="7" t="str">
        <f t="shared" si="7"/>
        <v>786</v>
      </c>
      <c r="B31" s="26" t="s">
        <v>1426</v>
      </c>
      <c r="C31" s="45" t="s">
        <v>319</v>
      </c>
      <c r="D31" s="45">
        <v>1</v>
      </c>
      <c r="E31" s="46" t="str">
        <f>IF(ISNUMBER(SEARCH("CT",B31)),
   "CrossTransferStation[" &amp; (Q$3 + COUNTIF($B$2:B31,"*CT*") - 1) &amp; "]",
   IF( OR(ISNUMBER(SEARCH("TT",B31)), AND(ISNUMBER(SEARCH("C",B31)), NOT(ISNUMBER(SEARCH("CT",B31)))) ),
      "ConveyorStation[" &amp; (Q$2 + COUNTIFS($B$2:B31,"*C*",$B$2:B31,"&lt;&gt;*CT*") + COUNTIF($B$2:B31,"*TT*") - 1) &amp; "]",
      ""))</f>
        <v>ConveyorStation[420]</v>
      </c>
      <c r="F31" s="9"/>
      <c r="G31" s="9"/>
      <c r="H31" s="9"/>
      <c r="I31" s="9"/>
      <c r="J31" s="9" t="s">
        <v>1427</v>
      </c>
      <c r="K31" s="9"/>
      <c r="L31" s="47" t="s">
        <v>350</v>
      </c>
      <c r="M31" s="47" t="s">
        <v>350</v>
      </c>
      <c r="N31" s="11"/>
    </row>
    <row r="32" spans="1:21" x14ac:dyDescent="0.3">
      <c r="A32" s="7" t="str">
        <f t="shared" si="7"/>
        <v>787</v>
      </c>
      <c r="B32" s="26" t="s">
        <v>1428</v>
      </c>
      <c r="C32" s="45" t="s">
        <v>319</v>
      </c>
      <c r="D32" s="45">
        <v>1</v>
      </c>
      <c r="E32" s="46" t="str">
        <f>IF(ISNUMBER(SEARCH("CT",B32)),
   "CrossTransferStation[" &amp; (Q$3 + COUNTIF($B$2:B32,"*CT*") - 1) &amp; "]",
   IF( OR(ISNUMBER(SEARCH("TT",B32)), AND(ISNUMBER(SEARCH("C",B32)), NOT(ISNUMBER(SEARCH("CT",B32)))) ),
      "ConveyorStation[" &amp; (Q$2 + COUNTIFS($B$2:B32,"*C*",$B$2:B32,"&lt;&gt;*CT*") + COUNTIF($B$2:B32,"*TT*") - 1) &amp; "]",
      ""))</f>
        <v>ConveyorStation[421]</v>
      </c>
      <c r="F32" s="9"/>
      <c r="G32" s="9"/>
      <c r="H32" s="9"/>
      <c r="I32" s="9"/>
      <c r="J32" s="9" t="s">
        <v>1429</v>
      </c>
      <c r="K32" s="9"/>
      <c r="L32" s="47" t="s">
        <v>350</v>
      </c>
      <c r="M32" s="47" t="s">
        <v>350</v>
      </c>
      <c r="N32" s="11"/>
    </row>
    <row r="33" spans="1:14" x14ac:dyDescent="0.3">
      <c r="A33" s="7" t="str">
        <f t="shared" si="7"/>
        <v>788</v>
      </c>
      <c r="B33" s="26" t="s">
        <v>1430</v>
      </c>
      <c r="C33" s="45" t="s">
        <v>319</v>
      </c>
      <c r="D33" s="45">
        <v>1</v>
      </c>
      <c r="E33" s="46" t="str">
        <f>IF(ISNUMBER(SEARCH("CT",B33)),
   "CrossTransferStation[" &amp; (Q$3 + COUNTIF($B$2:B33,"*CT*") - 1) &amp; "]",
   IF( OR(ISNUMBER(SEARCH("TT",B33)), AND(ISNUMBER(SEARCH("C",B33)), NOT(ISNUMBER(SEARCH("CT",B33)))) ),
      "ConveyorStation[" &amp; (Q$2 + COUNTIFS($B$2:B33,"*C*",$B$2:B33,"&lt;&gt;*CT*") + COUNTIF($B$2:B33,"*TT*") - 1) &amp; "]",
      ""))</f>
        <v>ConveyorStation[422]</v>
      </c>
      <c r="F33" s="9"/>
      <c r="G33" s="9"/>
      <c r="H33" s="9"/>
      <c r="I33" s="9"/>
      <c r="J33" s="9" t="s">
        <v>1431</v>
      </c>
      <c r="K33" s="9"/>
      <c r="L33" s="47" t="s">
        <v>350</v>
      </c>
      <c r="M33" s="47" t="s">
        <v>350</v>
      </c>
      <c r="N33" s="11"/>
    </row>
    <row r="34" spans="1:14" x14ac:dyDescent="0.3">
      <c r="A34" s="7" t="str">
        <f t="shared" si="7"/>
        <v>789</v>
      </c>
      <c r="B34" s="26" t="s">
        <v>1432</v>
      </c>
      <c r="C34" s="45" t="s">
        <v>319</v>
      </c>
      <c r="D34" s="45">
        <v>1</v>
      </c>
      <c r="E34" s="46" t="str">
        <f>IF(ISNUMBER(SEARCH("CT",B34)),
   "CrossTransferStation[" &amp; (Q$3 + COUNTIF($B$2:B34,"*CT*") - 1) &amp; "]",
   IF( OR(ISNUMBER(SEARCH("TT",B34)), AND(ISNUMBER(SEARCH("C",B34)), NOT(ISNUMBER(SEARCH("CT",B34)))) ),
      "ConveyorStation[" &amp; (Q$2 + COUNTIFS($B$2:B34,"*C*",$B$2:B34,"&lt;&gt;*CT*") + COUNTIF($B$2:B34,"*TT*") - 1) &amp; "]",
      ""))</f>
        <v>ConveyorStation[423]</v>
      </c>
      <c r="F34" s="9"/>
      <c r="G34" s="9"/>
      <c r="H34" s="9"/>
      <c r="I34" s="9"/>
      <c r="J34" s="9" t="s">
        <v>1433</v>
      </c>
      <c r="K34" s="9"/>
      <c r="L34" s="47" t="s">
        <v>350</v>
      </c>
      <c r="M34" s="47" t="s">
        <v>350</v>
      </c>
      <c r="N34" s="11"/>
    </row>
    <row r="35" spans="1:14" x14ac:dyDescent="0.3">
      <c r="A35" s="7" t="str">
        <f t="shared" si="7"/>
        <v>780</v>
      </c>
      <c r="B35" s="26" t="s">
        <v>1434</v>
      </c>
      <c r="C35" s="45" t="s">
        <v>319</v>
      </c>
      <c r="D35" s="45">
        <v>1</v>
      </c>
      <c r="E35" s="46" t="str">
        <f>IF(ISNUMBER(SEARCH("CT",B35)),
   "CrossTransferStation[" &amp; (Q$3 + COUNTIF($B$2:B35,"*CT*") - 1) &amp; "]",
   IF( OR(ISNUMBER(SEARCH("TT",B35)), AND(ISNUMBER(SEARCH("C",B35)), NOT(ISNUMBER(SEARCH("CT",B35)))) ),
      "ConveyorStation[" &amp; (Q$2 + COUNTIFS($B$2:B35,"*C*",$B$2:B35,"&lt;&gt;*CT*") + COUNTIF($B$2:B35,"*TT*") - 1) &amp; "]",
      ""))</f>
        <v>ConveyorStation[424]</v>
      </c>
      <c r="F35" s="230" t="s">
        <v>1435</v>
      </c>
      <c r="G35" s="9"/>
      <c r="H35" s="9"/>
      <c r="I35" s="9"/>
      <c r="J35" s="9" t="s">
        <v>1436</v>
      </c>
      <c r="K35" s="9"/>
      <c r="L35" s="229" t="s">
        <v>350</v>
      </c>
      <c r="M35" s="229" t="s">
        <v>350</v>
      </c>
      <c r="N35" s="11"/>
    </row>
    <row r="36" spans="1:14" ht="26" x14ac:dyDescent="0.3">
      <c r="A36" s="7" t="str">
        <f>IF(ISNUMBER(SEARCH("CT",B36)),"1"&amp;MID(B36,2,FIND("CT",B36)-2)&amp;RIGHT(B36,1),MID(B36,2,FIND("C",B36)-2)&amp;RIGHT(B36,1))</f>
        <v>1781</v>
      </c>
      <c r="B36" s="26" t="s">
        <v>1437</v>
      </c>
      <c r="C36" s="45" t="s">
        <v>319</v>
      </c>
      <c r="D36" s="45">
        <v>1</v>
      </c>
      <c r="E36" s="46" t="str">
        <f>IF(ISNUMBER(SEARCH("CT",B36)),
   "CrossTransferStation[" &amp; (Q$3 + COUNTIF($B$2:B36,"*CT*") - 1) &amp; "]",
   IF( OR(ISNUMBER(SEARCH("TT",B36)), AND(ISNUMBER(SEARCH("C",B36)), NOT(ISNUMBER(SEARCH("CT",B36)))) ),
      "ConveyorStation[" &amp; (Q$2 + COUNTIFS($B$2:B36,"*C*",$B$2:B36,"&lt;&gt;*CT*") + COUNTIF($B$2:B36,"*TT*") - 1) &amp; "]",
      ""))</f>
        <v>CrossTransferStation[185]</v>
      </c>
      <c r="F36" s="9" t="s">
        <v>1438</v>
      </c>
      <c r="G36" s="9"/>
      <c r="H36" s="9"/>
      <c r="I36" s="9"/>
      <c r="J36" s="27" t="s">
        <v>1439</v>
      </c>
      <c r="K36" s="27"/>
      <c r="L36" s="10" t="s">
        <v>351</v>
      </c>
      <c r="M36" s="10" t="s">
        <v>351</v>
      </c>
      <c r="N36" s="11"/>
    </row>
    <row r="37" spans="1:14" x14ac:dyDescent="0.3">
      <c r="A37" s="60" t="str">
        <f>IF(ISNUMBER(SEARCH("CT",B37)),"1"&amp;MID(B37,2,FIND("CT",B37)-2)&amp;RIGHT(B37,1),MID(B37,2,FIND("C",B37)-2)&amp;RIGHT(B37,1))</f>
        <v>791</v>
      </c>
      <c r="B37" s="26" t="s">
        <v>1440</v>
      </c>
      <c r="C37" s="45" t="s">
        <v>319</v>
      </c>
      <c r="D37" s="45">
        <v>1</v>
      </c>
      <c r="E37" s="46" t="str">
        <f>IF(ISNUMBER(SEARCH("CT",B37)),
   "CrossTransferStation[" &amp; (Q$3 + COUNTIF($B$2:B37,"*CT*") - 1) &amp; "]",
   IF( OR(ISNUMBER(SEARCH("TT",B37)), AND(ISNUMBER(SEARCH("C",B37)), NOT(ISNUMBER(SEARCH("CT",B37)))) ),
      "ConveyorStation[" &amp; (Q$2 + COUNTIFS($B$2:B37,"*C*",$B$2:B37,"&lt;&gt;*CT*") + COUNTIF($B$2:B37,"*TT*") - 1) &amp; "]",
      ""))</f>
        <v>ConveyorStation[425]</v>
      </c>
      <c r="F37" s="27"/>
      <c r="G37" s="27"/>
      <c r="H37" s="27"/>
      <c r="I37" s="27"/>
      <c r="J37" s="9" t="s">
        <v>1441</v>
      </c>
      <c r="K37" s="9"/>
      <c r="L37" s="10" t="s">
        <v>350</v>
      </c>
      <c r="M37" s="10" t="s">
        <v>350</v>
      </c>
      <c r="N37" s="29"/>
    </row>
    <row r="38" spans="1:14" x14ac:dyDescent="0.3">
      <c r="A38" s="7" t="str">
        <f t="shared" ref="A38:A41" si="8">IF(ISNUMBER(SEARCH("CT",B38)),"1"&amp;MID(B38,2,FIND("CT",B38)-2)&amp;RIGHT(B38,1),MID(B38,2,FIND("C",B38)-2)&amp;RIGHT(B38,1))</f>
        <v>792</v>
      </c>
      <c r="B38" s="26" t="s">
        <v>1442</v>
      </c>
      <c r="C38" s="45" t="s">
        <v>319</v>
      </c>
      <c r="D38" s="45">
        <v>1</v>
      </c>
      <c r="E38" s="46" t="str">
        <f>IF(ISNUMBER(SEARCH("CT",B38)),
   "CrossTransferStation[" &amp; (Q$3 + COUNTIF($B$2:B38,"*CT*") - 1) &amp; "]",
   IF( OR(ISNUMBER(SEARCH("TT",B38)), AND(ISNUMBER(SEARCH("C",B38)), NOT(ISNUMBER(SEARCH("CT",B38)))) ),
      "ConveyorStation[" &amp; (Q$2 + COUNTIFS($B$2:B38,"*C*",$B$2:B38,"&lt;&gt;*CT*") + COUNTIF($B$2:B38,"*TT*") - 1) &amp; "]",
      ""))</f>
        <v>ConveyorStation[426]</v>
      </c>
      <c r="F38" s="9"/>
      <c r="G38" s="9"/>
      <c r="H38" s="9"/>
      <c r="I38" s="9"/>
      <c r="J38" s="9" t="s">
        <v>1443</v>
      </c>
      <c r="K38" s="9"/>
      <c r="L38" s="10" t="s">
        <v>350</v>
      </c>
      <c r="M38" s="10" t="s">
        <v>350</v>
      </c>
      <c r="N38" s="11"/>
    </row>
    <row r="39" spans="1:14" x14ac:dyDescent="0.3">
      <c r="A39" s="7" t="str">
        <f t="shared" si="8"/>
        <v>793</v>
      </c>
      <c r="B39" s="26" t="s">
        <v>1444</v>
      </c>
      <c r="C39" s="45" t="s">
        <v>319</v>
      </c>
      <c r="D39" s="45">
        <v>1</v>
      </c>
      <c r="E39" s="46" t="str">
        <f>IF(ISNUMBER(SEARCH("CT",B39)),
   "CrossTransferStation[" &amp; (Q$3 + COUNTIF($B$2:B39,"*CT*") - 1) &amp; "]",
   IF( OR(ISNUMBER(SEARCH("TT",B39)), AND(ISNUMBER(SEARCH("C",B39)), NOT(ISNUMBER(SEARCH("CT",B39)))) ),
      "ConveyorStation[" &amp; (Q$2 + COUNTIFS($B$2:B39,"*C*",$B$2:B39,"&lt;&gt;*CT*") + COUNTIF($B$2:B39,"*TT*") - 1) &amp; "]",
      ""))</f>
        <v>ConveyorStation[427]</v>
      </c>
      <c r="F39" s="9" t="s">
        <v>1445</v>
      </c>
      <c r="G39" s="9"/>
      <c r="H39" s="9"/>
      <c r="I39" s="9"/>
      <c r="J39" s="9" t="s">
        <v>1446</v>
      </c>
      <c r="K39" s="9"/>
      <c r="L39" s="10" t="s">
        <v>350</v>
      </c>
      <c r="M39" s="10" t="s">
        <v>351</v>
      </c>
      <c r="N39" s="11"/>
    </row>
    <row r="40" spans="1:14" ht="26" x14ac:dyDescent="0.3">
      <c r="A40" s="7" t="str">
        <f t="shared" si="8"/>
        <v>794</v>
      </c>
      <c r="B40" s="26" t="s">
        <v>1447</v>
      </c>
      <c r="C40" s="45" t="s">
        <v>319</v>
      </c>
      <c r="D40" s="45">
        <v>1</v>
      </c>
      <c r="E40" s="46" t="str">
        <f>IF(ISNUMBER(SEARCH("CT",B40)),
   "CrossTransferStation[" &amp; (Q$3 + COUNTIF($B$2:B40,"*CT*") - 1) &amp; "]",
   IF( OR(ISNUMBER(SEARCH("TT",B40)), AND(ISNUMBER(SEARCH("C",B40)), NOT(ISNUMBER(SEARCH("CT",B40)))) ),
      "ConveyorStation[" &amp; (Q$2 + COUNTIFS($B$2:B40,"*C*",$B$2:B40,"&lt;&gt;*CT*") + COUNTIF($B$2:B40,"*TT*") - 1) &amp; "]",
      ""))</f>
        <v>ConveyorStation[428]</v>
      </c>
      <c r="F40" s="9" t="s">
        <v>1448</v>
      </c>
      <c r="G40" s="150" t="s">
        <v>1449</v>
      </c>
      <c r="H40" s="9"/>
      <c r="I40" s="9"/>
      <c r="J40" s="9" t="s">
        <v>1450</v>
      </c>
      <c r="K40" s="10" t="s">
        <v>470</v>
      </c>
      <c r="L40" s="10" t="s">
        <v>351</v>
      </c>
      <c r="M40" s="10" t="s">
        <v>351</v>
      </c>
      <c r="N40" s="11"/>
    </row>
    <row r="41" spans="1:14" ht="39" x14ac:dyDescent="0.3">
      <c r="A41" s="7" t="str">
        <f t="shared" si="8"/>
        <v>1791</v>
      </c>
      <c r="B41" s="26" t="s">
        <v>1451</v>
      </c>
      <c r="C41" s="45" t="s">
        <v>319</v>
      </c>
      <c r="D41" s="45">
        <v>1</v>
      </c>
      <c r="E41" s="46" t="str">
        <f>IF(ISNUMBER(SEARCH("CT",B41)),
   "CrossTransferStation[" &amp; (Q$3 + COUNTIF($B$2:B41,"*CT*") - 1) &amp; "]",
   IF( OR(ISNUMBER(SEARCH("TT",B41)), AND(ISNUMBER(SEARCH("C",B41)), NOT(ISNUMBER(SEARCH("CT",B41)))) ),
      "ConveyorStation[" &amp; (Q$2 + COUNTIFS($B$2:B41,"*C*",$B$2:B41,"&lt;&gt;*CT*") + COUNTIF($B$2:B41,"*TT*") - 1) &amp; "]",
      ""))</f>
        <v>CrossTransferStation[186]</v>
      </c>
      <c r="F41" s="9" t="s">
        <v>1452</v>
      </c>
      <c r="G41" s="9"/>
      <c r="H41" s="9"/>
      <c r="I41" s="9"/>
      <c r="J41" s="9" t="s">
        <v>1453</v>
      </c>
      <c r="K41" s="10" t="s">
        <v>470</v>
      </c>
      <c r="L41" s="10" t="s">
        <v>351</v>
      </c>
      <c r="M41" s="10" t="s">
        <v>351</v>
      </c>
      <c r="N41" s="11"/>
    </row>
    <row r="42" spans="1:14" ht="39" x14ac:dyDescent="0.3">
      <c r="A42" s="7" t="str">
        <f>IF(ISNUMBER(SEARCH("CT",B42)),"1"&amp;MID(B42,2,FIND("CT",B42)-2)&amp;RIGHT(B42,1),MID(B42,2,FIND("C",B42)-2)&amp;RIGHT(B42,1))</f>
        <v>1792</v>
      </c>
      <c r="B42" s="26" t="s">
        <v>1454</v>
      </c>
      <c r="C42" s="45" t="s">
        <v>319</v>
      </c>
      <c r="D42" s="45">
        <v>1</v>
      </c>
      <c r="E42" s="46" t="str">
        <f>IF(ISNUMBER(SEARCH("CT",B42)),
   "CrossTransferStation[" &amp; (Q$3 + COUNTIF($B$2:B42,"*CT*") - 1) &amp; "]",
   IF( OR(ISNUMBER(SEARCH("TT",B42)), AND(ISNUMBER(SEARCH("C",B42)), NOT(ISNUMBER(SEARCH("CT",B42)))) ),
      "ConveyorStation[" &amp; (Q$2 + COUNTIFS($B$2:B42,"*C*",$B$2:B42,"&lt;&gt;*CT*") + COUNTIF($B$2:B42,"*TT*") - 1) &amp; "]",
      ""))</f>
        <v>CrossTransferStation[187]</v>
      </c>
      <c r="F42" s="9" t="s">
        <v>1455</v>
      </c>
      <c r="G42" s="9"/>
      <c r="H42" s="9"/>
      <c r="I42" s="9"/>
      <c r="J42" s="9" t="s">
        <v>1456</v>
      </c>
      <c r="K42" s="10" t="s">
        <v>470</v>
      </c>
      <c r="L42" s="10" t="s">
        <v>351</v>
      </c>
      <c r="M42" s="10" t="s">
        <v>351</v>
      </c>
      <c r="N42" s="11"/>
    </row>
    <row r="43" spans="1:14" x14ac:dyDescent="0.3">
      <c r="A43" s="7" t="str">
        <f>IF(ISNUMBER(SEARCH("CT",B43)),"1"&amp;MID(B43,2,FIND("CT",B43)-2)&amp;RIGHT(B43,1),MID(B43,2,FIND("C",B43)-2)&amp;RIGHT(B43,1))</f>
        <v>801</v>
      </c>
      <c r="B43" s="8" t="s">
        <v>1457</v>
      </c>
      <c r="C43" s="45" t="s">
        <v>319</v>
      </c>
      <c r="D43" s="45">
        <v>1</v>
      </c>
      <c r="E43" s="46" t="str">
        <f>IF(ISNUMBER(SEARCH("CT",B43)),
   "CrossTransferStation[" &amp; (Q$3 + COUNTIF($B$2:B43,"*CT*") - 1) &amp; "]",
   IF( OR(ISNUMBER(SEARCH("TT",B43)), AND(ISNUMBER(SEARCH("C",B43)), NOT(ISNUMBER(SEARCH("CT",B43)))) ),
      "ConveyorStation[" &amp; (Q$2 + COUNTIFS($B$2:B43,"*C*",$B$2:B43,"&lt;&gt;*CT*") + COUNTIF($B$2:B43,"*TT*") - 1) &amp; "]",
      ""))</f>
        <v>ConveyorStation[429]</v>
      </c>
      <c r="F43" s="222" t="s">
        <v>1458</v>
      </c>
      <c r="G43" s="9"/>
      <c r="H43" s="9"/>
      <c r="I43" s="9"/>
      <c r="J43" s="9" t="s">
        <v>1459</v>
      </c>
      <c r="K43" s="9"/>
      <c r="L43" s="217" t="s">
        <v>350</v>
      </c>
      <c r="M43" s="217" t="s">
        <v>350</v>
      </c>
      <c r="N43" s="11"/>
    </row>
    <row r="44" spans="1:14" ht="39" x14ac:dyDescent="0.3">
      <c r="A44" s="60" t="str">
        <f>IF(ISNUMBER(SEARCH("CT",B44)),"1"&amp;MID(B44,2,FIND("CT",B44)-2)&amp;RIGHT(B44,1),MID(B44,2,FIND("C",B44)-2)&amp;RIGHT(B44,1))</f>
        <v>811</v>
      </c>
      <c r="B44" s="26" t="s">
        <v>1460</v>
      </c>
      <c r="C44" s="45" t="s">
        <v>319</v>
      </c>
      <c r="D44" s="45">
        <v>1</v>
      </c>
      <c r="E44" s="46" t="str">
        <f>IF(ISNUMBER(SEARCH("CT",B44)),
   "CrossTransferStation[" &amp; (Q$3 + COUNTIF($B$2:B44,"*CT*") - 1) &amp; "]",
   IF( OR(ISNUMBER(SEARCH("TT",B44)), AND(ISNUMBER(SEARCH("C",B44)), NOT(ISNUMBER(SEARCH("CT",B44)))) ),
      "ConveyorStation[" &amp; (Q$2 + COUNTIFS($B$2:B44,"*C*",$B$2:B44,"&lt;&gt;*CT*") + COUNTIF($B$2:B44,"*TT*") - 1) &amp; "]",
      ""))</f>
        <v>ConveyorStation[430]</v>
      </c>
      <c r="F44" s="9" t="s">
        <v>1461</v>
      </c>
      <c r="G44" s="27"/>
      <c r="H44" s="27"/>
      <c r="I44" s="27"/>
      <c r="J44" s="53" t="s">
        <v>1462</v>
      </c>
      <c r="K44" s="88"/>
      <c r="L44" s="28" t="s">
        <v>351</v>
      </c>
      <c r="M44" s="28" t="s">
        <v>351</v>
      </c>
      <c r="N44" s="29"/>
    </row>
    <row r="45" spans="1:14" ht="14.5" x14ac:dyDescent="0.3">
      <c r="A45" s="60" t="str">
        <f>IF(ISNUMBER(SEARCH("CT",B45)),"1"&amp;MID(B45,2,FIND("CT",B45)-2)&amp;RIGHT(B45,1),MID(B45,2,FIND("C",B45)-2)&amp;RIGHT(B45,1))</f>
        <v>812</v>
      </c>
      <c r="B45" s="26" t="s">
        <v>1463</v>
      </c>
      <c r="C45" s="45" t="s">
        <v>319</v>
      </c>
      <c r="D45" s="45">
        <v>1</v>
      </c>
      <c r="E45" s="46" t="str">
        <f>IF(ISNUMBER(SEARCH("CT",B45)),
   "CrossTransferStation[" &amp; (Q$3 + COUNTIF($B$2:B45,"*CT*") - 1) &amp; "]",
   IF( OR(ISNUMBER(SEARCH("TT",B45)), AND(ISNUMBER(SEARCH("C",B45)), NOT(ISNUMBER(SEARCH("CT",B45)))) ),
      "ConveyorStation[" &amp; (Q$2 + COUNTIFS($B$2:B45,"*C*",$B$2:B45,"&lt;&gt;*CT*") + COUNTIF($B$2:B45,"*TT*") - 1) &amp; "]",
      ""))</f>
        <v>ConveyorStation[431]</v>
      </c>
      <c r="F45" s="27" t="s">
        <v>1464</v>
      </c>
      <c r="G45" s="27"/>
      <c r="H45" s="27"/>
      <c r="I45" s="27"/>
      <c r="J45" s="9" t="s">
        <v>1465</v>
      </c>
      <c r="K45" s="27"/>
      <c r="L45" s="146" t="s">
        <v>351</v>
      </c>
      <c r="M45" s="146" t="s">
        <v>350</v>
      </c>
      <c r="N45" s="29"/>
    </row>
    <row r="46" spans="1:14" ht="26" x14ac:dyDescent="0.3">
      <c r="A46" s="7" t="str">
        <f t="shared" ref="A46:A48" si="9">IF(ISNUMBER(SEARCH("CT",B46)),"1"&amp;MID(B46,2,FIND("CT",B46)-2)&amp;RIGHT(B46,1),MID(B46,2,FIND("C",B46)-2)&amp;RIGHT(B46,1))</f>
        <v>813</v>
      </c>
      <c r="B46" s="26" t="s">
        <v>1466</v>
      </c>
      <c r="C46" s="45" t="s">
        <v>319</v>
      </c>
      <c r="D46" s="45">
        <v>1</v>
      </c>
      <c r="E46" s="46" t="str">
        <f>IF(ISNUMBER(SEARCH("CT",B46)),
   "CrossTransferStation[" &amp; (Q$3 + COUNTIF($B$2:B46,"*CT*") - 1) &amp; "]",
   IF( OR(ISNUMBER(SEARCH("TT",B46)), AND(ISNUMBER(SEARCH("C",B46)), NOT(ISNUMBER(SEARCH("CT",B46)))) ),
      "ConveyorStation[" &amp; (Q$2 + COUNTIFS($B$2:B46,"*C*",$B$2:B46,"&lt;&gt;*CT*") + COUNTIF($B$2:B46,"*TT*") - 1) &amp; "]",
      ""))</f>
        <v>ConveyorStation[432]</v>
      </c>
      <c r="F46" s="9"/>
      <c r="G46" s="9"/>
      <c r="H46" s="9"/>
      <c r="I46" s="9"/>
      <c r="J46" s="9" t="s">
        <v>1467</v>
      </c>
      <c r="K46" s="9"/>
      <c r="L46" s="10" t="s">
        <v>350</v>
      </c>
      <c r="M46" s="10" t="s">
        <v>350</v>
      </c>
      <c r="N46" s="11"/>
    </row>
    <row r="47" spans="1:14" ht="39" x14ac:dyDescent="0.3">
      <c r="A47" s="7" t="str">
        <f t="shared" si="9"/>
        <v>814</v>
      </c>
      <c r="B47" s="26" t="s">
        <v>1468</v>
      </c>
      <c r="C47" s="45" t="s">
        <v>319</v>
      </c>
      <c r="D47" s="45">
        <v>1</v>
      </c>
      <c r="E47" s="46" t="str">
        <f>IF(ISNUMBER(SEARCH("CT",B47)),
   "CrossTransferStation[" &amp; (Q$3 + COUNTIF($B$2:B47,"*CT*") - 1) &amp; "]",
   IF( OR(ISNUMBER(SEARCH("TT",B47)), AND(ISNUMBER(SEARCH("C",B47)), NOT(ISNUMBER(SEARCH("CT",B47)))) ),
      "ConveyorStation[" &amp; (Q$2 + COUNTIFS($B$2:B47,"*C*",$B$2:B47,"&lt;&gt;*CT*") + COUNTIF($B$2:B47,"*TT*") - 1) &amp; "]",
      ""))</f>
        <v>ConveyorStation[433]</v>
      </c>
      <c r="F47" s="9" t="s">
        <v>1469</v>
      </c>
      <c r="G47" s="9"/>
      <c r="H47" s="9"/>
      <c r="I47" s="9"/>
      <c r="J47" s="9" t="s">
        <v>1470</v>
      </c>
      <c r="K47" s="10" t="s">
        <v>470</v>
      </c>
      <c r="L47" s="10" t="s">
        <v>350</v>
      </c>
      <c r="M47" s="10" t="s">
        <v>351</v>
      </c>
      <c r="N47" s="11"/>
    </row>
    <row r="48" spans="1:14" ht="39" x14ac:dyDescent="0.3">
      <c r="A48" s="7" t="str">
        <f t="shared" si="9"/>
        <v>1811</v>
      </c>
      <c r="B48" s="26" t="s">
        <v>1471</v>
      </c>
      <c r="C48" s="45" t="s">
        <v>319</v>
      </c>
      <c r="D48" s="45">
        <v>1</v>
      </c>
      <c r="E48" s="46" t="str">
        <f>IF(ISNUMBER(SEARCH("CT",B48)),
   "CrossTransferStation[" &amp; (Q$3 + COUNTIF($B$2:B48,"*CT*") - 1) &amp; "]",
   IF( OR(ISNUMBER(SEARCH("TT",B48)), AND(ISNUMBER(SEARCH("C",B48)), NOT(ISNUMBER(SEARCH("CT",B48)))) ),
      "ConveyorStation[" &amp; (Q$2 + COUNTIFS($B$2:B48,"*C*",$B$2:B48,"&lt;&gt;*CT*") + COUNTIF($B$2:B48,"*TT*") - 1) &amp; "]",
      ""))</f>
        <v>CrossTransferStation[188]</v>
      </c>
      <c r="F48" s="9"/>
      <c r="G48" s="9"/>
      <c r="H48" s="9"/>
      <c r="I48" s="9"/>
      <c r="J48" s="9" t="s">
        <v>1472</v>
      </c>
      <c r="K48" s="9"/>
      <c r="L48" s="10" t="s">
        <v>350</v>
      </c>
      <c r="M48" s="10" t="s">
        <v>350</v>
      </c>
      <c r="N48" s="11"/>
    </row>
    <row r="49" spans="1:14" ht="26" x14ac:dyDescent="0.3">
      <c r="A49" s="7" t="str">
        <f t="shared" ref="A49:A56" si="10">IF(ISNUMBER(SEARCH("CT",B49)),"1"&amp;MID(B49,2,FIND("CT",B49)-2)&amp;RIGHT(B49,1),MID(B49,2,FIND("C",B49)-2)&amp;RIGHT(B49,1))</f>
        <v>1812</v>
      </c>
      <c r="B49" s="26" t="s">
        <v>1473</v>
      </c>
      <c r="C49" s="45" t="s">
        <v>319</v>
      </c>
      <c r="D49" s="45">
        <v>1</v>
      </c>
      <c r="E49" s="46" t="str">
        <f>IF(ISNUMBER(SEARCH("CT",B49)),
   "CrossTransferStation[" &amp; (Q$3 + COUNTIF($B$2:B49,"*CT*") - 1) &amp; "]",
   IF( OR(ISNUMBER(SEARCH("TT",B49)), AND(ISNUMBER(SEARCH("C",B49)), NOT(ISNUMBER(SEARCH("CT",B49)))) ),
      "ConveyorStation[" &amp; (Q$2 + COUNTIFS($B$2:B49,"*C*",$B$2:B49,"&lt;&gt;*CT*") + COUNTIF($B$2:B49,"*TT*") - 1) &amp; "]",
      ""))</f>
        <v>CrossTransferStation[189]</v>
      </c>
      <c r="F49" s="9" t="s">
        <v>1474</v>
      </c>
      <c r="G49" s="9"/>
      <c r="H49" s="9"/>
      <c r="I49" s="9"/>
      <c r="J49" s="9" t="s">
        <v>1475</v>
      </c>
      <c r="K49" s="9"/>
      <c r="L49" s="10" t="s">
        <v>350</v>
      </c>
      <c r="M49" s="10" t="s">
        <v>351</v>
      </c>
      <c r="N49" s="11"/>
    </row>
    <row r="50" spans="1:14" x14ac:dyDescent="0.3">
      <c r="A50" s="7" t="str">
        <f t="shared" si="10"/>
        <v>821</v>
      </c>
      <c r="B50" s="8" t="s">
        <v>1476</v>
      </c>
      <c r="C50" s="45" t="s">
        <v>319</v>
      </c>
      <c r="D50" s="45">
        <v>1</v>
      </c>
      <c r="E50" s="46" t="str">
        <f>IF(ISNUMBER(SEARCH("CT",B50)),
   "CrossTransferStation[" &amp; (Q$3 + COUNTIF($B$2:B50,"*CT*") - 1) &amp; "]",
   IF( OR(ISNUMBER(SEARCH("TT",B50)), AND(ISNUMBER(SEARCH("C",B50)), NOT(ISNUMBER(SEARCH("CT",B50)))) ),
      "ConveyorStation[" &amp; (Q$2 + COUNTIFS($B$2:B50,"*C*",$B$2:B50,"&lt;&gt;*CT*") + COUNTIF($B$2:B50,"*TT*") - 1) &amp; "]",
      ""))</f>
        <v>ConveyorStation[434]</v>
      </c>
      <c r="F50" s="9" t="s">
        <v>1477</v>
      </c>
      <c r="G50" s="9"/>
      <c r="H50" s="9"/>
      <c r="I50" s="9"/>
      <c r="J50" s="9" t="s">
        <v>1478</v>
      </c>
      <c r="K50" s="9"/>
      <c r="L50" s="10" t="s">
        <v>350</v>
      </c>
      <c r="M50" s="10" t="s">
        <v>351</v>
      </c>
      <c r="N50" s="11"/>
    </row>
    <row r="51" spans="1:14" x14ac:dyDescent="0.3">
      <c r="A51" s="60" t="str">
        <f t="shared" si="10"/>
        <v>831</v>
      </c>
      <c r="B51" s="26" t="s">
        <v>1479</v>
      </c>
      <c r="C51" s="45" t="s">
        <v>319</v>
      </c>
      <c r="D51" s="45">
        <v>1</v>
      </c>
      <c r="E51" s="46" t="str">
        <f>IF(ISNUMBER(SEARCH("CT",B51)),
   "CrossTransferStation[" &amp; (Q$3 + COUNTIF($B$2:B51,"*CT*") - 1) &amp; "]",
   IF( OR(ISNUMBER(SEARCH("TT",B51)), AND(ISNUMBER(SEARCH("C",B51)), NOT(ISNUMBER(SEARCH("CT",B51)))) ),
      "ConveyorStation[" &amp; (Q$2 + COUNTIFS($B$2:B51,"*C*",$B$2:B51,"&lt;&gt;*CT*") + COUNTIF($B$2:B51,"*TT*") - 1) &amp; "]",
      ""))</f>
        <v>ConveyorStation[435]</v>
      </c>
      <c r="F51" s="9"/>
      <c r="G51" s="27"/>
      <c r="H51" s="27"/>
      <c r="I51" s="27"/>
      <c r="J51" s="9" t="s">
        <v>1480</v>
      </c>
      <c r="K51" s="27"/>
      <c r="L51" s="28" t="s">
        <v>350</v>
      </c>
      <c r="M51" s="28" t="s">
        <v>350</v>
      </c>
      <c r="N51" s="29"/>
    </row>
    <row r="52" spans="1:14" x14ac:dyDescent="0.3">
      <c r="A52" s="60" t="str">
        <f t="shared" si="10"/>
        <v>832</v>
      </c>
      <c r="B52" s="26" t="s">
        <v>1481</v>
      </c>
      <c r="C52" s="45" t="s">
        <v>319</v>
      </c>
      <c r="D52" s="45">
        <v>1</v>
      </c>
      <c r="E52" s="46" t="str">
        <f>IF(ISNUMBER(SEARCH("CT",B52)),
   "CrossTransferStation[" &amp; (Q$3 + COUNTIF($B$2:B52,"*CT*") - 1) &amp; "]",
   IF( OR(ISNUMBER(SEARCH("TT",B52)), AND(ISNUMBER(SEARCH("C",B52)), NOT(ISNUMBER(SEARCH("CT",B52)))) ),
      "ConveyorStation[" &amp; (Q$2 + COUNTIFS($B$2:B52,"*C*",$B$2:B52,"&lt;&gt;*CT*") + COUNTIF($B$2:B52,"*TT*") - 1) &amp; "]",
      ""))</f>
        <v>ConveyorStation[436]</v>
      </c>
      <c r="F52" s="27"/>
      <c r="G52" s="27"/>
      <c r="H52" s="27"/>
      <c r="I52" s="27"/>
      <c r="J52" s="9" t="s">
        <v>1482</v>
      </c>
      <c r="K52" s="27"/>
      <c r="L52" s="28" t="s">
        <v>350</v>
      </c>
      <c r="M52" s="28" t="s">
        <v>350</v>
      </c>
      <c r="N52" s="29"/>
    </row>
    <row r="53" spans="1:14" x14ac:dyDescent="0.3">
      <c r="A53" s="7" t="str">
        <f t="shared" si="10"/>
        <v>841</v>
      </c>
      <c r="B53" s="26" t="s">
        <v>1483</v>
      </c>
      <c r="C53" s="45" t="s">
        <v>319</v>
      </c>
      <c r="D53" s="45">
        <v>1</v>
      </c>
      <c r="E53" s="231" t="str">
        <f>IF(ISNUMBER(SEARCH("CT",B53)),
   "CrossTransferStation[" &amp; (Q$3 + COUNTIF($B$2:B53,"*CT*") - 1) &amp; "]",
   IF( OR(ISNUMBER(SEARCH("TT",B53)), AND(ISNUMBER(SEARCH("C",B53)), NOT(ISNUMBER(SEARCH("CT",B53)))) ),
      "ConveyorStation[" &amp; (Q$2 + COUNTIFS($B$2:B53,"*C*",$B$2:B53,"&lt;&gt;*CT*") + COUNTIF($B$2:B53,"*TT*") - 1) &amp; "]",
      ""))</f>
        <v>ConveyorStation[437]</v>
      </c>
      <c r="F53" s="9"/>
      <c r="G53" s="9"/>
      <c r="H53" s="9"/>
      <c r="I53" s="9"/>
      <c r="J53" s="9" t="s">
        <v>1446</v>
      </c>
      <c r="K53" s="9"/>
      <c r="L53" s="10" t="s">
        <v>350</v>
      </c>
      <c r="M53" s="10" t="s">
        <v>350</v>
      </c>
      <c r="N53" s="11"/>
    </row>
    <row r="54" spans="1:14" ht="26" x14ac:dyDescent="0.3">
      <c r="A54" s="60" t="str">
        <f t="shared" si="10"/>
        <v>1841</v>
      </c>
      <c r="B54" s="26" t="s">
        <v>1484</v>
      </c>
      <c r="C54" s="45" t="s">
        <v>319</v>
      </c>
      <c r="D54" s="45">
        <v>1</v>
      </c>
      <c r="E54" s="46" t="str">
        <f>IF(ISNUMBER(SEARCH("CT",B54)),
   "CrossTransferStation[" &amp; (Q$3 + COUNTIF($B$2:B54,"*CT*") - 1) &amp; "]",
   IF( OR(ISNUMBER(SEARCH("TT",B54)), AND(ISNUMBER(SEARCH("C",B54)), NOT(ISNUMBER(SEARCH("CT",B54)))) ),
      "ConveyorStation[" &amp; (Q$2 + COUNTIFS($B$2:B54,"*C*",$B$2:B54,"&lt;&gt;*CT*") + COUNTIF($B$2:B54,"*TT*") - 1) &amp; "]",
      ""))</f>
        <v>CrossTransferStation[190]</v>
      </c>
      <c r="F54" s="46" t="s">
        <v>1485</v>
      </c>
      <c r="G54" s="27"/>
      <c r="H54" s="27"/>
      <c r="I54" s="27"/>
      <c r="J54" s="9" t="s">
        <v>1486</v>
      </c>
      <c r="K54" s="27"/>
      <c r="L54" s="28" t="s">
        <v>351</v>
      </c>
      <c r="M54" s="28" t="s">
        <v>351</v>
      </c>
      <c r="N54" s="29"/>
    </row>
    <row r="55" spans="1:14" x14ac:dyDescent="0.3">
      <c r="A55" s="7" t="str">
        <f t="shared" si="10"/>
        <v>851</v>
      </c>
      <c r="B55" s="26" t="s">
        <v>1487</v>
      </c>
      <c r="C55" s="45" t="s">
        <v>319</v>
      </c>
      <c r="D55" s="45">
        <v>1</v>
      </c>
      <c r="E55" s="231" t="str">
        <f>IF(ISNUMBER(SEARCH("CT",B55)),
   "CrossTransferStation[" &amp; (Q$3 + COUNTIF($B$2:B55,"*CT*") - 1) &amp; "]",
   IF( OR(ISNUMBER(SEARCH("TT",B55)), AND(ISNUMBER(SEARCH("C",B55)), NOT(ISNUMBER(SEARCH("CT",B55)))) ),
      "ConveyorStation[" &amp; (Q$2 + COUNTIFS($B$2:B55,"*C*",$B$2:B55,"&lt;&gt;*CT*") + COUNTIF($B$2:B55,"*TT*") - 1) &amp; "]",
      ""))</f>
        <v>ConveyorStation[438]</v>
      </c>
      <c r="F55" s="9"/>
      <c r="G55" s="9"/>
      <c r="H55" s="9"/>
      <c r="I55" s="9"/>
      <c r="J55" s="9" t="s">
        <v>1488</v>
      </c>
      <c r="K55" s="9"/>
      <c r="L55" s="10" t="s">
        <v>350</v>
      </c>
      <c r="M55" s="10" t="s">
        <v>350</v>
      </c>
      <c r="N55" s="11"/>
    </row>
    <row r="56" spans="1:14" ht="26" x14ac:dyDescent="0.3">
      <c r="A56" s="60" t="str">
        <f t="shared" si="10"/>
        <v>852</v>
      </c>
      <c r="B56" s="26" t="s">
        <v>1489</v>
      </c>
      <c r="C56" s="45" t="s">
        <v>319</v>
      </c>
      <c r="D56" s="45">
        <v>1</v>
      </c>
      <c r="E56" s="46" t="str">
        <f>IF(ISNUMBER(SEARCH("CT",B56)),
   "CrossTransferStation[" &amp; (Q$3 + COUNTIF($B$2:B56,"*CT*") - 1) &amp; "]",
   IF( OR(ISNUMBER(SEARCH("TT",B56)), AND(ISNUMBER(SEARCH("C",B56)), NOT(ISNUMBER(SEARCH("CT",B56)))) ),
      "ConveyorStation[" &amp; (Q$2 + COUNTIFS($B$2:B56,"*C*",$B$2:B56,"&lt;&gt;*CT*") + COUNTIF($B$2:B56,"*TT*") - 1) &amp; "]",
      ""))</f>
        <v>ConveyorStation[439]</v>
      </c>
      <c r="F56" s="27"/>
      <c r="G56" s="27"/>
      <c r="H56" s="27"/>
      <c r="I56" s="27"/>
      <c r="J56" s="9" t="s">
        <v>1490</v>
      </c>
      <c r="K56" s="9"/>
      <c r="L56" s="10" t="s">
        <v>350</v>
      </c>
      <c r="M56" s="10" t="s">
        <v>350</v>
      </c>
      <c r="N56" s="29"/>
    </row>
    <row r="57" spans="1:14" x14ac:dyDescent="0.3">
      <c r="A57" s="7" t="str">
        <f t="shared" ref="A57:A59" si="11">IF(ISNUMBER(SEARCH("CT",B57)),"1"&amp;MID(B57,2,FIND("CT",B57)-2)&amp;RIGHT(B57,1),MID(B57,2,FIND("C",B57)-2)&amp;RIGHT(B57,1))</f>
        <v>853</v>
      </c>
      <c r="B57" s="26" t="s">
        <v>1491</v>
      </c>
      <c r="C57" s="45" t="s">
        <v>319</v>
      </c>
      <c r="D57" s="45">
        <v>1</v>
      </c>
      <c r="E57" s="46" t="str">
        <f>IF(ISNUMBER(SEARCH("CT",B57)),
   "CrossTransferStation[" &amp; (Q$3 + COUNTIF($B$2:B57,"*CT*") - 1) &amp; "]",
   IF( OR(ISNUMBER(SEARCH("TT",B57)), AND(ISNUMBER(SEARCH("C",B57)), NOT(ISNUMBER(SEARCH("CT",B57)))) ),
      "ConveyorStation[" &amp; (Q$2 + COUNTIFS($B$2:B57,"*C*",$B$2:B57,"&lt;&gt;*CT*") + COUNTIF($B$2:B57,"*TT*") - 1) &amp; "]",
      ""))</f>
        <v>ConveyorStation[440]</v>
      </c>
      <c r="F57" s="9"/>
      <c r="G57" s="9"/>
      <c r="H57" s="9"/>
      <c r="I57" s="9"/>
      <c r="J57" s="9" t="s">
        <v>1492</v>
      </c>
      <c r="K57" s="9"/>
      <c r="L57" s="10" t="s">
        <v>350</v>
      </c>
      <c r="M57" s="10" t="s">
        <v>350</v>
      </c>
      <c r="N57" s="11"/>
    </row>
    <row r="58" spans="1:14" x14ac:dyDescent="0.3">
      <c r="A58" s="7" t="str">
        <f t="shared" si="11"/>
        <v>854</v>
      </c>
      <c r="B58" s="26" t="s">
        <v>1493</v>
      </c>
      <c r="C58" s="45" t="s">
        <v>319</v>
      </c>
      <c r="D58" s="45">
        <v>1</v>
      </c>
      <c r="E58" s="46" t="str">
        <f>IF(ISNUMBER(SEARCH("CT",B58)),
   "CrossTransferStation[" &amp; (Q$3 + COUNTIF($B$2:B58,"*CT*") - 1) &amp; "]",
   IF( OR(ISNUMBER(SEARCH("TT",B58)), AND(ISNUMBER(SEARCH("C",B58)), NOT(ISNUMBER(SEARCH("CT",B58)))) ),
      "ConveyorStation[" &amp; (Q$2 + COUNTIFS($B$2:B58,"*C*",$B$2:B58,"&lt;&gt;*CT*") + COUNTIF($B$2:B58,"*TT*") - 1) &amp; "]",
      ""))</f>
        <v>ConveyorStation[441]</v>
      </c>
      <c r="F58" s="9" t="s">
        <v>1494</v>
      </c>
      <c r="G58" s="9"/>
      <c r="H58" s="9"/>
      <c r="I58" s="9"/>
      <c r="J58" s="9" t="s">
        <v>1495</v>
      </c>
      <c r="K58" s="9"/>
      <c r="L58" s="10" t="s">
        <v>350</v>
      </c>
      <c r="M58" s="10" t="s">
        <v>351</v>
      </c>
      <c r="N58" s="11"/>
    </row>
    <row r="59" spans="1:14" ht="26" x14ac:dyDescent="0.3">
      <c r="A59" s="7" t="str">
        <f t="shared" si="11"/>
        <v>855</v>
      </c>
      <c r="B59" s="26" t="s">
        <v>1496</v>
      </c>
      <c r="C59" s="45" t="s">
        <v>319</v>
      </c>
      <c r="D59" s="45">
        <v>1</v>
      </c>
      <c r="E59" s="46" t="str">
        <f>IF(ISNUMBER(SEARCH("CT",B59)),
   "CrossTransferStation[" &amp; (Q$3 + COUNTIF($B$2:B59,"*CT*") - 1) &amp; "]",
   IF( OR(ISNUMBER(SEARCH("TT",B59)), AND(ISNUMBER(SEARCH("C",B59)), NOT(ISNUMBER(SEARCH("CT",B59)))) ),
      "ConveyorStation[" &amp; (Q$2 + COUNTIFS($B$2:B59,"*C*",$B$2:B59,"&lt;&gt;*CT*") + COUNTIF($B$2:B59,"*TT*") - 1) &amp; "]",
      ""))</f>
        <v>ConveyorStation[442]</v>
      </c>
      <c r="F59" s="9" t="s">
        <v>1497</v>
      </c>
      <c r="G59" s="150" t="s">
        <v>1498</v>
      </c>
      <c r="H59" s="9"/>
      <c r="I59" s="9"/>
      <c r="J59" s="9" t="s">
        <v>1499</v>
      </c>
      <c r="K59" s="10" t="s">
        <v>470</v>
      </c>
      <c r="L59" s="10" t="s">
        <v>351</v>
      </c>
      <c r="M59" s="10" t="s">
        <v>351</v>
      </c>
      <c r="N59" s="11"/>
    </row>
    <row r="60" spans="1:14" s="61" customFormat="1" ht="39" x14ac:dyDescent="0.3">
      <c r="A60" s="7" t="str">
        <f>IF(ISNUMBER(SEARCH("CT",B60)),"1"&amp;MID(B60,2,FIND("CT",B60)-2)&amp;RIGHT(B60,1),MID(B60,2,FIND("C",B60)-2)&amp;RIGHT(B60,1))</f>
        <v>1851</v>
      </c>
      <c r="B60" s="26" t="s">
        <v>1500</v>
      </c>
      <c r="C60" s="45" t="s">
        <v>319</v>
      </c>
      <c r="D60" s="45">
        <v>1</v>
      </c>
      <c r="E60" s="46" t="str">
        <f>IF(ISNUMBER(SEARCH("CT",B60)),
   "CrossTransferStation[" &amp; (Q$3 + COUNTIF($B$2:B60,"*CT*") - 1) &amp; "]",
   IF( OR(ISNUMBER(SEARCH("TT",B60)), AND(ISNUMBER(SEARCH("C",B60)), NOT(ISNUMBER(SEARCH("CT",B60)))) ),
      "ConveyorStation[" &amp; (Q$2 + COUNTIFS($B$2:B60,"*C*",$B$2:B60,"&lt;&gt;*CT*") + COUNTIF($B$2:B60,"*TT*") - 1) &amp; "]",
      ""))</f>
        <v>CrossTransferStation[191]</v>
      </c>
      <c r="F60" s="46" t="s">
        <v>1501</v>
      </c>
      <c r="G60" s="9"/>
      <c r="H60" s="9"/>
      <c r="I60" s="9"/>
      <c r="J60" s="9" t="s">
        <v>1502</v>
      </c>
      <c r="K60" s="10" t="s">
        <v>470</v>
      </c>
      <c r="L60" s="10" t="s">
        <v>351</v>
      </c>
      <c r="M60" s="10" t="s">
        <v>351</v>
      </c>
      <c r="N60" s="11"/>
    </row>
    <row r="61" spans="1:14" s="61" customFormat="1" ht="26" x14ac:dyDescent="0.3">
      <c r="A61" s="7" t="str">
        <f>IF(ISNUMBER(SEARCH("CT",B61)),"1"&amp;MID(B61,2,FIND("CT",B61)-2)&amp;RIGHT(B61,1),MID(B61,2,FIND("C",B61)-2)&amp;RIGHT(B61,1))</f>
        <v>1852</v>
      </c>
      <c r="B61" s="26" t="s">
        <v>1503</v>
      </c>
      <c r="C61" s="45" t="s">
        <v>319</v>
      </c>
      <c r="D61" s="45">
        <v>1</v>
      </c>
      <c r="E61" s="46" t="str">
        <f>IF(ISNUMBER(SEARCH("CT",B61)),
   "CrossTransferStation[" &amp; (Q$3 + COUNTIF($B$2:B61,"*CT*") - 1) &amp; "]",
   IF( OR(ISNUMBER(SEARCH("TT",B61)), AND(ISNUMBER(SEARCH("C",B61)), NOT(ISNUMBER(SEARCH("CT",B61)))) ),
      "ConveyorStation[" &amp; (Q$2 + COUNTIFS($B$2:B61,"*C*",$B$2:B61,"&lt;&gt;*CT*") + COUNTIF($B$2:B61,"*TT*") - 1) &amp; "]",
      ""))</f>
        <v>CrossTransferStation[192]</v>
      </c>
      <c r="F61" s="9"/>
      <c r="G61" s="9"/>
      <c r="H61" s="9"/>
      <c r="I61" s="9"/>
      <c r="J61" s="9" t="s">
        <v>1504</v>
      </c>
      <c r="K61" s="9"/>
      <c r="L61" s="10" t="s">
        <v>350</v>
      </c>
      <c r="M61" s="10" t="s">
        <v>350</v>
      </c>
      <c r="N61" s="11"/>
    </row>
    <row r="62" spans="1:14" s="61" customFormat="1" ht="26" x14ac:dyDescent="0.3">
      <c r="A62" s="7" t="str">
        <f>IF(ISNUMBER(SEARCH("CT",B62)),"1"&amp;MID(B62,2,FIND("CT",B62)-2)&amp;RIGHT(B62,1),MID(B62,2,FIND("C",B62)-2)&amp;RIGHT(B62,1))</f>
        <v>1853</v>
      </c>
      <c r="B62" s="26" t="s">
        <v>1505</v>
      </c>
      <c r="C62" s="45" t="s">
        <v>319</v>
      </c>
      <c r="D62" s="45">
        <v>1</v>
      </c>
      <c r="E62" s="46" t="str">
        <f>IF(ISNUMBER(SEARCH("CT",B62)),
   "CrossTransferStation[" &amp; (Q$3 + COUNTIF($B$2:B62,"*CT*") - 1) &amp; "]",
   IF( OR(ISNUMBER(SEARCH("TT",B62)), AND(ISNUMBER(SEARCH("C",B62)), NOT(ISNUMBER(SEARCH("CT",B62)))) ),
      "ConveyorStation[" &amp; (Q$2 + COUNTIFS($B$2:B62,"*C*",$B$2:B62,"&lt;&gt;*CT*") + COUNTIF($B$2:B62,"*TT*") - 1) &amp; "]",
      ""))</f>
        <v>CrossTransferStation[193]</v>
      </c>
      <c r="F62" s="46" t="s">
        <v>1506</v>
      </c>
      <c r="G62" s="9"/>
      <c r="H62" s="9"/>
      <c r="I62" s="9"/>
      <c r="J62" s="9" t="s">
        <v>1507</v>
      </c>
      <c r="K62" s="9"/>
      <c r="L62" s="146" t="s">
        <v>351</v>
      </c>
      <c r="M62" s="10" t="s">
        <v>351</v>
      </c>
      <c r="N62" s="11"/>
    </row>
    <row r="63" spans="1:14" s="61" customFormat="1" x14ac:dyDescent="0.3">
      <c r="A63" s="60" t="str">
        <f>IF(ISNUMBER(SEARCH("CT",B63)),"1"&amp;MID(B63,2,FIND("CT",B63)-2)&amp;RIGHT(B63,1),MID(B63,2,FIND("C",B63)-2)&amp;RIGHT(B63,1))</f>
        <v>861</v>
      </c>
      <c r="B63" s="26" t="s">
        <v>1508</v>
      </c>
      <c r="C63" s="45" t="s">
        <v>319</v>
      </c>
      <c r="D63" s="45">
        <v>1</v>
      </c>
      <c r="E63" s="46" t="str">
        <f>IF(ISNUMBER(SEARCH("CT",B63)),
   "CrossTransferStation[" &amp; (Q$3 + COUNTIF($B$2:B63,"*CT*") - 1) &amp; "]",
   IF( OR(ISNUMBER(SEARCH("TT",B63)), AND(ISNUMBER(SEARCH("C",B63)), NOT(ISNUMBER(SEARCH("CT",B63)))) ),
      "ConveyorStation[" &amp; (Q$2 + COUNTIFS($B$2:B63,"*C*",$B$2:B63,"&lt;&gt;*CT*") + COUNTIF($B$2:B63,"*TT*") - 1) &amp; "]",
      ""))</f>
        <v>ConveyorStation[443]</v>
      </c>
      <c r="F63" s="223" t="s">
        <v>1509</v>
      </c>
      <c r="G63" s="27"/>
      <c r="H63" s="27"/>
      <c r="I63" s="27"/>
      <c r="J63" s="9" t="s">
        <v>1510</v>
      </c>
      <c r="K63" s="27"/>
      <c r="L63" s="224" t="s">
        <v>350</v>
      </c>
      <c r="M63" s="224" t="s">
        <v>350</v>
      </c>
      <c r="N63" s="29"/>
    </row>
    <row r="64" spans="1:14" ht="52" x14ac:dyDescent="0.3">
      <c r="A64" s="84">
        <v>31003</v>
      </c>
      <c r="B64" s="26" t="s">
        <v>1511</v>
      </c>
      <c r="C64" s="45" t="s">
        <v>319</v>
      </c>
      <c r="D64" s="45">
        <v>1</v>
      </c>
      <c r="E64" s="46" t="str">
        <f>IF(ISNUMBER(SEARCH("CT",B64)),
   "CrossTransferStation[" &amp; (Q$3 + COUNTIF($B$2:B64,"*CT*") - 1) &amp; "]",
   IF( OR(ISNUMBER(SEARCH("TT",B64)), AND(ISNUMBER(SEARCH("C",B64)), NOT(ISNUMBER(SEARCH("CT",B64)))) ),
      "ConveyorStation[" &amp; (Q$2 + COUNTIFS($B$2:B64,"*C*",$B$2:B64,"&lt;&gt;*CT*") + COUNTIF($B$2:B64,"*TT*") - 1) &amp; "]",
      ""))</f>
        <v>ConveyorStation[444]</v>
      </c>
      <c r="F64" s="85" t="s">
        <v>1512</v>
      </c>
      <c r="G64" s="27"/>
      <c r="H64" s="27"/>
      <c r="I64" s="27"/>
      <c r="J64" s="27" t="s">
        <v>1513</v>
      </c>
      <c r="K64" s="10" t="s">
        <v>470</v>
      </c>
      <c r="L64" s="28" t="s">
        <v>351</v>
      </c>
      <c r="M64" s="28" t="s">
        <v>351</v>
      </c>
      <c r="N64" s="29"/>
    </row>
    <row r="65" spans="1:14" ht="52" x14ac:dyDescent="0.3">
      <c r="A65" s="84">
        <v>31004</v>
      </c>
      <c r="B65" s="26" t="s">
        <v>1514</v>
      </c>
      <c r="C65" s="45" t="s">
        <v>319</v>
      </c>
      <c r="D65" s="45">
        <v>1</v>
      </c>
      <c r="E65" s="46" t="str">
        <f>IF(ISNUMBER(SEARCH("CT",B65)),
   "CrossTransferStation[" &amp; (Q$3 + COUNTIF($B$2:B73,"*CT*") - 1) &amp; "]",
   IF( OR(ISNUMBER(SEARCH("TT",B65)), AND(ISNUMBER(SEARCH("C",B65)), NOT(ISNUMBER(SEARCH("CT",B65)))) ),
      "ConveyorStation[" &amp; (Q$2 + COUNTIFS($B$2:B73,"*C*",$B$2:B73,"&lt;&gt;*CT*") + COUNTIF($B$2:B73,"*TT*") - 1) &amp; "]",
      ""))</f>
        <v>ConveyorStation[445]</v>
      </c>
      <c r="F65" s="85" t="s">
        <v>1515</v>
      </c>
      <c r="G65" s="27"/>
      <c r="H65" s="27"/>
      <c r="I65" s="27"/>
      <c r="J65" s="27" t="s">
        <v>1516</v>
      </c>
      <c r="K65" s="10" t="s">
        <v>470</v>
      </c>
      <c r="L65" s="28" t="s">
        <v>351</v>
      </c>
      <c r="M65" s="28" t="s">
        <v>351</v>
      </c>
      <c r="N65" s="29"/>
    </row>
    <row r="66" spans="1:14" x14ac:dyDescent="0.3">
      <c r="A66" s="7"/>
      <c r="B66" s="8" t="s">
        <v>1993</v>
      </c>
      <c r="C66" s="45" t="s">
        <v>319</v>
      </c>
      <c r="D66" s="45">
        <v>1</v>
      </c>
      <c r="E66" s="46" t="s">
        <v>1994</v>
      </c>
      <c r="F66" s="27"/>
      <c r="G66" s="9"/>
      <c r="H66" s="9"/>
      <c r="I66" s="9"/>
      <c r="J66" s="27"/>
      <c r="K66" s="27"/>
      <c r="L66" s="10"/>
      <c r="M66" s="10"/>
      <c r="N66" s="11"/>
    </row>
    <row r="67" spans="1:14" x14ac:dyDescent="0.3">
      <c r="A67" s="7"/>
      <c r="B67" s="8" t="s">
        <v>1988</v>
      </c>
      <c r="C67" s="45" t="s">
        <v>319</v>
      </c>
      <c r="D67" s="45">
        <v>1</v>
      </c>
      <c r="E67" s="46" t="s">
        <v>1995</v>
      </c>
      <c r="F67" s="27"/>
      <c r="G67" s="9"/>
      <c r="H67" s="9"/>
      <c r="I67" s="9"/>
      <c r="J67" s="88"/>
      <c r="K67" s="88"/>
      <c r="L67" s="10"/>
      <c r="M67" s="10"/>
      <c r="N67" s="11"/>
    </row>
    <row r="68" spans="1:14" x14ac:dyDescent="0.3">
      <c r="A68" s="7"/>
      <c r="B68" s="8" t="s">
        <v>1989</v>
      </c>
      <c r="C68" s="45" t="s">
        <v>319</v>
      </c>
      <c r="D68" s="45">
        <v>1</v>
      </c>
      <c r="E68" s="46" t="s">
        <v>1996</v>
      </c>
      <c r="F68" s="27"/>
      <c r="G68" s="9"/>
      <c r="H68" s="9"/>
      <c r="I68" s="9"/>
      <c r="J68" s="88"/>
      <c r="K68" s="88"/>
      <c r="L68" s="10"/>
      <c r="M68" s="10"/>
      <c r="N68" s="11"/>
    </row>
    <row r="69" spans="1:14" x14ac:dyDescent="0.3">
      <c r="A69" s="7"/>
      <c r="B69" s="8" t="s">
        <v>1990</v>
      </c>
      <c r="C69" s="45" t="s">
        <v>319</v>
      </c>
      <c r="D69" s="45">
        <v>1</v>
      </c>
      <c r="E69" s="46" t="s">
        <v>1997</v>
      </c>
      <c r="F69" s="27"/>
      <c r="G69" s="9"/>
      <c r="H69" s="9"/>
      <c r="I69" s="9"/>
      <c r="J69" s="88"/>
      <c r="K69" s="88"/>
      <c r="L69" s="10"/>
      <c r="M69" s="10"/>
      <c r="N69" s="11"/>
    </row>
    <row r="70" spans="1:14" x14ac:dyDescent="0.3">
      <c r="A70" s="7"/>
      <c r="B70" s="8" t="s">
        <v>1991</v>
      </c>
      <c r="C70" s="45" t="s">
        <v>319</v>
      </c>
      <c r="D70" s="45">
        <v>1</v>
      </c>
      <c r="E70" s="46" t="s">
        <v>1998</v>
      </c>
      <c r="F70" s="27"/>
      <c r="G70" s="9"/>
      <c r="H70" s="9"/>
      <c r="I70" s="9"/>
      <c r="J70" s="88"/>
      <c r="K70" s="88"/>
      <c r="L70" s="10"/>
      <c r="M70" s="10"/>
      <c r="N70" s="11"/>
    </row>
    <row r="71" spans="1:14" x14ac:dyDescent="0.3">
      <c r="A71" s="7"/>
      <c r="B71" s="8" t="s">
        <v>1992</v>
      </c>
      <c r="C71" s="45" t="s">
        <v>319</v>
      </c>
      <c r="D71" s="45">
        <v>1</v>
      </c>
      <c r="E71" s="46" t="s">
        <v>1999</v>
      </c>
      <c r="F71" s="27"/>
      <c r="G71" s="9"/>
      <c r="H71" s="9"/>
      <c r="I71" s="9"/>
      <c r="J71" s="88"/>
      <c r="K71" s="88"/>
      <c r="L71" s="10"/>
      <c r="M71" s="10"/>
      <c r="N71" s="11"/>
    </row>
    <row r="72" spans="1:14" x14ac:dyDescent="0.3">
      <c r="A72" s="7"/>
      <c r="B72" s="8" t="s">
        <v>2002</v>
      </c>
      <c r="C72" s="45" t="s">
        <v>319</v>
      </c>
      <c r="D72" s="45">
        <v>1</v>
      </c>
      <c r="E72" s="46" t="s">
        <v>2004</v>
      </c>
      <c r="F72" s="9"/>
      <c r="G72" s="9"/>
      <c r="H72" s="9"/>
      <c r="I72" s="9"/>
      <c r="J72" s="27"/>
      <c r="K72" s="27"/>
      <c r="L72" s="10"/>
      <c r="M72" s="10"/>
      <c r="N72" s="11"/>
    </row>
    <row r="73" spans="1:14" x14ac:dyDescent="0.3">
      <c r="A73" s="7"/>
      <c r="B73" s="8" t="s">
        <v>2003</v>
      </c>
      <c r="C73" s="45" t="s">
        <v>319</v>
      </c>
      <c r="D73" s="45">
        <v>1</v>
      </c>
      <c r="E73" s="46" t="s">
        <v>2005</v>
      </c>
      <c r="F73" s="9"/>
      <c r="G73" s="9"/>
      <c r="H73" s="9"/>
      <c r="I73" s="9"/>
      <c r="J73" s="88"/>
      <c r="K73" s="88"/>
      <c r="L73" s="10"/>
      <c r="M73" s="10"/>
      <c r="N73" s="11"/>
    </row>
  </sheetData>
  <phoneticPr fontId="10" type="noConversion"/>
  <pageMargins left="0.7" right="0.7" top="0.75" bottom="0.75" header="0.3" footer="0.3"/>
  <pageSetup paperSize="9" orientation="portrait" verticalDpi="0" r:id="rId1"/>
  <ignoredErrors>
    <ignoredError sqref="E66:E70" calculatedColumn="1"/>
  </ignoredErrors>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5447B-1D29-4248-92B7-211547A16822}">
  <dimension ref="A1:X28"/>
  <sheetViews>
    <sheetView zoomScaleNormal="100" workbookViewId="0">
      <selection activeCell="J18" sqref="J18"/>
    </sheetView>
  </sheetViews>
  <sheetFormatPr defaultColWidth="10.54296875" defaultRowHeight="13" x14ac:dyDescent="0.3"/>
  <cols>
    <col min="1" max="1" width="7.7265625" style="30" bestFit="1" customWidth="1"/>
    <col min="2" max="2" width="10.26953125" style="30" bestFit="1" customWidth="1"/>
    <col min="3" max="3" width="14.7265625" style="30" bestFit="1" customWidth="1"/>
    <col min="4" max="4" width="11.453125" style="30" customWidth="1"/>
    <col min="5" max="6" width="23.81640625" style="31" bestFit="1" customWidth="1"/>
    <col min="7" max="7" width="21" style="31" customWidth="1"/>
    <col min="8" max="9" width="16.453125" style="31" customWidth="1"/>
    <col min="10" max="11" width="28.81640625" style="31" customWidth="1"/>
    <col min="12" max="13" width="15.7265625" style="30" bestFit="1" customWidth="1"/>
    <col min="14" max="14" width="12.26953125" style="30" bestFit="1" customWidth="1"/>
    <col min="15" max="15" width="4.453125" style="61" customWidth="1"/>
    <col min="16" max="16" width="17.81640625" style="61" bestFit="1" customWidth="1"/>
    <col min="17" max="17" width="4.1796875" style="61" bestFit="1" customWidth="1"/>
    <col min="18" max="18" width="4.453125" style="61" bestFit="1" customWidth="1"/>
    <col min="19" max="19" width="10" style="61" bestFit="1" customWidth="1"/>
    <col min="20" max="20" width="10.1796875" style="61" bestFit="1" customWidth="1"/>
    <col min="21" max="21" width="5.1796875" style="61" bestFit="1" customWidth="1"/>
    <col min="22" max="24" width="10.54296875" style="61"/>
    <col min="25" max="16384" width="10.54296875" style="6"/>
  </cols>
  <sheetData>
    <row r="1" spans="1:21" ht="26" x14ac:dyDescent="0.3">
      <c r="A1" s="1" t="s">
        <v>334</v>
      </c>
      <c r="B1" s="2" t="s">
        <v>308</v>
      </c>
      <c r="C1" s="2" t="s">
        <v>335</v>
      </c>
      <c r="D1" s="2" t="s">
        <v>336</v>
      </c>
      <c r="E1" s="3" t="s">
        <v>337</v>
      </c>
      <c r="F1" s="3" t="s">
        <v>338</v>
      </c>
      <c r="G1" s="3" t="s">
        <v>459</v>
      </c>
      <c r="H1" s="3" t="s">
        <v>340</v>
      </c>
      <c r="I1" s="3" t="s">
        <v>341</v>
      </c>
      <c r="J1" s="3" t="s">
        <v>342</v>
      </c>
      <c r="K1" s="3" t="s">
        <v>343</v>
      </c>
      <c r="L1" s="4" t="s">
        <v>344</v>
      </c>
      <c r="M1" s="4" t="s">
        <v>345</v>
      </c>
      <c r="N1" s="5" t="s">
        <v>346</v>
      </c>
    </row>
    <row r="2" spans="1:21" x14ac:dyDescent="0.3">
      <c r="A2" s="44" t="str">
        <f t="shared" ref="A2:A17" si="0">IF(ISNUMBER(SEARCH("CT",B2)),"1"&amp;MID(B2,2,FIND("CT",B2)-2)&amp;RIGHT(B2,1),MID(B2,2,FIND("C",B2)-2)&amp;RIGHT(B2,1))</f>
        <v>971</v>
      </c>
      <c r="B2" s="45" t="s">
        <v>1517</v>
      </c>
      <c r="C2" s="45" t="s">
        <v>320</v>
      </c>
      <c r="D2" s="45">
        <v>1</v>
      </c>
      <c r="E2" s="46" t="str">
        <f>IF(ISNUMBER(SEARCH("CT",B2)),
   "CrossTransferStation[" &amp; (Q$3 + COUNTIF($B$2:B2,"*CT*") - 1) &amp; "]",
   IF( OR(ISNUMBER(SEARCH("TT",B2)), AND(ISNUMBER(SEARCH("C",B2)), NOT(ISNUMBER(SEARCH("CT",B2)))) ),
      "ConveyorStation[" &amp; (Q$2 + COUNTIFS($B$2:B2,"*C*",$B$2:B2,"&lt;&gt;*CT*") + COUNTIF($B$2:B2,"*TT*") - 1) &amp; "]",
      ""))</f>
        <v>ConveyorStation[454]</v>
      </c>
      <c r="F2" s="9" t="s">
        <v>1518</v>
      </c>
      <c r="G2" s="53"/>
      <c r="H2" s="9"/>
      <c r="I2" s="9"/>
      <c r="J2" s="9" t="s">
        <v>1519</v>
      </c>
      <c r="K2" s="9"/>
      <c r="L2" s="47" t="s">
        <v>351</v>
      </c>
      <c r="M2" s="47" t="s">
        <v>350</v>
      </c>
      <c r="N2" s="11"/>
      <c r="P2" s="62" t="s">
        <v>352</v>
      </c>
      <c r="Q2" s="63">
        <v>454</v>
      </c>
    </row>
    <row r="3" spans="1:21" ht="26" x14ac:dyDescent="0.3">
      <c r="A3" s="44" t="str">
        <f t="shared" si="0"/>
        <v>1981</v>
      </c>
      <c r="B3" s="45" t="s">
        <v>1520</v>
      </c>
      <c r="C3" s="45" t="s">
        <v>320</v>
      </c>
      <c r="D3" s="45">
        <v>1</v>
      </c>
      <c r="E3" s="46" t="str">
        <f>IF(ISNUMBER(SEARCH("CT",B3)),
   "CrossTransferStation[" &amp; (Q$3 + COUNTIF($B$2:B3,"*CT*") - 1) &amp; "]",
   IF( OR(ISNUMBER(SEARCH("TT",B3)), AND(ISNUMBER(SEARCH("C",B3)), NOT(ISNUMBER(SEARCH("CT",B3)))) ),
      "ConveyorStation[" &amp; (Q$2 + COUNTIFS($B$2:B3,"*C*",$B$2:B3,"&lt;&gt;*CT*") + COUNTIF($B$2:B3,"*TT*") - 1) &amp; "]",
      ""))</f>
        <v>CrossTransferStation[204]</v>
      </c>
      <c r="F3" s="27" t="s">
        <v>1521</v>
      </c>
      <c r="G3" s="9"/>
      <c r="H3" s="9"/>
      <c r="I3" s="9"/>
      <c r="J3" s="9" t="s">
        <v>1162</v>
      </c>
      <c r="K3" s="9"/>
      <c r="L3" s="47" t="s">
        <v>351</v>
      </c>
      <c r="M3" s="47" t="s">
        <v>351</v>
      </c>
      <c r="N3" s="11"/>
      <c r="P3" s="62" t="s">
        <v>356</v>
      </c>
      <c r="Q3" s="63">
        <v>204</v>
      </c>
    </row>
    <row r="4" spans="1:21" ht="52" x14ac:dyDescent="0.3">
      <c r="A4" s="23" t="str">
        <f t="shared" si="0"/>
        <v>991</v>
      </c>
      <c r="B4" s="45" t="s">
        <v>1522</v>
      </c>
      <c r="C4" s="45" t="s">
        <v>320</v>
      </c>
      <c r="D4" s="45">
        <v>1</v>
      </c>
      <c r="E4" s="46" t="str">
        <f>IF(ISNUMBER(SEARCH("CT",B4)),
   "CrossTransferStation[" &amp; (Q$3 + COUNTIF($B$2:B4,"*CT*") - 1) &amp; "]",
   IF( OR(ISNUMBER(SEARCH("TT",B4)), AND(ISNUMBER(SEARCH("C",B4)), NOT(ISNUMBER(SEARCH("CT",B4)))) ),
      "ConveyorStation[" &amp; (Q$2 + COUNTIFS($B$2:B4,"*C*",$B$2:B4,"&lt;&gt;*CT*") + COUNTIF($B$2:B4,"*TT*") - 1) &amp; "]",
      ""))</f>
        <v>ConveyorStation[455]</v>
      </c>
      <c r="F4" s="69" t="s">
        <v>1523</v>
      </c>
      <c r="G4" s="9"/>
      <c r="H4" s="9"/>
      <c r="I4" s="9"/>
      <c r="J4" s="9" t="s">
        <v>1524</v>
      </c>
      <c r="K4" s="9"/>
      <c r="L4" s="24" t="s">
        <v>351</v>
      </c>
      <c r="M4" s="24" t="s">
        <v>351</v>
      </c>
      <c r="N4" s="11"/>
      <c r="P4" s="62"/>
      <c r="Q4" s="64"/>
    </row>
    <row r="5" spans="1:21" ht="39" x14ac:dyDescent="0.3">
      <c r="A5" s="44" t="str">
        <f t="shared" si="0"/>
        <v>992</v>
      </c>
      <c r="B5" s="45" t="s">
        <v>1525</v>
      </c>
      <c r="C5" s="45" t="s">
        <v>320</v>
      </c>
      <c r="D5" s="45">
        <v>1</v>
      </c>
      <c r="E5" s="46" t="str">
        <f>IF(ISNUMBER(SEARCH("CT",B5)),
   "CrossTransferStation[" &amp; (Q$3 + COUNTIF($B$2:B5,"*CT*") - 1) &amp; "]",
   IF( OR(ISNUMBER(SEARCH("TT",B5)), AND(ISNUMBER(SEARCH("C",B5)), NOT(ISNUMBER(SEARCH("CT",B5)))) ),
      "ConveyorStation[" &amp; (Q$2 + COUNTIFS($B$2:B5,"*C*",$B$2:B5,"&lt;&gt;*CT*") + COUNTIF($B$2:B5,"*TT*") - 1) &amp; "]",
      ""))</f>
        <v>ConveyorStation[456]</v>
      </c>
      <c r="F5" s="9" t="s">
        <v>1526</v>
      </c>
      <c r="G5" s="9"/>
      <c r="H5" s="9"/>
      <c r="I5" s="9"/>
      <c r="J5" s="9" t="s">
        <v>1527</v>
      </c>
      <c r="K5" s="10" t="s">
        <v>470</v>
      </c>
      <c r="L5" s="47" t="s">
        <v>350</v>
      </c>
      <c r="M5" s="47" t="s">
        <v>351</v>
      </c>
      <c r="N5" s="11"/>
    </row>
    <row r="6" spans="1:21" x14ac:dyDescent="0.3">
      <c r="A6" s="44" t="str">
        <f t="shared" si="0"/>
        <v>1001</v>
      </c>
      <c r="B6" s="45" t="s">
        <v>1528</v>
      </c>
      <c r="C6" s="45" t="s">
        <v>320</v>
      </c>
      <c r="D6" s="45">
        <v>1</v>
      </c>
      <c r="E6" s="46" t="str">
        <f>IF(ISNUMBER(SEARCH("CT",B6)),
   "CrossTransferStation[" &amp; (Q$3 + COUNTIF($B$2:B6,"*CT*") - 1) &amp; "]",
   IF( OR(ISNUMBER(SEARCH("TT",B6)), AND(ISNUMBER(SEARCH("C",B6)), NOT(ISNUMBER(SEARCH("CT",B6)))) ),
      "ConveyorStation[" &amp; (Q$2 + COUNTIFS($B$2:B6,"*C*",$B$2:B6,"&lt;&gt;*CT*") + COUNTIF($B$2:B6,"*TT*") - 1) &amp; "]",
      ""))</f>
        <v>ConveyorStation[457]</v>
      </c>
      <c r="F6" s="9"/>
      <c r="G6" s="9"/>
      <c r="H6" s="9"/>
      <c r="I6" s="9"/>
      <c r="J6" s="9" t="s">
        <v>1529</v>
      </c>
      <c r="K6" s="9"/>
      <c r="L6" s="47" t="s">
        <v>350</v>
      </c>
      <c r="M6" s="47" t="s">
        <v>350</v>
      </c>
      <c r="N6" s="11"/>
      <c r="P6" s="65" t="s">
        <v>308</v>
      </c>
      <c r="Q6" s="65" t="s">
        <v>365</v>
      </c>
      <c r="R6" s="65" t="s">
        <v>366</v>
      </c>
      <c r="S6" s="65" t="s">
        <v>367</v>
      </c>
      <c r="T6" s="65" t="s">
        <v>368</v>
      </c>
      <c r="U6" s="68"/>
    </row>
    <row r="7" spans="1:21" ht="39" x14ac:dyDescent="0.3">
      <c r="A7" s="44" t="str">
        <f t="shared" si="0"/>
        <v>1002</v>
      </c>
      <c r="B7" s="45" t="s">
        <v>1530</v>
      </c>
      <c r="C7" s="45" t="s">
        <v>320</v>
      </c>
      <c r="D7" s="45">
        <v>1</v>
      </c>
      <c r="E7" s="46" t="str">
        <f>IF(ISNUMBER(SEARCH("CT",B7)),
   "CrossTransferStation[" &amp; (Q$3 + COUNTIF($B$2:B7,"*CT*") - 1) &amp; "]",
   IF( OR(ISNUMBER(SEARCH("TT",B7)), AND(ISNUMBER(SEARCH("C",B7)), NOT(ISNUMBER(SEARCH("CT",B7)))) ),
      "ConveyorStation[" &amp; (Q$2 + COUNTIFS($B$2:B7,"*C*",$B$2:B7,"&lt;&gt;*CT*") + COUNTIF($B$2:B7,"*TT*") - 1) &amp; "]",
      ""))</f>
        <v>ConveyorStation[458]</v>
      </c>
      <c r="F7" s="9" t="s">
        <v>1531</v>
      </c>
      <c r="G7" s="9"/>
      <c r="H7" s="9"/>
      <c r="I7" s="9"/>
      <c r="J7" s="53" t="s">
        <v>1532</v>
      </c>
      <c r="K7" s="53"/>
      <c r="L7" s="47" t="s">
        <v>351</v>
      </c>
      <c r="M7" s="47" t="s">
        <v>351</v>
      </c>
      <c r="N7" s="11"/>
      <c r="P7" s="9" t="s">
        <v>322</v>
      </c>
      <c r="Q7" s="63">
        <v>454</v>
      </c>
      <c r="R7" s="63">
        <v>474</v>
      </c>
      <c r="S7" s="63">
        <v>10</v>
      </c>
      <c r="T7" s="63">
        <f>SUM(R7:S7)+1</f>
        <v>485</v>
      </c>
      <c r="U7" s="42">
        <f>T7-S7-Q7</f>
        <v>21</v>
      </c>
    </row>
    <row r="8" spans="1:21" ht="14.5" x14ac:dyDescent="0.3">
      <c r="A8" s="7" t="str">
        <f t="shared" si="0"/>
        <v>1011</v>
      </c>
      <c r="B8" s="48" t="s">
        <v>1533</v>
      </c>
      <c r="C8" s="45" t="s">
        <v>320</v>
      </c>
      <c r="D8" s="45">
        <v>1</v>
      </c>
      <c r="E8" s="46" t="str">
        <f>IF(ISNUMBER(SEARCH("CT",B8)),
   "CrossTransferStation[" &amp; (Q$3 + COUNTIF($B$2:B8,"*CT*") - 1) &amp; "]",
   IF( OR(ISNUMBER(SEARCH("TT",B8)), AND(ISNUMBER(SEARCH("C",B8)), NOT(ISNUMBER(SEARCH("CT",B8)))) ),
      "ConveyorStation[" &amp; (Q$2 + COUNTIFS($B$2:B8,"*C*",$B$2:B8,"&lt;&gt;*CT*") + COUNTIF($B$2:B8,"*TT*") - 1) &amp; "]",
      ""))</f>
        <v>ConveyorStation[459]</v>
      </c>
      <c r="F8" s="9" t="s">
        <v>1534</v>
      </c>
      <c r="G8" s="9"/>
      <c r="H8" s="9"/>
      <c r="I8" s="9"/>
      <c r="J8" s="9" t="s">
        <v>1535</v>
      </c>
      <c r="K8" s="9"/>
      <c r="L8" s="47" t="s">
        <v>350</v>
      </c>
      <c r="M8" s="47" t="s">
        <v>351</v>
      </c>
      <c r="N8" s="11"/>
      <c r="P8" s="9" t="s">
        <v>323</v>
      </c>
      <c r="Q8" s="63">
        <v>204</v>
      </c>
      <c r="R8" s="63">
        <v>209</v>
      </c>
      <c r="S8" s="63">
        <v>10</v>
      </c>
      <c r="T8" s="63">
        <f t="shared" ref="T8:T13" si="1">SUM(R8:S8)+1</f>
        <v>220</v>
      </c>
      <c r="U8" s="42">
        <f t="shared" ref="U8:U18" si="2">T8-S8-Q8</f>
        <v>6</v>
      </c>
    </row>
    <row r="9" spans="1:21" ht="39" x14ac:dyDescent="0.3">
      <c r="A9" s="7" t="str">
        <f t="shared" si="0"/>
        <v>11021</v>
      </c>
      <c r="B9" s="48" t="s">
        <v>1536</v>
      </c>
      <c r="C9" s="45" t="s">
        <v>320</v>
      </c>
      <c r="D9" s="45">
        <v>1</v>
      </c>
      <c r="E9" s="46" t="str">
        <f>IF(ISNUMBER(SEARCH("CT",B9)),
   "CrossTransferStation[" &amp; (Q$3 + COUNTIF($B$2:B9,"*CT*") - 1) &amp; "]",
   IF( OR(ISNUMBER(SEARCH("TT",B9)), AND(ISNUMBER(SEARCH("C",B9)), NOT(ISNUMBER(SEARCH("CT",B9)))) ),
      "ConveyorStation[" &amp; (Q$2 + COUNTIFS($B$2:B9,"*C*",$B$2:B9,"&lt;&gt;*CT*") + COUNTIF($B$2:B9,"*TT*") - 1) &amp; "]",
      ""))</f>
        <v>CrossTransferStation[205]</v>
      </c>
      <c r="F9" s="9" t="s">
        <v>1537</v>
      </c>
      <c r="G9" s="9"/>
      <c r="H9" s="9"/>
      <c r="I9" s="9"/>
      <c r="J9" s="9" t="s">
        <v>1538</v>
      </c>
      <c r="K9" s="10" t="s">
        <v>470</v>
      </c>
      <c r="L9" s="47" t="s">
        <v>350</v>
      </c>
      <c r="M9" s="47" t="s">
        <v>351</v>
      </c>
      <c r="N9" s="11"/>
      <c r="P9" s="9" t="s">
        <v>324</v>
      </c>
      <c r="Q9" s="63">
        <v>193</v>
      </c>
      <c r="R9" s="63">
        <v>198</v>
      </c>
      <c r="S9" s="63">
        <v>10</v>
      </c>
      <c r="T9" s="63">
        <f t="shared" si="1"/>
        <v>209</v>
      </c>
      <c r="U9" s="42">
        <f t="shared" si="2"/>
        <v>6</v>
      </c>
    </row>
    <row r="10" spans="1:21" ht="52" x14ac:dyDescent="0.3">
      <c r="A10" s="7" t="str">
        <f t="shared" si="0"/>
        <v>1031</v>
      </c>
      <c r="B10" s="48" t="s">
        <v>1539</v>
      </c>
      <c r="C10" s="45" t="s">
        <v>320</v>
      </c>
      <c r="D10" s="45">
        <v>1</v>
      </c>
      <c r="E10" s="46" t="str">
        <f>IF(ISNUMBER(SEARCH("CT",B10)),
   "CrossTransferStation[" &amp; (Q$3 + COUNTIF($B$2:B10,"*CT*") - 1) &amp; "]",
   IF( OR(ISNUMBER(SEARCH("TT",B10)), AND(ISNUMBER(SEARCH("C",B10)), NOT(ISNUMBER(SEARCH("CT",B10)))) ),
      "ConveyorStation[" &amp; (Q$2 + COUNTIFS($B$2:B10,"*C*",$B$2:B10,"&lt;&gt;*CT*") + COUNTIF($B$2:B10,"*TT*") - 1) &amp; "]",
      ""))</f>
        <v>ConveyorStation[460]</v>
      </c>
      <c r="F10" s="9" t="s">
        <v>1540</v>
      </c>
      <c r="G10" s="9"/>
      <c r="H10" s="9"/>
      <c r="I10" s="9"/>
      <c r="J10" s="9" t="s">
        <v>1541</v>
      </c>
      <c r="K10" s="9"/>
      <c r="L10" s="47" t="s">
        <v>351</v>
      </c>
      <c r="M10" s="47" t="s">
        <v>351</v>
      </c>
      <c r="N10" s="11"/>
      <c r="P10" s="9" t="s">
        <v>325</v>
      </c>
      <c r="Q10" s="63">
        <v>157</v>
      </c>
      <c r="R10" s="63">
        <v>158</v>
      </c>
      <c r="S10" s="63">
        <v>10</v>
      </c>
      <c r="T10" s="63">
        <f t="shared" si="1"/>
        <v>169</v>
      </c>
      <c r="U10" s="42">
        <f t="shared" si="2"/>
        <v>2</v>
      </c>
    </row>
    <row r="11" spans="1:21" ht="14.5" x14ac:dyDescent="0.3">
      <c r="A11" s="7" t="str">
        <f t="shared" si="0"/>
        <v>1032</v>
      </c>
      <c r="B11" s="48" t="s">
        <v>1542</v>
      </c>
      <c r="C11" s="45" t="s">
        <v>320</v>
      </c>
      <c r="D11" s="45">
        <v>1</v>
      </c>
      <c r="E11" s="46" t="str">
        <f>IF(ISNUMBER(SEARCH("CT",B11)),
   "CrossTransferStation[" &amp; (Q$3 + COUNTIF($B$2:B11,"*CT*") - 1) &amp; "]",
   IF( OR(ISNUMBER(SEARCH("TT",B11)), AND(ISNUMBER(SEARCH("C",B11)), NOT(ISNUMBER(SEARCH("CT",B11)))) ),
      "ConveyorStation[" &amp; (Q$2 + COUNTIFS($B$2:B11,"*C*",$B$2:B11,"&lt;&gt;*CT*") + COUNTIF($B$2:B11,"*TT*") - 1) &amp; "]",
      ""))</f>
        <v>ConveyorStation[461]</v>
      </c>
      <c r="F11" s="9"/>
      <c r="G11" s="9"/>
      <c r="H11" s="9"/>
      <c r="I11" s="9"/>
      <c r="J11" s="9" t="s">
        <v>1543</v>
      </c>
      <c r="K11" s="9"/>
      <c r="L11" s="47" t="s">
        <v>350</v>
      </c>
      <c r="M11" s="47" t="s">
        <v>351</v>
      </c>
      <c r="N11" s="11"/>
      <c r="P11" s="9" t="s">
        <v>326</v>
      </c>
      <c r="Q11" s="63">
        <v>178</v>
      </c>
      <c r="R11" s="63">
        <v>178</v>
      </c>
      <c r="S11" s="63">
        <v>10</v>
      </c>
      <c r="T11" s="63">
        <f t="shared" si="1"/>
        <v>189</v>
      </c>
      <c r="U11" s="42">
        <f t="shared" si="2"/>
        <v>1</v>
      </c>
    </row>
    <row r="12" spans="1:21" ht="14.5" x14ac:dyDescent="0.3">
      <c r="A12" s="7" t="str">
        <f t="shared" si="0"/>
        <v>1041</v>
      </c>
      <c r="B12" s="48" t="s">
        <v>1544</v>
      </c>
      <c r="C12" s="45" t="s">
        <v>320</v>
      </c>
      <c r="D12" s="45">
        <v>1</v>
      </c>
      <c r="E12" s="46" t="str">
        <f>IF(ISNUMBER(SEARCH("CT",B12)),
   "CrossTransferStation[" &amp; (Q$3 + COUNTIF($B$2:B12,"*CT*") - 1) &amp; "]",
   IF( OR(ISNUMBER(SEARCH("TT",B12)), AND(ISNUMBER(SEARCH("C",B12)), NOT(ISNUMBER(SEARCH("CT",B12)))) ),
      "ConveyorStation[" &amp; (Q$2 + COUNTIFS($B$2:B12,"*C*",$B$2:B12,"&lt;&gt;*CT*") + COUNTIF($B$2:B12,"*TT*") - 1) &amp; "]",
      ""))</f>
        <v>ConveyorStation[462]</v>
      </c>
      <c r="F12" s="9"/>
      <c r="G12" s="9"/>
      <c r="H12" s="9"/>
      <c r="I12" s="9"/>
      <c r="J12" s="9" t="s">
        <v>1545</v>
      </c>
      <c r="K12" s="9"/>
      <c r="L12" s="47" t="s">
        <v>350</v>
      </c>
      <c r="M12" s="47" t="s">
        <v>350</v>
      </c>
      <c r="N12" s="11"/>
      <c r="P12" s="9" t="s">
        <v>327</v>
      </c>
      <c r="Q12" s="63">
        <v>103</v>
      </c>
      <c r="R12" s="63">
        <v>104</v>
      </c>
      <c r="S12" s="63">
        <v>10</v>
      </c>
      <c r="T12" s="63">
        <f t="shared" si="1"/>
        <v>115</v>
      </c>
      <c r="U12" s="42">
        <f t="shared" si="2"/>
        <v>2</v>
      </c>
    </row>
    <row r="13" spans="1:21" ht="39" x14ac:dyDescent="0.3">
      <c r="A13" s="7" t="str">
        <f t="shared" si="0"/>
        <v>1042</v>
      </c>
      <c r="B13" s="48" t="s">
        <v>1546</v>
      </c>
      <c r="C13" s="45" t="s">
        <v>320</v>
      </c>
      <c r="D13" s="45">
        <v>1</v>
      </c>
      <c r="E13" s="46" t="str">
        <f>IF(ISNUMBER(SEARCH("CT",B13)),
   "CrossTransferStation[" &amp; (Q$3 + COUNTIF($B$2:B13,"*CT*") - 1) &amp; "]",
   IF( OR(ISNUMBER(SEARCH("TT",B13)), AND(ISNUMBER(SEARCH("C",B13)), NOT(ISNUMBER(SEARCH("CT",B13)))) ),
      "ConveyorStation[" &amp; (Q$2 + COUNTIFS($B$2:B13,"*C*",$B$2:B13,"&lt;&gt;*CT*") + COUNTIF($B$2:B13,"*TT*") - 1) &amp; "]",
      ""))</f>
        <v>ConveyorStation[463]</v>
      </c>
      <c r="F13" s="9" t="s">
        <v>1547</v>
      </c>
      <c r="G13" s="9"/>
      <c r="H13" s="9"/>
      <c r="I13" s="9"/>
      <c r="J13" s="53" t="s">
        <v>1548</v>
      </c>
      <c r="K13" s="53"/>
      <c r="L13" s="47" t="s">
        <v>351</v>
      </c>
      <c r="M13" s="47" t="s">
        <v>351</v>
      </c>
      <c r="N13" s="11"/>
      <c r="P13" s="9" t="s">
        <v>328</v>
      </c>
      <c r="Q13" s="63">
        <v>82</v>
      </c>
      <c r="R13" s="63">
        <v>83</v>
      </c>
      <c r="S13" s="63">
        <v>10</v>
      </c>
      <c r="T13" s="63">
        <f t="shared" si="1"/>
        <v>94</v>
      </c>
      <c r="U13" s="42">
        <f t="shared" si="2"/>
        <v>2</v>
      </c>
    </row>
    <row r="14" spans="1:21" ht="52" x14ac:dyDescent="0.3">
      <c r="A14" s="7" t="str">
        <f t="shared" si="0"/>
        <v>1051</v>
      </c>
      <c r="B14" s="48" t="s">
        <v>1549</v>
      </c>
      <c r="C14" s="45" t="s">
        <v>320</v>
      </c>
      <c r="D14" s="45">
        <v>1</v>
      </c>
      <c r="E14" s="46" t="str">
        <f>IF(ISNUMBER(SEARCH("CT",B14)),
   "CrossTransferStation[" &amp; (Q$3 + COUNTIF($B$2:B14,"*CT*") - 1) &amp; "]",
   IF( OR(ISNUMBER(SEARCH("TT",B14)), AND(ISNUMBER(SEARCH("C",B14)), NOT(ISNUMBER(SEARCH("CT",B14)))) ),
      "ConveyorStation[" &amp; (Q$2 + COUNTIFS($B$2:B14,"*C*",$B$2:B14,"&lt;&gt;*CT*") + COUNTIF($B$2:B14,"*TT*") - 1) &amp; "]",
      ""))</f>
        <v>ConveyorStation[464]</v>
      </c>
      <c r="F14" s="9" t="s">
        <v>1550</v>
      </c>
      <c r="G14" s="9"/>
      <c r="H14" s="9"/>
      <c r="I14" s="9"/>
      <c r="J14" s="9" t="s">
        <v>1551</v>
      </c>
      <c r="K14" s="9"/>
      <c r="L14" s="47" t="s">
        <v>351</v>
      </c>
      <c r="M14" s="47" t="s">
        <v>351</v>
      </c>
      <c r="N14" s="11"/>
      <c r="P14" s="9" t="s">
        <v>329</v>
      </c>
      <c r="Q14" s="63"/>
      <c r="R14" s="63"/>
      <c r="S14" s="63"/>
      <c r="T14" s="63">
        <f>'EZ9 Prod G+1&amp;2 Cold'!T14</f>
        <v>72</v>
      </c>
      <c r="U14" s="42"/>
    </row>
    <row r="15" spans="1:21" ht="39" x14ac:dyDescent="0.3">
      <c r="A15" s="7" t="str">
        <f t="shared" si="0"/>
        <v>1052</v>
      </c>
      <c r="B15" s="48" t="s">
        <v>1552</v>
      </c>
      <c r="C15" s="45" t="s">
        <v>320</v>
      </c>
      <c r="D15" s="45">
        <v>1</v>
      </c>
      <c r="E15" s="46" t="str">
        <f>IF(ISNUMBER(SEARCH("CT",B15)),
   "CrossTransferStation[" &amp; (Q$3 + COUNTIF($B$2:B15,"*CT*") - 1) &amp; "]",
   IF( OR(ISNUMBER(SEARCH("TT",B15)), AND(ISNUMBER(SEARCH("C",B15)), NOT(ISNUMBER(SEARCH("CT",B15)))) ),
      "ConveyorStation[" &amp; (Q$2 + COUNTIFS($B$2:B15,"*C*",$B$2:B15,"&lt;&gt;*CT*") + COUNTIF($B$2:B15,"*TT*") - 1) &amp; "]",
      ""))</f>
        <v>ConveyorStation[465]</v>
      </c>
      <c r="F15" s="9" t="s">
        <v>1553</v>
      </c>
      <c r="G15" s="9"/>
      <c r="H15" s="9"/>
      <c r="I15" s="9"/>
      <c r="J15" s="9" t="s">
        <v>1554</v>
      </c>
      <c r="K15" s="10" t="s">
        <v>470</v>
      </c>
      <c r="L15" s="47" t="s">
        <v>350</v>
      </c>
      <c r="M15" s="47" t="s">
        <v>351</v>
      </c>
      <c r="N15" s="11"/>
      <c r="P15" s="9" t="s">
        <v>185</v>
      </c>
      <c r="Q15" s="63"/>
      <c r="R15" s="63"/>
      <c r="S15" s="63"/>
      <c r="T15" s="63">
        <f>'EZ9 Prod G+1&amp;2 Cold'!T15</f>
        <v>89</v>
      </c>
      <c r="U15" s="42"/>
    </row>
    <row r="16" spans="1:21" ht="26" x14ac:dyDescent="0.3">
      <c r="A16" s="7" t="str">
        <f t="shared" si="0"/>
        <v>11061</v>
      </c>
      <c r="B16" s="48" t="s">
        <v>1555</v>
      </c>
      <c r="C16" s="45" t="s">
        <v>320</v>
      </c>
      <c r="D16" s="45">
        <v>1</v>
      </c>
      <c r="E16" s="46" t="str">
        <f>IF(ISNUMBER(SEARCH("CT",B16)),
   "CrossTransferStation[" &amp; (Q$3 + COUNTIF($B$2:B16,"*CT*") - 1) &amp; "]",
   IF( OR(ISNUMBER(SEARCH("TT",B16)), AND(ISNUMBER(SEARCH("C",B16)), NOT(ISNUMBER(SEARCH("CT",B16)))) ),
      "ConveyorStation[" &amp; (Q$2 + COUNTIFS($B$2:B16,"*C*",$B$2:B16,"&lt;&gt;*CT*") + COUNTIF($B$2:B16,"*TT*") - 1) &amp; "]",
      ""))</f>
        <v>CrossTransferStation[206]</v>
      </c>
      <c r="F16" s="9" t="s">
        <v>1556</v>
      </c>
      <c r="G16" s="9"/>
      <c r="H16" s="9"/>
      <c r="I16" s="9"/>
      <c r="J16" s="9" t="s">
        <v>1557</v>
      </c>
      <c r="K16" s="9"/>
      <c r="L16" s="47" t="s">
        <v>351</v>
      </c>
      <c r="M16" s="47" t="s">
        <v>350</v>
      </c>
      <c r="N16" s="11"/>
      <c r="P16" s="9" t="s">
        <v>330</v>
      </c>
      <c r="Q16" s="63"/>
      <c r="R16" s="63"/>
      <c r="S16" s="63"/>
      <c r="T16" s="63">
        <f>'EZ9 Prod G+1&amp;2 Cold'!T16</f>
        <v>34</v>
      </c>
      <c r="U16" s="42"/>
    </row>
    <row r="17" spans="1:21" ht="14.5" x14ac:dyDescent="0.3">
      <c r="A17" s="7" t="str">
        <f t="shared" si="0"/>
        <v>1071</v>
      </c>
      <c r="B17" s="48" t="s">
        <v>1558</v>
      </c>
      <c r="C17" s="45" t="s">
        <v>320</v>
      </c>
      <c r="D17" s="45">
        <v>1</v>
      </c>
      <c r="E17" s="46" t="str">
        <f>IF(ISNUMBER(SEARCH("CT",B17)),
   "CrossTransferStation[" &amp; (Q$3 + COUNTIF($B$2:B17,"*CT*") - 1) &amp; "]",
   IF( OR(ISNUMBER(SEARCH("TT",B17)), AND(ISNUMBER(SEARCH("C",B17)), NOT(ISNUMBER(SEARCH("CT",B17)))) ),
      "ConveyorStation[" &amp; (Q$2 + COUNTIFS($B$2:B17,"*C*",$B$2:B17,"&lt;&gt;*CT*") + COUNTIF($B$2:B17,"*TT*") - 1) &amp; "]",
      ""))</f>
        <v>ConveyorStation[466]</v>
      </c>
      <c r="F17" s="64" t="s">
        <v>1559</v>
      </c>
      <c r="G17" s="9"/>
      <c r="H17" s="9"/>
      <c r="I17" s="9"/>
      <c r="J17" s="9" t="s">
        <v>1560</v>
      </c>
      <c r="K17" s="9"/>
      <c r="L17" s="47" t="s">
        <v>351</v>
      </c>
      <c r="M17" s="47" t="s">
        <v>350</v>
      </c>
      <c r="N17" s="11"/>
      <c r="P17" s="9" t="s">
        <v>331</v>
      </c>
      <c r="Q17" s="63"/>
      <c r="R17" s="63"/>
      <c r="S17" s="63"/>
      <c r="T17" s="63">
        <f>'EZ9 Prod G+1&amp;2 Cold'!T17</f>
        <v>94</v>
      </c>
      <c r="U17" s="42"/>
    </row>
    <row r="18" spans="1:21" ht="26" x14ac:dyDescent="0.3">
      <c r="A18" s="60" t="str">
        <f>IF(ISNUMBER(SEARCH("CT",B18)),"1"&amp;MID(B18,2,FIND("CT",B18)-2)&amp;RIGHT(B18,1),MID(B18,2,FIND("C",B18)-2)&amp;RIGHT(B18,1))</f>
        <v>11471</v>
      </c>
      <c r="B18" s="48" t="s">
        <v>1561</v>
      </c>
      <c r="C18" s="45" t="s">
        <v>320</v>
      </c>
      <c r="D18" s="45">
        <v>1</v>
      </c>
      <c r="E18" s="46" t="str">
        <f>IF(ISNUMBER(SEARCH("CT",B18)),
   "CrossTransferStation[" &amp; (Q$3 + COUNTIF($B$2:B18,"*CT*") - 1) &amp; "]",
   IF( OR(ISNUMBER(SEARCH("TT",B18)), AND(ISNUMBER(SEARCH("C",B18)), NOT(ISNUMBER(SEARCH("CT",B18)))) ),
      "ConveyorStation[" &amp; (Q$2 + COUNTIFS($B$2:B18,"*C*",$B$2:B18,"&lt;&gt;*CT*") + COUNTIF($B$2:B18,"*TT*") - 1) &amp; "]",
      ""))</f>
        <v>CrossTransferStation[207]</v>
      </c>
      <c r="F18" s="9" t="s">
        <v>1562</v>
      </c>
      <c r="G18" s="27"/>
      <c r="H18" s="27"/>
      <c r="I18" s="27"/>
      <c r="J18" s="27" t="s">
        <v>1563</v>
      </c>
      <c r="K18" s="27"/>
      <c r="L18" s="47" t="s">
        <v>350</v>
      </c>
      <c r="M18" s="47" t="s">
        <v>351</v>
      </c>
      <c r="N18" s="29"/>
      <c r="P18" s="69" t="s">
        <v>201</v>
      </c>
      <c r="Q18" s="63">
        <v>29</v>
      </c>
      <c r="R18" s="63">
        <v>31</v>
      </c>
      <c r="S18" s="63">
        <v>10</v>
      </c>
      <c r="T18" s="63">
        <f t="shared" ref="T18" si="3">SUM(R18:S18)+1</f>
        <v>42</v>
      </c>
      <c r="U18" s="42">
        <f t="shared" si="2"/>
        <v>3</v>
      </c>
    </row>
    <row r="19" spans="1:21" ht="14.5" x14ac:dyDescent="0.3">
      <c r="A19" s="7" t="str">
        <f>IF(ISNUMBER(SEARCH("CT",B19)),"1"&amp;MID(B19,2,FIND("CT",B19)-2)&amp;RIGHT(B19,1),MID(B19,2,FIND("C",B19)-2)&amp;RIGHT(B19,1))</f>
        <v>1481</v>
      </c>
      <c r="B19" s="48" t="s">
        <v>1564</v>
      </c>
      <c r="C19" s="45" t="s">
        <v>320</v>
      </c>
      <c r="D19" s="45">
        <v>1</v>
      </c>
      <c r="E19" s="46" t="str">
        <f>IF(ISNUMBER(SEARCH("CT",B19)),
   "CrossTransferStation[" &amp; (Q$3 + COUNTIF($B$2:B19,"*CT*") - 1) &amp; "]",
   IF( OR(ISNUMBER(SEARCH("TT",B19)), AND(ISNUMBER(SEARCH("C",B19)), NOT(ISNUMBER(SEARCH("CT",B19)))) ),
      "ConveyorStation[" &amp; (Q$2 + COUNTIFS($B$2:B19,"*C*",$B$2:B19,"&lt;&gt;*CT*") + COUNTIF($B$2:B19,"*TT*") - 1) &amp; "]",
      ""))</f>
        <v>ConveyorStation[467]</v>
      </c>
      <c r="F19" s="9"/>
      <c r="G19" s="9"/>
      <c r="H19" s="9"/>
      <c r="I19" s="9"/>
      <c r="J19" s="9" t="s">
        <v>1565</v>
      </c>
      <c r="K19" s="9"/>
      <c r="L19" s="47" t="s">
        <v>350</v>
      </c>
      <c r="M19" s="47" t="s">
        <v>350</v>
      </c>
      <c r="N19" s="11"/>
      <c r="P19" s="69" t="s">
        <v>332</v>
      </c>
      <c r="Q19" s="63"/>
      <c r="R19" s="63"/>
      <c r="S19" s="63"/>
      <c r="T19" s="63">
        <f>'EZ9 Prod G+1&amp;2 Cold'!T19</f>
        <v>25</v>
      </c>
      <c r="U19" s="42"/>
    </row>
    <row r="20" spans="1:21" ht="26" x14ac:dyDescent="0.3">
      <c r="A20" s="7" t="str">
        <f>IF(ISNUMBER(SEARCH("CT",B20)),"1"&amp;MID(B20,2,FIND("CT",B20)-2)&amp;RIGHT(B20,1),MID(B20,2,FIND("C",B20)-2)&amp;RIGHT(B20,1))</f>
        <v>1482</v>
      </c>
      <c r="B20" s="48" t="s">
        <v>1566</v>
      </c>
      <c r="C20" s="45" t="s">
        <v>320</v>
      </c>
      <c r="D20" s="45">
        <v>1</v>
      </c>
      <c r="E20" s="46" t="str">
        <f>IF(ISNUMBER(SEARCH("CT",B20)),
   "CrossTransferStation[" &amp; (Q$3 + COUNTIF($B$2:B20,"*CT*") - 1) &amp; "]",
   IF( OR(ISNUMBER(SEARCH("TT",B20)), AND(ISNUMBER(SEARCH("C",B20)), NOT(ISNUMBER(SEARCH("CT",B20)))) ),
      "ConveyorStation[" &amp; (Q$2 + COUNTIFS($B$2:B20,"*C*",$B$2:B20,"&lt;&gt;*CT*") + COUNTIF($B$2:B20,"*TT*") - 1) &amp; "]",
      ""))</f>
        <v>ConveyorStation[468]</v>
      </c>
      <c r="F20" s="9"/>
      <c r="G20" s="9"/>
      <c r="H20" s="9"/>
      <c r="I20" s="9"/>
      <c r="J20" s="9" t="s">
        <v>1567</v>
      </c>
      <c r="K20" s="10" t="s">
        <v>470</v>
      </c>
      <c r="L20" s="47" t="s">
        <v>350</v>
      </c>
      <c r="M20" s="47" t="s">
        <v>350</v>
      </c>
      <c r="N20" s="11"/>
    </row>
    <row r="21" spans="1:21" x14ac:dyDescent="0.3">
      <c r="A21" s="7" t="str">
        <f t="shared" ref="A21:A25" si="4">IF(ISNUMBER(SEARCH("CT",B21)),"1"&amp;MID(B21,2,FIND("CT",B21)-2)&amp;RIGHT(B21,1),MID(B21,2,FIND("C",B21)-2)&amp;RIGHT(B21,1))</f>
        <v>1491</v>
      </c>
      <c r="B21" s="48" t="s">
        <v>1568</v>
      </c>
      <c r="C21" s="45" t="s">
        <v>320</v>
      </c>
      <c r="D21" s="45">
        <v>1</v>
      </c>
      <c r="E21" s="46" t="str">
        <f>IF(ISNUMBER(SEARCH("CT",B21)),
   "CrossTransferStation[" &amp; (Q$3 + COUNTIF($B$2:B21,"*CT*") - 1) &amp; "]",
   IF( OR(ISNUMBER(SEARCH("TT",B21)), AND(ISNUMBER(SEARCH("C",B21)), NOT(ISNUMBER(SEARCH("CT",B21)))) ),
      "ConveyorStation[" &amp; (Q$2 + COUNTIFS($B$2:B21,"*C*",$B$2:B21,"&lt;&gt;*CT*") + COUNTIF($B$2:B21,"*TT*") - 1) &amp; "]",
      ""))</f>
        <v>ConveyorStation[469]</v>
      </c>
      <c r="F21" s="9"/>
      <c r="G21" s="9"/>
      <c r="H21" s="9"/>
      <c r="I21" s="9"/>
      <c r="J21" s="9" t="s">
        <v>1569</v>
      </c>
      <c r="K21" s="9"/>
      <c r="L21" s="47" t="s">
        <v>350</v>
      </c>
      <c r="M21" s="47" t="s">
        <v>350</v>
      </c>
      <c r="N21" s="11"/>
    </row>
    <row r="22" spans="1:21" x14ac:dyDescent="0.3">
      <c r="A22" s="7" t="str">
        <f t="shared" si="4"/>
        <v>1492</v>
      </c>
      <c r="B22" s="48" t="s">
        <v>1570</v>
      </c>
      <c r="C22" s="45" t="s">
        <v>320</v>
      </c>
      <c r="D22" s="45">
        <v>1</v>
      </c>
      <c r="E22" s="46" t="str">
        <f>IF(ISNUMBER(SEARCH("CT",B22)),
   "CrossTransferStation[" &amp; (Q$3 + COUNTIF($B$2:B22,"*CT*") - 1) &amp; "]",
   IF( OR(ISNUMBER(SEARCH("TT",B22)), AND(ISNUMBER(SEARCH("C",B22)), NOT(ISNUMBER(SEARCH("CT",B22)))) ),
      "ConveyorStation[" &amp; (Q$2 + COUNTIFS($B$2:B22,"*C*",$B$2:B22,"&lt;&gt;*CT*") + COUNTIF($B$2:B22,"*TT*") - 1) &amp; "]",
      ""))</f>
        <v>ConveyorStation[470]</v>
      </c>
      <c r="F22" s="9"/>
      <c r="G22" s="9"/>
      <c r="H22" s="9"/>
      <c r="I22" s="9"/>
      <c r="J22" s="9" t="s">
        <v>1571</v>
      </c>
      <c r="K22" s="9"/>
      <c r="L22" s="47" t="s">
        <v>350</v>
      </c>
      <c r="M22" s="47" t="s">
        <v>350</v>
      </c>
      <c r="N22" s="11"/>
    </row>
    <row r="23" spans="1:21" ht="26" x14ac:dyDescent="0.3">
      <c r="A23" s="7" t="str">
        <f t="shared" si="4"/>
        <v>1501</v>
      </c>
      <c r="B23" s="48" t="s">
        <v>1572</v>
      </c>
      <c r="C23" s="45" t="s">
        <v>320</v>
      </c>
      <c r="D23" s="45">
        <v>1</v>
      </c>
      <c r="E23" s="46" t="str">
        <f>IF(ISNUMBER(SEARCH("CT",B23)),
   "CrossTransferStation[" &amp; (Q$3 + COUNTIF($B$2:B23,"*CT*") - 1) &amp; "]",
   IF( OR(ISNUMBER(SEARCH("TT",B23)), AND(ISNUMBER(SEARCH("C",B23)), NOT(ISNUMBER(SEARCH("CT",B23)))) ),
      "ConveyorStation[" &amp; (Q$2 + COUNTIFS($B$2:B23,"*C*",$B$2:B23,"&lt;&gt;*CT*") + COUNTIF($B$2:B23,"*TT*") - 1) &amp; "]",
      ""))</f>
        <v>ConveyorStation[471]</v>
      </c>
      <c r="F23" s="9"/>
      <c r="G23" s="9"/>
      <c r="H23" s="9"/>
      <c r="I23" s="9"/>
      <c r="J23" s="9" t="s">
        <v>1573</v>
      </c>
      <c r="K23" s="9"/>
      <c r="L23" s="47" t="s">
        <v>350</v>
      </c>
      <c r="M23" s="47" t="s">
        <v>350</v>
      </c>
      <c r="N23" s="11"/>
    </row>
    <row r="24" spans="1:21" ht="39" x14ac:dyDescent="0.3">
      <c r="A24" s="7" t="str">
        <f t="shared" si="4"/>
        <v>11511</v>
      </c>
      <c r="B24" s="48" t="s">
        <v>1574</v>
      </c>
      <c r="C24" s="45" t="s">
        <v>320</v>
      </c>
      <c r="D24" s="45">
        <v>1</v>
      </c>
      <c r="E24" s="46" t="str">
        <f>IF(ISNUMBER(SEARCH("CT",B24)),
   "CrossTransferStation[" &amp; (Q$3 + COUNTIF($B$2:B24,"*CT*") - 1) &amp; "]",
   IF( OR(ISNUMBER(SEARCH("TT",B24)), AND(ISNUMBER(SEARCH("C",B24)), NOT(ISNUMBER(SEARCH("CT",B24)))) ),
      "ConveyorStation[" &amp; (Q$2 + COUNTIFS($B$2:B24,"*C*",$B$2:B24,"&lt;&gt;*CT*") + COUNTIF($B$2:B24,"*TT*") - 1) &amp; "]",
      ""))</f>
        <v>CrossTransferStation[208]</v>
      </c>
      <c r="F24" s="9" t="s">
        <v>1575</v>
      </c>
      <c r="G24" s="9"/>
      <c r="H24" s="9"/>
      <c r="I24" s="9"/>
      <c r="J24" s="9" t="s">
        <v>1576</v>
      </c>
      <c r="K24" s="10" t="s">
        <v>470</v>
      </c>
      <c r="L24" s="10" t="s">
        <v>351</v>
      </c>
      <c r="M24" s="10" t="s">
        <v>351</v>
      </c>
      <c r="N24" s="11"/>
    </row>
    <row r="25" spans="1:21" x14ac:dyDescent="0.3">
      <c r="A25" s="7" t="str">
        <f t="shared" si="4"/>
        <v>1521</v>
      </c>
      <c r="B25" s="48" t="s">
        <v>1577</v>
      </c>
      <c r="C25" s="45" t="s">
        <v>320</v>
      </c>
      <c r="D25" s="45">
        <v>1</v>
      </c>
      <c r="E25" s="46" t="str">
        <f>IF(ISNUMBER(SEARCH("CT",B25)),
   "CrossTransferStation[" &amp; (Q$3 + COUNTIF($B$2:B25,"*CT*") - 1) &amp; "]",
   IF( OR(ISNUMBER(SEARCH("TT",B25)), AND(ISNUMBER(SEARCH("C",B25)), NOT(ISNUMBER(SEARCH("CT",B25)))) ),
      "ConveyorStation[" &amp; (Q$2 + COUNTIFS($B$2:B25,"*C*",$B$2:B25,"&lt;&gt;*CT*") + COUNTIF($B$2:B25,"*TT*") - 1) &amp; "]",
      ""))</f>
        <v>ConveyorStation[472]</v>
      </c>
      <c r="F25" s="9"/>
      <c r="G25" s="9"/>
      <c r="H25" s="9"/>
      <c r="I25" s="9"/>
      <c r="J25" s="9" t="s">
        <v>1578</v>
      </c>
      <c r="K25" s="9"/>
      <c r="L25" s="10" t="s">
        <v>350</v>
      </c>
      <c r="M25" s="10" t="s">
        <v>350</v>
      </c>
      <c r="N25" s="11"/>
    </row>
    <row r="26" spans="1:21" x14ac:dyDescent="0.3">
      <c r="A26" s="7" t="str">
        <f>IF(ISNUMBER(SEARCH("CT",B26)),"1"&amp;MID(B26,2,FIND("CT",B26)-2)&amp;RIGHT(B26,1),MID(B26,2,FIND("C",B26)-2)&amp;RIGHT(B26,1))</f>
        <v>1522</v>
      </c>
      <c r="B26" s="48" t="s">
        <v>1579</v>
      </c>
      <c r="C26" s="45" t="s">
        <v>320</v>
      </c>
      <c r="D26" s="45">
        <v>1</v>
      </c>
      <c r="E26" s="46" t="str">
        <f>IF(ISNUMBER(SEARCH("CT",B26)),
   "CrossTransferStation[" &amp; (Q$3 + COUNTIF($B$2:B26,"*CT*") - 1) &amp; "]",
   IF( OR(ISNUMBER(SEARCH("TT",B26)), AND(ISNUMBER(SEARCH("C",B26)), NOT(ISNUMBER(SEARCH("CT",B26)))) ),
      "ConveyorStation[" &amp; (Q$2 + COUNTIFS($B$2:B26,"*C*",$B$2:B26,"&lt;&gt;*CT*") + COUNTIF($B$2:B26,"*TT*") - 1) &amp; "]",
      ""))</f>
        <v>ConveyorStation[473]</v>
      </c>
      <c r="F26" s="9"/>
      <c r="G26" s="9"/>
      <c r="H26" s="9"/>
      <c r="I26" s="9"/>
      <c r="J26" s="9" t="s">
        <v>1580</v>
      </c>
      <c r="K26" s="9"/>
      <c r="L26" s="10" t="s">
        <v>350</v>
      </c>
      <c r="M26" s="10" t="s">
        <v>350</v>
      </c>
      <c r="N26" s="11"/>
    </row>
    <row r="27" spans="1:21" ht="39" x14ac:dyDescent="0.3">
      <c r="A27" s="7" t="str">
        <f>IF(ISNUMBER(SEARCH("CT",B27)),"1"&amp;MID(B27,2,FIND("CT",B27)-2)&amp;RIGHT(B27,1),MID(B27,2,FIND("C",B27)-2)&amp;RIGHT(B27,1))</f>
        <v>1531</v>
      </c>
      <c r="B27" s="26" t="s">
        <v>1581</v>
      </c>
      <c r="C27" s="45" t="s">
        <v>320</v>
      </c>
      <c r="D27" s="45">
        <v>1</v>
      </c>
      <c r="E27" s="46" t="str">
        <f>IF(ISNUMBER(SEARCH("CT",B27)),
   "CrossTransferStation[" &amp; (Q$3 + COUNTIF($B$2:B27,"*CT*") - 1) &amp; "]",
   IF( OR(ISNUMBER(SEARCH("TT",B27)), AND(ISNUMBER(SEARCH("C",B27)), NOT(ISNUMBER(SEARCH("CT",B27)))) ),
      "ConveyorStation[" &amp; (Q$2 + COUNTIFS($B$2:B27,"*C*",$B$2:B27,"&lt;&gt;*CT*") + COUNTIF($B$2:B27,"*TT*") - 1) &amp; "]",
      ""))</f>
        <v>ConveyorStation[474]</v>
      </c>
      <c r="F27" s="9"/>
      <c r="G27" s="9"/>
      <c r="H27" s="9"/>
      <c r="I27" s="9"/>
      <c r="J27" s="9" t="s">
        <v>1582</v>
      </c>
      <c r="K27" s="10" t="s">
        <v>470</v>
      </c>
      <c r="L27" s="10" t="s">
        <v>350</v>
      </c>
      <c r="M27" s="10" t="s">
        <v>350</v>
      </c>
      <c r="N27" s="11"/>
    </row>
    <row r="28" spans="1:21" ht="26" x14ac:dyDescent="0.3">
      <c r="A28" s="60" t="str">
        <f>IF(ISNUMBER(SEARCH("CT",B28)),"1"&amp;MID(B28,2,FIND("CT",B28)-2)&amp;RIGHT(B28,1),MID(B28,2,FIND("C",B28)-2)&amp;RIGHT(B28,1))</f>
        <v>11541</v>
      </c>
      <c r="B28" s="26" t="s">
        <v>1583</v>
      </c>
      <c r="C28" s="45" t="s">
        <v>320</v>
      </c>
      <c r="D28" s="45">
        <v>1</v>
      </c>
      <c r="E28" s="46" t="str">
        <f>IF(ISNUMBER(SEARCH("CT",B28)),
   "CrossTransferStation[" &amp; (Q$3 + COUNTIF($B$2:B28,"*CT*") - 1) &amp; "]",
   IF( OR(ISNUMBER(SEARCH("TT",B28)), AND(ISNUMBER(SEARCH("C",B28)), NOT(ISNUMBER(SEARCH("CT",B28)))) ),
      "ConveyorStation[" &amp; (Q$2 + COUNTIFS($B$2:B28,"*C*",$B$2:B28,"&lt;&gt;*CT*") + COUNTIF($B$2:B28,"*TT*") - 1) &amp; "]",
      ""))</f>
        <v>CrossTransferStation[209]</v>
      </c>
      <c r="F28" s="27" t="s">
        <v>1584</v>
      </c>
      <c r="G28" s="27"/>
      <c r="H28" s="27"/>
      <c r="I28" s="27"/>
      <c r="J28" s="27" t="s">
        <v>1585</v>
      </c>
      <c r="K28" s="27"/>
      <c r="L28" s="10" t="s">
        <v>350</v>
      </c>
      <c r="M28" s="10" t="s">
        <v>351</v>
      </c>
      <c r="N28" s="29"/>
    </row>
  </sheetData>
  <phoneticPr fontId="10" type="noConversion"/>
  <pageMargins left="0.7" right="0.7" top="0.75" bottom="0.75" header="0.3" footer="0.3"/>
  <pageSetup paperSize="9" orientation="portrait" verticalDpi="0"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9BA59-C05E-4E3B-A396-AD08D4455032}">
  <dimension ref="A1:X43"/>
  <sheetViews>
    <sheetView zoomScaleNormal="100" workbookViewId="0">
      <selection activeCell="K24" sqref="K24"/>
    </sheetView>
  </sheetViews>
  <sheetFormatPr defaultColWidth="10.54296875" defaultRowHeight="14.5" x14ac:dyDescent="0.35"/>
  <cols>
    <col min="1" max="1" width="7.1796875" style="30" bestFit="1" customWidth="1"/>
    <col min="2" max="2" width="10.26953125" style="30" bestFit="1" customWidth="1"/>
    <col min="3" max="3" width="16.26953125" style="30" bestFit="1" customWidth="1"/>
    <col min="4" max="4" width="11.453125" style="30" customWidth="1"/>
    <col min="5" max="6" width="23.81640625" style="31" bestFit="1" customWidth="1"/>
    <col min="7" max="7" width="12.453125" bestFit="1" customWidth="1"/>
    <col min="8" max="8" width="18.81640625" style="31" bestFit="1" customWidth="1"/>
    <col min="9" max="9" width="16.453125" style="31" customWidth="1"/>
    <col min="10" max="10" width="30.7265625" style="31" bestFit="1" customWidth="1"/>
    <col min="11" max="11" width="24" style="31" bestFit="1" customWidth="1"/>
    <col min="12" max="13" width="15.7265625" style="30" bestFit="1" customWidth="1"/>
    <col min="14" max="14" width="12.26953125" style="30" bestFit="1" customWidth="1"/>
    <col min="15" max="15" width="4.453125" style="61" customWidth="1"/>
    <col min="16" max="16" width="17.81640625" style="61" bestFit="1" customWidth="1"/>
    <col min="17" max="17" width="4.1796875" style="61" bestFit="1" customWidth="1"/>
    <col min="18" max="18" width="4.453125" style="61" bestFit="1" customWidth="1"/>
    <col min="19" max="19" width="10" style="61" bestFit="1" customWidth="1"/>
    <col min="20" max="20" width="9.81640625" style="61" bestFit="1" customWidth="1"/>
    <col min="21" max="21" width="3" style="61" bestFit="1" customWidth="1"/>
    <col min="22" max="24" width="10.54296875" style="61"/>
    <col min="25" max="16384" width="10.54296875" style="6"/>
  </cols>
  <sheetData>
    <row r="1" spans="1:21" ht="39" x14ac:dyDescent="0.3">
      <c r="A1" s="1" t="s">
        <v>334</v>
      </c>
      <c r="B1" s="2" t="s">
        <v>308</v>
      </c>
      <c r="C1" s="2" t="s">
        <v>335</v>
      </c>
      <c r="D1" s="2" t="s">
        <v>336</v>
      </c>
      <c r="E1" s="3" t="s">
        <v>337</v>
      </c>
      <c r="F1" s="3" t="s">
        <v>338</v>
      </c>
      <c r="G1" s="3" t="s">
        <v>459</v>
      </c>
      <c r="H1" s="3" t="s">
        <v>340</v>
      </c>
      <c r="I1" s="3" t="s">
        <v>341</v>
      </c>
      <c r="J1" s="3" t="s">
        <v>342</v>
      </c>
      <c r="K1" s="3" t="s">
        <v>343</v>
      </c>
      <c r="L1" s="4" t="s">
        <v>344</v>
      </c>
      <c r="M1" s="4" t="s">
        <v>345</v>
      </c>
      <c r="N1" s="5" t="s">
        <v>346</v>
      </c>
    </row>
    <row r="2" spans="1:21" ht="13" x14ac:dyDescent="0.3">
      <c r="A2" s="44" t="str">
        <f t="shared" ref="A2:A17" si="0">IF(ISNUMBER(SEARCH("CT",B2)),"1"&amp;MID(B2,2,FIND("CT",B2)-2)&amp;RIGHT(B2,1),MID(B2,2,FIND("C",B2)-2)&amp;RIGHT(B2,1))</f>
        <v>1081</v>
      </c>
      <c r="B2" s="45" t="s">
        <v>1586</v>
      </c>
      <c r="C2" s="45" t="s">
        <v>321</v>
      </c>
      <c r="D2" s="45">
        <v>1</v>
      </c>
      <c r="E2" s="46" t="str">
        <f>IF(ISNUMBER(SEARCH("CT",B2)),
   "CrossTransferStation[" &amp; (Q$3 + COUNTIF($B$2:B2,"*CT*") - 1) &amp; "]",
   IF( OR(ISNUMBER(SEARCH("TT",B2)), AND(ISNUMBER(SEARCH("C",B2)), NOT(ISNUMBER(SEARCH("CT",B2)))) ),
      "ConveyorStation[" &amp; (Q$2 + COUNTIFS($B$2:B2,"*C*",$B$2:B2,"&lt;&gt;*CT*") + COUNTIF($B$2:B2,"*TT*") - 1) &amp; "]",
      ""))</f>
        <v>ConveyorStation[485]</v>
      </c>
      <c r="F2" s="9"/>
      <c r="G2" s="53"/>
      <c r="H2" s="9"/>
      <c r="I2" s="9"/>
      <c r="J2" s="9" t="s">
        <v>1587</v>
      </c>
      <c r="K2" s="9"/>
      <c r="L2" s="47" t="s">
        <v>350</v>
      </c>
      <c r="M2" s="47" t="s">
        <v>350</v>
      </c>
      <c r="N2" s="11"/>
      <c r="P2" s="62" t="s">
        <v>352</v>
      </c>
      <c r="Q2" s="63">
        <v>485</v>
      </c>
    </row>
    <row r="3" spans="1:21" ht="13" x14ac:dyDescent="0.3">
      <c r="A3" s="44" t="str">
        <f t="shared" si="0"/>
        <v>1082</v>
      </c>
      <c r="B3" s="45" t="s">
        <v>1588</v>
      </c>
      <c r="C3" s="45" t="s">
        <v>321</v>
      </c>
      <c r="D3" s="45">
        <v>1</v>
      </c>
      <c r="E3" s="46" t="str">
        <f>IF(ISNUMBER(SEARCH("CT",B3)),
   "CrossTransferStation[" &amp; (Q$3 + COUNTIF($B$2:B3,"*CT*") - 1) &amp; "]",
   IF( OR(ISNUMBER(SEARCH("TT",B3)), AND(ISNUMBER(SEARCH("C",B3)), NOT(ISNUMBER(SEARCH("CT",B3)))) ),
      "ConveyorStation[" &amp; (Q$2 + COUNTIFS($B$2:B3,"*C*",$B$2:B3,"&lt;&gt;*CT*") + COUNTIF($B$2:B3,"*TT*") - 1) &amp; "]",
      ""))</f>
        <v>ConveyorStation[486]</v>
      </c>
      <c r="F3" s="9"/>
      <c r="G3" s="9"/>
      <c r="H3" s="9"/>
      <c r="I3" s="9"/>
      <c r="J3" s="9" t="s">
        <v>1589</v>
      </c>
      <c r="K3" s="9"/>
      <c r="L3" s="47" t="s">
        <v>350</v>
      </c>
      <c r="M3" s="47" t="s">
        <v>350</v>
      </c>
      <c r="N3" s="11"/>
      <c r="P3" s="62" t="s">
        <v>356</v>
      </c>
      <c r="Q3" s="63">
        <v>220</v>
      </c>
    </row>
    <row r="4" spans="1:21" ht="13" x14ac:dyDescent="0.3">
      <c r="A4" s="23" t="str">
        <f t="shared" si="0"/>
        <v>1083</v>
      </c>
      <c r="B4" s="45" t="s">
        <v>1590</v>
      </c>
      <c r="C4" s="45" t="s">
        <v>321</v>
      </c>
      <c r="D4" s="45">
        <v>1</v>
      </c>
      <c r="E4" s="46" t="str">
        <f>IF(ISNUMBER(SEARCH("CT",B4)),
   "CrossTransferStation[" &amp; (Q$3 + COUNTIF($B$2:B4,"*CT*") - 1) &amp; "]",
   IF( OR(ISNUMBER(SEARCH("TT",B4)), AND(ISNUMBER(SEARCH("C",B4)), NOT(ISNUMBER(SEARCH("CT",B4)))) ),
      "ConveyorStation[" &amp; (Q$2 + COUNTIFS($B$2:B4,"*C*",$B$2:B4,"&lt;&gt;*CT*") + COUNTIF($B$2:B4,"*TT*") - 1) &amp; "]",
      ""))</f>
        <v>ConveyorStation[487]</v>
      </c>
      <c r="F4" s="9" t="s">
        <v>1591</v>
      </c>
      <c r="G4" s="9" t="s">
        <v>1593</v>
      </c>
      <c r="H4" s="9"/>
      <c r="I4" s="9"/>
      <c r="J4" s="9" t="s">
        <v>1592</v>
      </c>
      <c r="K4" s="9"/>
      <c r="L4" s="24" t="s">
        <v>351</v>
      </c>
      <c r="M4" s="24" t="s">
        <v>351</v>
      </c>
      <c r="N4" s="11"/>
      <c r="P4" s="62"/>
      <c r="Q4" s="64"/>
    </row>
    <row r="5" spans="1:21" ht="39" x14ac:dyDescent="0.3">
      <c r="A5" s="44" t="str">
        <f t="shared" si="0"/>
        <v>1084</v>
      </c>
      <c r="B5" s="45" t="s">
        <v>1594</v>
      </c>
      <c r="C5" s="45" t="s">
        <v>321</v>
      </c>
      <c r="D5" s="45">
        <v>1</v>
      </c>
      <c r="E5" s="46" t="str">
        <f>IF(ISNUMBER(SEARCH("CT",B5)),
   "CrossTransferStation[" &amp; (Q$3 + COUNTIF($B$2:B5,"*CT*") - 1) &amp; "]",
   IF( OR(ISNUMBER(SEARCH("TT",B5)), AND(ISNUMBER(SEARCH("C",B5)), NOT(ISNUMBER(SEARCH("CT",B5)))) ),
      "ConveyorStation[" &amp; (Q$2 + COUNTIFS($B$2:B5,"*C*",$B$2:B5,"&lt;&gt;*CT*") + COUNTIF($B$2:B5,"*TT*") - 1) &amp; "]",
      ""))</f>
        <v>ConveyorStation[488]</v>
      </c>
      <c r="F5" s="9" t="s">
        <v>1595</v>
      </c>
      <c r="G5" s="9"/>
      <c r="H5" s="9"/>
      <c r="I5" s="9"/>
      <c r="J5" s="53" t="s">
        <v>1596</v>
      </c>
      <c r="K5" s="9"/>
      <c r="L5" s="47" t="s">
        <v>351</v>
      </c>
      <c r="M5" s="47" t="s">
        <v>351</v>
      </c>
      <c r="N5" s="11"/>
    </row>
    <row r="6" spans="1:21" ht="13" x14ac:dyDescent="0.3">
      <c r="A6" s="44" t="str">
        <f t="shared" si="0"/>
        <v>1085</v>
      </c>
      <c r="B6" s="45" t="s">
        <v>1597</v>
      </c>
      <c r="C6" s="45" t="s">
        <v>321</v>
      </c>
      <c r="D6" s="45">
        <v>1</v>
      </c>
      <c r="E6" s="46" t="str">
        <f>IF(ISNUMBER(SEARCH("CT",B6)),
   "CrossTransferStation[" &amp; (Q$3 + COUNTIF($B$2:B6,"*CT*") - 1) &amp; "]",
   IF( OR(ISNUMBER(SEARCH("TT",B6)), AND(ISNUMBER(SEARCH("C",B6)), NOT(ISNUMBER(SEARCH("CT",B6)))) ),
      "ConveyorStation[" &amp; (Q$2 + COUNTIFS($B$2:B6,"*C*",$B$2:B6,"&lt;&gt;*CT*") + COUNTIF($B$2:B6,"*TT*") - 1) &amp; "]",
      ""))</f>
        <v>ConveyorStation[489]</v>
      </c>
      <c r="F6" s="9" t="s">
        <v>1598</v>
      </c>
      <c r="G6" s="9"/>
      <c r="H6" s="9"/>
      <c r="I6" s="9"/>
      <c r="J6" s="9" t="s">
        <v>1599</v>
      </c>
      <c r="K6" s="9"/>
      <c r="L6" s="47" t="s">
        <v>350</v>
      </c>
      <c r="M6" s="47" t="s">
        <v>351</v>
      </c>
      <c r="N6" s="11"/>
      <c r="P6" s="63" t="s">
        <v>308</v>
      </c>
      <c r="Q6" s="63" t="s">
        <v>365</v>
      </c>
      <c r="R6" s="63" t="s">
        <v>366</v>
      </c>
      <c r="S6" s="63" t="s">
        <v>367</v>
      </c>
      <c r="T6" s="63" t="s">
        <v>368</v>
      </c>
      <c r="U6" s="68"/>
    </row>
    <row r="7" spans="1:21" ht="39" x14ac:dyDescent="0.3">
      <c r="A7" s="44" t="str">
        <f t="shared" si="0"/>
        <v>1086</v>
      </c>
      <c r="B7" s="45" t="s">
        <v>1600</v>
      </c>
      <c r="C7" s="45" t="s">
        <v>321</v>
      </c>
      <c r="D7" s="45">
        <v>1</v>
      </c>
      <c r="E7" s="46" t="str">
        <f>IF(ISNUMBER(SEARCH("CT",B7)),
   "CrossTransferStation[" &amp; (Q$3 + COUNTIF($B$2:B7,"*CT*") - 1) &amp; "]",
   IF( OR(ISNUMBER(SEARCH("TT",B7)), AND(ISNUMBER(SEARCH("C",B7)), NOT(ISNUMBER(SEARCH("CT",B7)))) ),
      "ConveyorStation[" &amp; (Q$2 + COUNTIFS($B$2:B7,"*C*",$B$2:B7,"&lt;&gt;*CT*") + COUNTIF($B$2:B7,"*TT*") - 1) &amp; "]",
      ""))</f>
        <v>ConveyorStation[490]</v>
      </c>
      <c r="F7" s="9" t="s">
        <v>1601</v>
      </c>
      <c r="G7" s="9"/>
      <c r="H7" s="9"/>
      <c r="I7" s="9"/>
      <c r="J7" s="9" t="s">
        <v>1602</v>
      </c>
      <c r="K7" s="10" t="s">
        <v>470</v>
      </c>
      <c r="L7" s="47" t="s">
        <v>350</v>
      </c>
      <c r="M7" s="47" t="s">
        <v>351</v>
      </c>
      <c r="N7" s="11"/>
      <c r="P7" s="9" t="s">
        <v>322</v>
      </c>
      <c r="Q7" s="63">
        <v>485</v>
      </c>
      <c r="R7" s="63">
        <v>519</v>
      </c>
      <c r="S7" s="63">
        <v>10</v>
      </c>
      <c r="T7" s="63">
        <f>SUM(R7:S7)+1</f>
        <v>530</v>
      </c>
      <c r="U7" s="42">
        <f>T7-S7-Q7</f>
        <v>35</v>
      </c>
    </row>
    <row r="8" spans="1:21" ht="26" x14ac:dyDescent="0.3">
      <c r="A8" s="7" t="str">
        <f t="shared" si="0"/>
        <v>11081</v>
      </c>
      <c r="B8" s="45" t="s">
        <v>1603</v>
      </c>
      <c r="C8" s="45" t="s">
        <v>321</v>
      </c>
      <c r="D8" s="45">
        <v>1</v>
      </c>
      <c r="E8" s="46" t="str">
        <f>IF(ISNUMBER(SEARCH("CT",B8)),
   "CrossTransferStation[" &amp; (Q$3 + COUNTIF($B$2:B8,"*CT*") - 1) &amp; "]",
   IF( OR(ISNUMBER(SEARCH("TT",B8)), AND(ISNUMBER(SEARCH("C",B8)), NOT(ISNUMBER(SEARCH("CT",B8)))) ),
      "ConveyorStation[" &amp; (Q$2 + COUNTIFS($B$2:B8,"*C*",$B$2:B8,"&lt;&gt;*CT*") + COUNTIF($B$2:B8,"*TT*") - 1) &amp; "]",
      ""))</f>
        <v>CrossTransferStation[220]</v>
      </c>
      <c r="F8" s="9"/>
      <c r="G8" s="9"/>
      <c r="H8" s="9"/>
      <c r="I8" s="9"/>
      <c r="J8" s="27" t="s">
        <v>1604</v>
      </c>
      <c r="K8" s="9"/>
      <c r="L8" s="47" t="s">
        <v>350</v>
      </c>
      <c r="M8" s="47" t="s">
        <v>350</v>
      </c>
      <c r="N8" s="11"/>
      <c r="P8" s="9" t="s">
        <v>323</v>
      </c>
      <c r="Q8" s="63">
        <v>220</v>
      </c>
      <c r="R8" s="63">
        <v>226</v>
      </c>
      <c r="S8" s="63">
        <v>10</v>
      </c>
      <c r="T8" s="63">
        <f t="shared" ref="T8:T18" si="1">SUM(R8:S8)+1</f>
        <v>237</v>
      </c>
      <c r="U8" s="42">
        <f t="shared" ref="U8:U18" si="2">T8-S8-Q8</f>
        <v>7</v>
      </c>
    </row>
    <row r="9" spans="1:21" ht="26" x14ac:dyDescent="0.3">
      <c r="A9" s="7" t="str">
        <f t="shared" si="0"/>
        <v>11091</v>
      </c>
      <c r="B9" s="48" t="s">
        <v>1605</v>
      </c>
      <c r="C9" s="45" t="s">
        <v>321</v>
      </c>
      <c r="D9" s="45">
        <v>1</v>
      </c>
      <c r="E9" s="46" t="str">
        <f>IF(ISNUMBER(SEARCH("CT",B9)),
   "CrossTransferStation[" &amp; (Q$3 + COUNTIF($B$2:B9,"*CT*") - 1) &amp; "]",
   IF( OR(ISNUMBER(SEARCH("TT",B9)), AND(ISNUMBER(SEARCH("C",B9)), NOT(ISNUMBER(SEARCH("CT",B9)))) ),
      "ConveyorStation[" &amp; (Q$2 + COUNTIFS($B$2:B9,"*C*",$B$2:B9,"&lt;&gt;*CT*") + COUNTIF($B$2:B9,"*TT*") - 1) &amp; "]",
      ""))</f>
        <v>CrossTransferStation[221]</v>
      </c>
      <c r="F9" s="9" t="s">
        <v>1606</v>
      </c>
      <c r="G9" s="9"/>
      <c r="H9" s="9"/>
      <c r="I9" s="9"/>
      <c r="J9" s="27" t="s">
        <v>1607</v>
      </c>
      <c r="K9" s="9"/>
      <c r="L9" s="47" t="s">
        <v>350</v>
      </c>
      <c r="M9" s="47" t="s">
        <v>351</v>
      </c>
      <c r="N9" s="11"/>
      <c r="P9" s="9" t="s">
        <v>324</v>
      </c>
      <c r="Q9" s="63">
        <v>209</v>
      </c>
      <c r="R9" s="63">
        <v>219</v>
      </c>
      <c r="S9" s="63">
        <v>10</v>
      </c>
      <c r="T9" s="63">
        <f t="shared" si="1"/>
        <v>230</v>
      </c>
      <c r="U9" s="42">
        <f t="shared" si="2"/>
        <v>11</v>
      </c>
    </row>
    <row r="10" spans="1:21" x14ac:dyDescent="0.3">
      <c r="A10" s="7" t="str">
        <f t="shared" si="0"/>
        <v>1101</v>
      </c>
      <c r="B10" s="48" t="s">
        <v>1608</v>
      </c>
      <c r="C10" s="45" t="s">
        <v>321</v>
      </c>
      <c r="D10" s="45">
        <v>1</v>
      </c>
      <c r="E10" s="46" t="str">
        <f>IF(ISNUMBER(SEARCH("CT",B10)),
   "CrossTransferStation[" &amp; (Q$3 + COUNTIF($B$2:B10,"*CT*") - 1) &amp; "]",
   IF( OR(ISNUMBER(SEARCH("TT",B10)), AND(ISNUMBER(SEARCH("C",B10)), NOT(ISNUMBER(SEARCH("CT",B10)))) ),
      "ConveyorStation[" &amp; (Q$2 + COUNTIFS($B$2:B10,"*C*",$B$2:B10,"&lt;&gt;*CT*") + COUNTIF($B$2:B10,"*TT*") - 1) &amp; "]",
      ""))</f>
        <v>ConveyorStation[491]</v>
      </c>
      <c r="F10" s="9" t="s">
        <v>1609</v>
      </c>
      <c r="G10" s="9"/>
      <c r="H10" s="9"/>
      <c r="I10" s="9"/>
      <c r="J10" s="9" t="s">
        <v>1610</v>
      </c>
      <c r="K10" s="9"/>
      <c r="L10" s="47" t="s">
        <v>350</v>
      </c>
      <c r="M10" s="47" t="s">
        <v>351</v>
      </c>
      <c r="N10" s="11"/>
      <c r="P10" s="9" t="s">
        <v>325</v>
      </c>
      <c r="Q10" s="63">
        <v>169</v>
      </c>
      <c r="R10" s="63">
        <v>170</v>
      </c>
      <c r="S10" s="63">
        <v>10</v>
      </c>
      <c r="T10" s="63">
        <f t="shared" si="1"/>
        <v>181</v>
      </c>
      <c r="U10" s="42">
        <f t="shared" si="2"/>
        <v>2</v>
      </c>
    </row>
    <row r="11" spans="1:21" x14ac:dyDescent="0.3">
      <c r="A11" s="7" t="str">
        <f t="shared" si="0"/>
        <v>1111</v>
      </c>
      <c r="B11" s="48" t="s">
        <v>1611</v>
      </c>
      <c r="C11" s="45" t="s">
        <v>321</v>
      </c>
      <c r="D11" s="45">
        <v>1</v>
      </c>
      <c r="E11" s="46" t="str">
        <f>IF(ISNUMBER(SEARCH("CT",B11)),
   "CrossTransferStation[" &amp; (Q$3 + COUNTIF($B$2:B11,"*CT*") - 1) &amp; "]",
   IF( OR(ISNUMBER(SEARCH("TT",B11)), AND(ISNUMBER(SEARCH("C",B11)), NOT(ISNUMBER(SEARCH("CT",B11)))) ),
      "ConveyorStation[" &amp; (Q$2 + COUNTIFS($B$2:B11,"*C*",$B$2:B11,"&lt;&gt;*CT*") + COUNTIF($B$2:B11,"*TT*") - 1) &amp; "]",
      ""))</f>
        <v>ConveyorStation[492]</v>
      </c>
      <c r="F11" s="9"/>
      <c r="G11" s="9"/>
      <c r="H11" s="9"/>
      <c r="I11" s="9"/>
      <c r="J11" s="9" t="s">
        <v>1612</v>
      </c>
      <c r="K11" s="9"/>
      <c r="L11" s="47" t="s">
        <v>350</v>
      </c>
      <c r="M11" s="47" t="s">
        <v>350</v>
      </c>
      <c r="N11" s="11"/>
      <c r="P11" s="9" t="s">
        <v>326</v>
      </c>
      <c r="Q11" s="63">
        <v>189</v>
      </c>
      <c r="R11" s="63">
        <v>189</v>
      </c>
      <c r="S11" s="63">
        <v>10</v>
      </c>
      <c r="T11" s="63">
        <f t="shared" si="1"/>
        <v>200</v>
      </c>
      <c r="U11" s="42">
        <f t="shared" si="2"/>
        <v>1</v>
      </c>
    </row>
    <row r="12" spans="1:21" x14ac:dyDescent="0.3">
      <c r="A12" s="7" t="str">
        <f t="shared" si="0"/>
        <v>1112</v>
      </c>
      <c r="B12" s="48" t="s">
        <v>1613</v>
      </c>
      <c r="C12" s="45" t="s">
        <v>321</v>
      </c>
      <c r="D12" s="45">
        <v>1</v>
      </c>
      <c r="E12" s="46" t="str">
        <f>IF(ISNUMBER(SEARCH("CT",B12)),
   "CrossTransferStation[" &amp; (Q$3 + COUNTIF($B$2:B12,"*CT*") - 1) &amp; "]",
   IF( OR(ISNUMBER(SEARCH("TT",B12)), AND(ISNUMBER(SEARCH("C",B12)), NOT(ISNUMBER(SEARCH("CT",B12)))) ),
      "ConveyorStation[" &amp; (Q$2 + COUNTIFS($B$2:B12,"*C*",$B$2:B12,"&lt;&gt;*CT*") + COUNTIF($B$2:B12,"*TT*") - 1) &amp; "]",
      ""))</f>
        <v>ConveyorStation[493]</v>
      </c>
      <c r="F12" s="9" t="s">
        <v>1614</v>
      </c>
      <c r="G12" s="9"/>
      <c r="H12" s="9"/>
      <c r="I12" s="9"/>
      <c r="J12" s="9" t="s">
        <v>1615</v>
      </c>
      <c r="K12" s="9"/>
      <c r="L12" s="47" t="s">
        <v>350</v>
      </c>
      <c r="M12" s="47" t="s">
        <v>351</v>
      </c>
      <c r="N12" s="11"/>
      <c r="P12" s="9" t="s">
        <v>327</v>
      </c>
      <c r="Q12" s="63">
        <v>115</v>
      </c>
      <c r="R12" s="63">
        <v>115</v>
      </c>
      <c r="S12" s="63">
        <v>10</v>
      </c>
      <c r="T12" s="63">
        <f t="shared" si="1"/>
        <v>126</v>
      </c>
      <c r="U12" s="42">
        <f t="shared" si="2"/>
        <v>1</v>
      </c>
    </row>
    <row r="13" spans="1:21" x14ac:dyDescent="0.3">
      <c r="A13" s="7" t="str">
        <f t="shared" si="0"/>
        <v>1113</v>
      </c>
      <c r="B13" s="48" t="s">
        <v>1616</v>
      </c>
      <c r="C13" s="45" t="s">
        <v>321</v>
      </c>
      <c r="D13" s="45">
        <v>1</v>
      </c>
      <c r="E13" s="46" t="str">
        <f>IF(ISNUMBER(SEARCH("CT",B13)),
   "CrossTransferStation[" &amp; (Q$3 + COUNTIF($B$2:B13,"*CT*") - 1) &amp; "]",
   IF( OR(ISNUMBER(SEARCH("TT",B13)), AND(ISNUMBER(SEARCH("C",B13)), NOT(ISNUMBER(SEARCH("CT",B13)))) ),
      "ConveyorStation[" &amp; (Q$2 + COUNTIFS($B$2:B13,"*C*",$B$2:B13,"&lt;&gt;*CT*") + COUNTIF($B$2:B13,"*TT*") - 1) &amp; "]",
      ""))</f>
        <v>ConveyorStation[494]</v>
      </c>
      <c r="F13" s="9"/>
      <c r="G13" s="9"/>
      <c r="H13" s="9"/>
      <c r="I13" s="9"/>
      <c r="J13" s="9" t="s">
        <v>1617</v>
      </c>
      <c r="K13" s="9"/>
      <c r="L13" s="47" t="s">
        <v>350</v>
      </c>
      <c r="M13" s="47" t="s">
        <v>350</v>
      </c>
      <c r="N13" s="11"/>
      <c r="P13" s="9" t="s">
        <v>328</v>
      </c>
      <c r="Q13" s="63">
        <v>94</v>
      </c>
      <c r="R13" s="63">
        <v>94</v>
      </c>
      <c r="S13" s="63">
        <v>10</v>
      </c>
      <c r="T13" s="63">
        <f t="shared" si="1"/>
        <v>105</v>
      </c>
      <c r="U13" s="42">
        <f t="shared" si="2"/>
        <v>1</v>
      </c>
    </row>
    <row r="14" spans="1:21" x14ac:dyDescent="0.3">
      <c r="A14" s="7" t="str">
        <f t="shared" si="0"/>
        <v>1114</v>
      </c>
      <c r="B14" s="48" t="s">
        <v>1618</v>
      </c>
      <c r="C14" s="45" t="s">
        <v>321</v>
      </c>
      <c r="D14" s="45">
        <v>1</v>
      </c>
      <c r="E14" s="46" t="str">
        <f>IF(ISNUMBER(SEARCH("CT",B14)),
   "CrossTransferStation[" &amp; (Q$3 + COUNTIF($B$2:B14,"*CT*") - 1) &amp; "]",
   IF( OR(ISNUMBER(SEARCH("TT",B14)), AND(ISNUMBER(SEARCH("C",B14)), NOT(ISNUMBER(SEARCH("CT",B14)))) ),
      "ConveyorStation[" &amp; (Q$2 + COUNTIFS($B$2:B14,"*C*",$B$2:B14,"&lt;&gt;*CT*") + COUNTIF($B$2:B14,"*TT*") - 1) &amp; "]",
      ""))</f>
        <v>ConveyorStation[495]</v>
      </c>
      <c r="F14" s="9"/>
      <c r="G14" s="9"/>
      <c r="H14" s="9"/>
      <c r="I14" s="9"/>
      <c r="J14" s="9" t="s">
        <v>1619</v>
      </c>
      <c r="K14" s="9"/>
      <c r="L14" s="47" t="s">
        <v>350</v>
      </c>
      <c r="M14" s="47" t="s">
        <v>350</v>
      </c>
      <c r="N14" s="11"/>
      <c r="P14" s="9" t="s">
        <v>329</v>
      </c>
      <c r="Q14" s="63">
        <v>13</v>
      </c>
      <c r="R14" s="63">
        <v>13</v>
      </c>
      <c r="S14" s="63">
        <v>10</v>
      </c>
      <c r="T14" s="63">
        <f t="shared" si="1"/>
        <v>24</v>
      </c>
      <c r="U14" s="42">
        <f t="shared" si="2"/>
        <v>1</v>
      </c>
    </row>
    <row r="15" spans="1:21" x14ac:dyDescent="0.3">
      <c r="A15" s="7" t="str">
        <f t="shared" si="0"/>
        <v>1115</v>
      </c>
      <c r="B15" s="48" t="s">
        <v>1620</v>
      </c>
      <c r="C15" s="45" t="s">
        <v>321</v>
      </c>
      <c r="D15" s="45">
        <v>1</v>
      </c>
      <c r="E15" s="46" t="str">
        <f>IF(ISNUMBER(SEARCH("CT",B15)),
   "CrossTransferStation[" &amp; (Q$3 + COUNTIF($B$2:B15,"*CT*") - 1) &amp; "]",
   IF( OR(ISNUMBER(SEARCH("TT",B15)), AND(ISNUMBER(SEARCH("C",B15)), NOT(ISNUMBER(SEARCH("CT",B15)))) ),
      "ConveyorStation[" &amp; (Q$2 + COUNTIFS($B$2:B15,"*C*",$B$2:B15,"&lt;&gt;*CT*") + COUNTIF($B$2:B15,"*TT*") - 1) &amp; "]",
      ""))</f>
        <v>ConveyorStation[496]</v>
      </c>
      <c r="F15" s="9"/>
      <c r="G15" s="9"/>
      <c r="H15" s="9"/>
      <c r="I15" s="9"/>
      <c r="J15" s="9" t="s">
        <v>1621</v>
      </c>
      <c r="K15" s="9"/>
      <c r="L15" s="47" t="s">
        <v>350</v>
      </c>
      <c r="M15" s="47" t="s">
        <v>350</v>
      </c>
      <c r="N15" s="11"/>
      <c r="P15" s="9" t="s">
        <v>185</v>
      </c>
      <c r="Q15" s="63"/>
      <c r="R15" s="63"/>
      <c r="S15" s="63"/>
      <c r="T15" s="63">
        <f>'EZ15 Prod G 10M AMB'!T15</f>
        <v>89</v>
      </c>
      <c r="U15" s="42"/>
    </row>
    <row r="16" spans="1:21" x14ac:dyDescent="0.3">
      <c r="A16" s="7" t="str">
        <f t="shared" si="0"/>
        <v>1116</v>
      </c>
      <c r="B16" s="48" t="s">
        <v>1622</v>
      </c>
      <c r="C16" s="45" t="s">
        <v>321</v>
      </c>
      <c r="D16" s="45">
        <v>1</v>
      </c>
      <c r="E16" s="46" t="str">
        <f>IF(ISNUMBER(SEARCH("CT",B16)),
   "CrossTransferStation[" &amp; (Q$3 + COUNTIF($B$2:B16,"*CT*") - 1) &amp; "]",
   IF( OR(ISNUMBER(SEARCH("TT",B16)), AND(ISNUMBER(SEARCH("C",B16)), NOT(ISNUMBER(SEARCH("CT",B16)))) ),
      "ConveyorStation[" &amp; (Q$2 + COUNTIFS($B$2:B16,"*C*",$B$2:B16,"&lt;&gt;*CT*") + COUNTIF($B$2:B16,"*TT*") - 1) &amp; "]",
      ""))</f>
        <v>ConveyorStation[497]</v>
      </c>
      <c r="F16" s="64"/>
      <c r="G16" s="9"/>
      <c r="H16" s="9"/>
      <c r="I16" s="9"/>
      <c r="J16" s="9" t="s">
        <v>1623</v>
      </c>
      <c r="K16" s="9"/>
      <c r="L16" s="47" t="s">
        <v>350</v>
      </c>
      <c r="M16" s="47" t="s">
        <v>350</v>
      </c>
      <c r="N16" s="11"/>
      <c r="P16" s="9" t="s">
        <v>330</v>
      </c>
      <c r="Q16" s="63">
        <v>34</v>
      </c>
      <c r="R16" s="63">
        <v>34</v>
      </c>
      <c r="S16" s="63">
        <v>10</v>
      </c>
      <c r="T16" s="63">
        <f t="shared" si="1"/>
        <v>45</v>
      </c>
      <c r="U16" s="42">
        <f t="shared" si="2"/>
        <v>1</v>
      </c>
    </row>
    <row r="17" spans="1:21" x14ac:dyDescent="0.3">
      <c r="A17" s="7" t="str">
        <f t="shared" si="0"/>
        <v>1117</v>
      </c>
      <c r="B17" s="48" t="s">
        <v>1624</v>
      </c>
      <c r="C17" s="45" t="s">
        <v>321</v>
      </c>
      <c r="D17" s="45">
        <v>1</v>
      </c>
      <c r="E17" s="46" t="str">
        <f>IF(ISNUMBER(SEARCH("CT",B17)),
   "CrossTransferStation[" &amp; (Q$3 + COUNTIF($B$2:B17,"*CT*") - 1) &amp; "]",
   IF( OR(ISNUMBER(SEARCH("TT",B17)), AND(ISNUMBER(SEARCH("C",B17)), NOT(ISNUMBER(SEARCH("CT",B17)))) ),
      "ConveyorStation[" &amp; (Q$2 + COUNTIFS($B$2:B17,"*C*",$B$2:B17,"&lt;&gt;*CT*") + COUNTIF($B$2:B17,"*TT*") - 1) &amp; "]",
      ""))</f>
        <v>ConveyorStation[498]</v>
      </c>
      <c r="F17" s="64"/>
      <c r="G17" s="9"/>
      <c r="H17" s="9"/>
      <c r="I17" s="9"/>
      <c r="J17" s="9" t="s">
        <v>1625</v>
      </c>
      <c r="K17" s="9"/>
      <c r="L17" s="47" t="s">
        <v>350</v>
      </c>
      <c r="M17" s="47" t="s">
        <v>350</v>
      </c>
      <c r="N17" s="11"/>
      <c r="P17" s="9" t="s">
        <v>331</v>
      </c>
      <c r="Q17" s="63">
        <v>94</v>
      </c>
      <c r="R17" s="63">
        <v>94</v>
      </c>
      <c r="S17" s="63">
        <v>10</v>
      </c>
      <c r="T17" s="63">
        <f t="shared" si="1"/>
        <v>105</v>
      </c>
      <c r="U17" s="42">
        <f t="shared" si="2"/>
        <v>1</v>
      </c>
    </row>
    <row r="18" spans="1:21" x14ac:dyDescent="0.3">
      <c r="A18" s="60" t="str">
        <f>IF(ISNUMBER(SEARCH("CT",B18)),"1"&amp;MID(B18,2,FIND("CT",B18)-2)&amp;RIGHT(B18,1),MID(B18,2,FIND("C",B18)-2)&amp;RIGHT(B18,1))</f>
        <v>1118</v>
      </c>
      <c r="B18" s="48" t="s">
        <v>1626</v>
      </c>
      <c r="C18" s="45" t="s">
        <v>321</v>
      </c>
      <c r="D18" s="45">
        <v>1</v>
      </c>
      <c r="E18" s="46" t="str">
        <f>IF(ISNUMBER(SEARCH("CT",B18)),
   "CrossTransferStation[" &amp; (Q$3 + COUNTIF($B$2:B18,"*CT*") - 1) &amp; "]",
   IF( OR(ISNUMBER(SEARCH("TT",B18)), AND(ISNUMBER(SEARCH("C",B18)), NOT(ISNUMBER(SEARCH("CT",B18)))) ),
      "ConveyorStation[" &amp; (Q$2 + COUNTIFS($B$2:B18,"*C*",$B$2:B18,"&lt;&gt;*CT*") + COUNTIF($B$2:B18,"*TT*") - 1) &amp; "]",
      ""))</f>
        <v>ConveyorStation[499]</v>
      </c>
      <c r="F18" s="27"/>
      <c r="G18" s="27"/>
      <c r="H18" s="27"/>
      <c r="I18" s="27"/>
      <c r="J18" s="9" t="s">
        <v>1627</v>
      </c>
      <c r="K18" s="27"/>
      <c r="L18" s="47" t="s">
        <v>350</v>
      </c>
      <c r="M18" s="47" t="s">
        <v>350</v>
      </c>
      <c r="N18" s="29"/>
      <c r="P18" s="69" t="s">
        <v>201</v>
      </c>
      <c r="Q18" s="63">
        <v>42</v>
      </c>
      <c r="R18" s="63">
        <v>42</v>
      </c>
      <c r="S18" s="63">
        <v>10</v>
      </c>
      <c r="T18" s="63">
        <f t="shared" si="1"/>
        <v>53</v>
      </c>
      <c r="U18" s="42">
        <f t="shared" si="2"/>
        <v>1</v>
      </c>
    </row>
    <row r="19" spans="1:21" x14ac:dyDescent="0.3">
      <c r="A19" s="7" t="str">
        <f>IF(ISNUMBER(SEARCH("CT",B19)),"1"&amp;MID(B19,2,FIND("CT",B19)-2)&amp;RIGHT(B19,1),MID(B19,2,FIND("C",B19)-2)&amp;RIGHT(B19,1))</f>
        <v>1119</v>
      </c>
      <c r="B19" s="48" t="s">
        <v>1628</v>
      </c>
      <c r="C19" s="45" t="s">
        <v>321</v>
      </c>
      <c r="D19" s="45">
        <v>1</v>
      </c>
      <c r="E19" s="46" t="str">
        <f>IF(ISNUMBER(SEARCH("CT",B19)),
   "CrossTransferStation[" &amp; (Q$3 + COUNTIF($B$2:B19,"*CT*") - 1) &amp; "]",
   IF( OR(ISNUMBER(SEARCH("TT",B19)), AND(ISNUMBER(SEARCH("C",B19)), NOT(ISNUMBER(SEARCH("CT",B19)))) ),
      "ConveyorStation[" &amp; (Q$2 + COUNTIFS($B$2:B19,"*C*",$B$2:B19,"&lt;&gt;*CT*") + COUNTIF($B$2:B19,"*TT*") - 1) &amp; "]",
      ""))</f>
        <v>ConveyorStation[500]</v>
      </c>
      <c r="F19" s="9" t="s">
        <v>1629</v>
      </c>
      <c r="G19" s="9"/>
      <c r="H19" s="9"/>
      <c r="I19" s="9"/>
      <c r="J19" s="9" t="s">
        <v>1630</v>
      </c>
      <c r="K19" s="9"/>
      <c r="L19" s="47" t="s">
        <v>351</v>
      </c>
      <c r="M19" s="47" t="s">
        <v>351</v>
      </c>
      <c r="N19" s="11"/>
      <c r="P19" s="69" t="s">
        <v>332</v>
      </c>
      <c r="Q19" s="63"/>
      <c r="R19" s="63"/>
      <c r="S19" s="63"/>
      <c r="T19" s="63">
        <f>'EZ15 Prod G 10M AMB'!T19</f>
        <v>25</v>
      </c>
      <c r="U19" s="42"/>
    </row>
    <row r="20" spans="1:21" ht="13" x14ac:dyDescent="0.3">
      <c r="A20" s="7" t="str">
        <f>IF(ISNUMBER(SEARCH("CT",B20)),"1"&amp;MID(B20,2,FIND("CT",B20)-2)&amp;RIGHT(B20,1),MID(B20,2,FIND("C",B20)-2)&amp;RIGHT(B20,1))</f>
        <v>1110</v>
      </c>
      <c r="B20" s="48" t="s">
        <v>1631</v>
      </c>
      <c r="C20" s="45" t="s">
        <v>321</v>
      </c>
      <c r="D20" s="45">
        <v>1</v>
      </c>
      <c r="E20" s="46" t="str">
        <f>IF(ISNUMBER(SEARCH("CT",B20)),
   "CrossTransferStation[" &amp; (Q$3 + COUNTIF($B$2:B20,"*CT*") - 1) &amp; "]",
   IF( OR(ISNUMBER(SEARCH("TT",B20)), AND(ISNUMBER(SEARCH("C",B20)), NOT(ISNUMBER(SEARCH("CT",B20)))) ),
      "ConveyorStation[" &amp; (Q$2 + COUNTIFS($B$2:B20,"*C*",$B$2:B20,"&lt;&gt;*CT*") + COUNTIF($B$2:B20,"*TT*") - 1) &amp; "]",
      ""))</f>
        <v>ConveyorStation[501]</v>
      </c>
      <c r="F20" s="9" t="s">
        <v>1632</v>
      </c>
      <c r="G20" s="9"/>
      <c r="H20" s="9"/>
      <c r="I20" s="9"/>
      <c r="J20" s="9" t="s">
        <v>1633</v>
      </c>
      <c r="K20" s="9"/>
      <c r="L20" s="47" t="s">
        <v>351</v>
      </c>
      <c r="M20" s="47" t="s">
        <v>351</v>
      </c>
      <c r="N20" s="11"/>
    </row>
    <row r="21" spans="1:21" ht="26" x14ac:dyDescent="0.3">
      <c r="A21" s="7" t="str">
        <f t="shared" ref="A21:A25" si="3">IF(ISNUMBER(SEARCH("CT",B21)),"1"&amp;MID(B21,2,FIND("CT",B21)-2)&amp;RIGHT(B21,1),MID(B21,2,FIND("C",B21)-2)&amp;RIGHT(B21,1))</f>
        <v>11111</v>
      </c>
      <c r="B21" s="48" t="s">
        <v>1634</v>
      </c>
      <c r="C21" s="45" t="s">
        <v>321</v>
      </c>
      <c r="D21" s="45">
        <v>1</v>
      </c>
      <c r="E21" s="46" t="str">
        <f>IF(ISNUMBER(SEARCH("CT",B21)),
   "CrossTransferStation[" &amp; (Q$3 + COUNTIF($B$2:B21,"*CT*") - 1) &amp; "]",
   IF( OR(ISNUMBER(SEARCH("TT",B21)), AND(ISNUMBER(SEARCH("C",B21)), NOT(ISNUMBER(SEARCH("CT",B21)))) ),
      "ConveyorStation[" &amp; (Q$2 + COUNTIFS($B$2:B21,"*C*",$B$2:B21,"&lt;&gt;*CT*") + COUNTIF($B$2:B21,"*TT*") - 1) &amp; "]",
      ""))</f>
        <v>CrossTransferStation[222]</v>
      </c>
      <c r="F21" s="9" t="s">
        <v>1635</v>
      </c>
      <c r="G21" s="9"/>
      <c r="H21" s="9"/>
      <c r="I21" s="9"/>
      <c r="J21" s="27" t="s">
        <v>1636</v>
      </c>
      <c r="K21" s="9"/>
      <c r="L21" s="47" t="s">
        <v>351</v>
      </c>
      <c r="M21" s="47" t="s">
        <v>351</v>
      </c>
      <c r="N21" s="11"/>
    </row>
    <row r="22" spans="1:21" ht="26" x14ac:dyDescent="0.3">
      <c r="A22" s="7" t="str">
        <f t="shared" si="3"/>
        <v>11112</v>
      </c>
      <c r="B22" s="48" t="s">
        <v>1637</v>
      </c>
      <c r="C22" s="45" t="s">
        <v>321</v>
      </c>
      <c r="D22" s="45">
        <v>1</v>
      </c>
      <c r="E22" s="46" t="str">
        <f>IF(ISNUMBER(SEARCH("CT",B22)),
   "CrossTransferStation[" &amp; (Q$3 + COUNTIF($B$2:B22,"*CT*") - 1) &amp; "]",
   IF( OR(ISNUMBER(SEARCH("TT",B22)), AND(ISNUMBER(SEARCH("C",B22)), NOT(ISNUMBER(SEARCH("CT",B22)))) ),
      "ConveyorStation[" &amp; (Q$2 + COUNTIFS($B$2:B22,"*C*",$B$2:B22,"&lt;&gt;*CT*") + COUNTIF($B$2:B22,"*TT*") - 1) &amp; "]",
      ""))</f>
        <v>CrossTransferStation[223]</v>
      </c>
      <c r="F22" s="9" t="s">
        <v>1638</v>
      </c>
      <c r="G22" s="9"/>
      <c r="H22" s="9"/>
      <c r="I22" s="9"/>
      <c r="J22" s="27" t="s">
        <v>1639</v>
      </c>
      <c r="K22" s="9"/>
      <c r="L22" s="47" t="s">
        <v>351</v>
      </c>
      <c r="M22" s="47" t="s">
        <v>351</v>
      </c>
      <c r="N22" s="11"/>
    </row>
    <row r="23" spans="1:21" ht="13" x14ac:dyDescent="0.3">
      <c r="A23" s="7" t="str">
        <f t="shared" si="3"/>
        <v>1121</v>
      </c>
      <c r="B23" s="48" t="s">
        <v>1640</v>
      </c>
      <c r="C23" s="45" t="s">
        <v>321</v>
      </c>
      <c r="D23" s="45">
        <v>1</v>
      </c>
      <c r="E23" s="46" t="str">
        <f>IF(ISNUMBER(SEARCH("CT",B23)),
   "CrossTransferStation[" &amp; (Q$3 + COUNTIF($B$2:B23,"*CT*") - 1) &amp; "]",
   IF( OR(ISNUMBER(SEARCH("TT",B23)), AND(ISNUMBER(SEARCH("C",B23)), NOT(ISNUMBER(SEARCH("CT",B23)))) ),
      "ConveyorStation[" &amp; (Q$2 + COUNTIFS($B$2:B23,"*C*",$B$2:B23,"&lt;&gt;*CT*") + COUNTIF($B$2:B23,"*TT*") - 1) &amp; "]",
      ""))</f>
        <v>ConveyorStation[502]</v>
      </c>
      <c r="F23" s="9" t="s">
        <v>1641</v>
      </c>
      <c r="G23" s="9"/>
      <c r="H23" s="9"/>
      <c r="I23" s="9"/>
      <c r="J23" s="9" t="s">
        <v>1642</v>
      </c>
      <c r="K23" s="9"/>
      <c r="L23" s="47" t="s">
        <v>351</v>
      </c>
      <c r="M23" s="47" t="s">
        <v>351</v>
      </c>
      <c r="N23" s="11"/>
    </row>
    <row r="24" spans="1:21" ht="13" x14ac:dyDescent="0.3">
      <c r="A24" s="7" t="str">
        <f t="shared" si="3"/>
        <v>1122</v>
      </c>
      <c r="B24" s="48" t="s">
        <v>1643</v>
      </c>
      <c r="C24" s="45" t="s">
        <v>321</v>
      </c>
      <c r="D24" s="45">
        <v>1</v>
      </c>
      <c r="E24" s="46" t="str">
        <f>IF(ISNUMBER(SEARCH("CT",B24)),
   "CrossTransferStation[" &amp; (Q$3 + COUNTIF($B$2:B24,"*CT*") - 1) &amp; "]",
   IF( OR(ISNUMBER(SEARCH("TT",B24)), AND(ISNUMBER(SEARCH("C",B24)), NOT(ISNUMBER(SEARCH("CT",B24)))) ),
      "ConveyorStation[" &amp; (Q$2 + COUNTIFS($B$2:B24,"*C*",$B$2:B24,"&lt;&gt;*CT*") + COUNTIF($B$2:B24,"*TT*") - 1) &amp; "]",
      ""))</f>
        <v>ConveyorStation[503]</v>
      </c>
      <c r="F24" s="9" t="s">
        <v>1644</v>
      </c>
      <c r="G24" s="9"/>
      <c r="H24" s="9"/>
      <c r="I24" s="9"/>
      <c r="J24" s="9" t="s">
        <v>1645</v>
      </c>
      <c r="K24" s="9"/>
      <c r="L24" s="10" t="s">
        <v>351</v>
      </c>
      <c r="M24" s="10" t="s">
        <v>351</v>
      </c>
      <c r="N24" s="11"/>
    </row>
    <row r="25" spans="1:21" ht="13" x14ac:dyDescent="0.3">
      <c r="A25" s="7" t="str">
        <f t="shared" si="3"/>
        <v>1123</v>
      </c>
      <c r="B25" s="48" t="s">
        <v>1646</v>
      </c>
      <c r="C25" s="45" t="s">
        <v>321</v>
      </c>
      <c r="D25" s="45">
        <v>1</v>
      </c>
      <c r="E25" s="46" t="str">
        <f>IF(ISNUMBER(SEARCH("CT",B25)),
   "CrossTransferStation[" &amp; (Q$3 + COUNTIF($B$2:B25,"*CT*") - 1) &amp; "]",
   IF( OR(ISNUMBER(SEARCH("TT",B25)), AND(ISNUMBER(SEARCH("C",B25)), NOT(ISNUMBER(SEARCH("CT",B25)))) ),
      "ConveyorStation[" &amp; (Q$2 + COUNTIFS($B$2:B25,"*C*",$B$2:B25,"&lt;&gt;*CT*") + COUNTIF($B$2:B25,"*TT*") - 1) &amp; "]",
      ""))</f>
        <v>ConveyorStation[504]</v>
      </c>
      <c r="F25" s="9" t="s">
        <v>1647</v>
      </c>
      <c r="G25" s="9"/>
      <c r="H25" s="9"/>
      <c r="I25" s="9"/>
      <c r="J25" s="9" t="s">
        <v>1648</v>
      </c>
      <c r="K25" s="9"/>
      <c r="L25" s="10" t="s">
        <v>351</v>
      </c>
      <c r="M25" s="10" t="s">
        <v>351</v>
      </c>
      <c r="N25" s="11"/>
    </row>
    <row r="26" spans="1:21" ht="13" x14ac:dyDescent="0.3">
      <c r="A26" s="7" t="str">
        <f>IF(ISNUMBER(SEARCH("CT",B26)),"1"&amp;MID(B26,2,FIND("CT",B26)-2)&amp;RIGHT(B26,1),MID(B26,2,FIND("C",B26)-2)&amp;RIGHT(B26,1))</f>
        <v>1124</v>
      </c>
      <c r="B26" s="48" t="s">
        <v>1649</v>
      </c>
      <c r="C26" s="45" t="s">
        <v>321</v>
      </c>
      <c r="D26" s="45">
        <v>1</v>
      </c>
      <c r="E26" s="46" t="str">
        <f>IF(ISNUMBER(SEARCH("CT",B26)),
   "CrossTransferStation[" &amp; (Q$3 + COUNTIF($B$2:B26,"*CT*") - 1) &amp; "]",
   IF( OR(ISNUMBER(SEARCH("TT",B26)), AND(ISNUMBER(SEARCH("C",B26)), NOT(ISNUMBER(SEARCH("CT",B26)))) ),
      "ConveyorStation[" &amp; (Q$2 + COUNTIFS($B$2:B26,"*C*",$B$2:B26,"&lt;&gt;*CT*") + COUNTIF($B$2:B26,"*TT*") - 1) &amp; "]",
      ""))</f>
        <v>ConveyorStation[505]</v>
      </c>
      <c r="F26" s="9"/>
      <c r="G26" s="9"/>
      <c r="H26" s="9"/>
      <c r="I26" s="9"/>
      <c r="J26" s="9" t="s">
        <v>1650</v>
      </c>
      <c r="K26" s="9"/>
      <c r="L26" s="47" t="s">
        <v>350</v>
      </c>
      <c r="M26" s="47" t="s">
        <v>350</v>
      </c>
      <c r="N26" s="11"/>
    </row>
    <row r="27" spans="1:21" ht="13" x14ac:dyDescent="0.3">
      <c r="A27" s="7" t="str">
        <f>IF(ISNUMBER(SEARCH("CT",B27)),"1"&amp;MID(B27,2,FIND("CT",B27)-2)&amp;RIGHT(B27,1),MID(B27,2,FIND("C",B27)-2)&amp;RIGHT(B27,1))</f>
        <v>1125</v>
      </c>
      <c r="B27" s="48" t="s">
        <v>1651</v>
      </c>
      <c r="C27" s="45" t="s">
        <v>321</v>
      </c>
      <c r="D27" s="45">
        <v>1</v>
      </c>
      <c r="E27" s="46" t="str">
        <f>IF(ISNUMBER(SEARCH("CT",B27)),
   "CrossTransferStation[" &amp; (Q$3 + COUNTIF($B$2:B27,"*CT*") - 1) &amp; "]",
   IF( OR(ISNUMBER(SEARCH("TT",B27)), AND(ISNUMBER(SEARCH("C",B27)), NOT(ISNUMBER(SEARCH("CT",B27)))) ),
      "ConveyorStation[" &amp; (Q$2 + COUNTIFS($B$2:B27,"*C*",$B$2:B27,"&lt;&gt;*CT*") + COUNTIF($B$2:B27,"*TT*") - 1) &amp; "]",
      ""))</f>
        <v>ConveyorStation[506]</v>
      </c>
      <c r="F27" s="9"/>
      <c r="G27" s="9"/>
      <c r="H27" s="9"/>
      <c r="I27" s="9"/>
      <c r="J27" s="9" t="s">
        <v>1652</v>
      </c>
      <c r="K27" s="9"/>
      <c r="L27" s="47" t="s">
        <v>350</v>
      </c>
      <c r="M27" s="47" t="s">
        <v>350</v>
      </c>
      <c r="N27" s="11"/>
    </row>
    <row r="28" spans="1:21" ht="13" x14ac:dyDescent="0.3">
      <c r="A28" s="60" t="str">
        <f>IF(ISNUMBER(SEARCH("CT",B28)),"1"&amp;MID(B28,2,FIND("CT",B28)-2)&amp;RIGHT(B28,1),MID(B28,2,FIND("C",B28)-2)&amp;RIGHT(B28,1))</f>
        <v>1126</v>
      </c>
      <c r="B28" s="48" t="s">
        <v>1653</v>
      </c>
      <c r="C28" s="45" t="s">
        <v>321</v>
      </c>
      <c r="D28" s="45">
        <v>1</v>
      </c>
      <c r="E28" s="46" t="str">
        <f>IF(ISNUMBER(SEARCH("CT",B28)),
   "CrossTransferStation[" &amp; (Q$3 + COUNTIF($B$2:B28,"*CT*") - 1) &amp; "]",
   IF( OR(ISNUMBER(SEARCH("TT",B28)), AND(ISNUMBER(SEARCH("C",B28)), NOT(ISNUMBER(SEARCH("CT",B28)))) ),
      "ConveyorStation[" &amp; (Q$2 + COUNTIFS($B$2:B28,"*C*",$B$2:B28,"&lt;&gt;*CT*") + COUNTIF($B$2:B28,"*TT*") - 1) &amp; "]",
      ""))</f>
        <v>ConveyorStation[507]</v>
      </c>
      <c r="F28" s="9"/>
      <c r="G28" s="27"/>
      <c r="H28" s="27"/>
      <c r="I28" s="27"/>
      <c r="J28" s="9" t="s">
        <v>1654</v>
      </c>
      <c r="K28" s="27"/>
      <c r="L28" s="47" t="s">
        <v>350</v>
      </c>
      <c r="M28" s="47" t="s">
        <v>350</v>
      </c>
      <c r="N28" s="29"/>
    </row>
    <row r="29" spans="1:21" ht="13" x14ac:dyDescent="0.3">
      <c r="A29" s="7" t="str">
        <f t="shared" ref="A29:A34" si="4">IF(ISNUMBER(SEARCH("CT",B29)),"1"&amp;MID(B29,2,FIND("CT",B29)-2)&amp;RIGHT(B29,1),MID(B29,2,FIND("C",B29)-2)&amp;RIGHT(B29,1))</f>
        <v>1127</v>
      </c>
      <c r="B29" s="48" t="s">
        <v>1655</v>
      </c>
      <c r="C29" s="45" t="s">
        <v>321</v>
      </c>
      <c r="D29" s="45">
        <v>1</v>
      </c>
      <c r="E29" s="46" t="str">
        <f>IF(ISNUMBER(SEARCH("CT",B29)),
   "CrossTransferStation[" &amp; (Q$3 + COUNTIF($B$2:B29,"*CT*") - 1) &amp; "]",
   IF( OR(ISNUMBER(SEARCH("TT",B29)), AND(ISNUMBER(SEARCH("C",B29)), NOT(ISNUMBER(SEARCH("CT",B29)))) ),
      "ConveyorStation[" &amp; (Q$2 + COUNTIFS($B$2:B29,"*C*",$B$2:B29,"&lt;&gt;*CT*") + COUNTIF($B$2:B29,"*TT*") - 1) &amp; "]",
      ""))</f>
        <v>ConveyorStation[508]</v>
      </c>
      <c r="F29" s="9"/>
      <c r="G29" s="9"/>
      <c r="H29" s="9"/>
      <c r="I29" s="9"/>
      <c r="J29" s="9" t="s">
        <v>1656</v>
      </c>
      <c r="K29" s="9"/>
      <c r="L29" s="47" t="s">
        <v>350</v>
      </c>
      <c r="M29" s="47" t="s">
        <v>350</v>
      </c>
      <c r="N29" s="11"/>
    </row>
    <row r="30" spans="1:21" ht="13" x14ac:dyDescent="0.3">
      <c r="A30" s="7" t="str">
        <f t="shared" si="4"/>
        <v>1128</v>
      </c>
      <c r="B30" s="48" t="s">
        <v>1657</v>
      </c>
      <c r="C30" s="45" t="s">
        <v>321</v>
      </c>
      <c r="D30" s="45">
        <v>1</v>
      </c>
      <c r="E30" s="46" t="str">
        <f>IF(ISNUMBER(SEARCH("CT",B30)),
   "CrossTransferStation[" &amp; (Q$3 + COUNTIF($B$2:B30,"*CT*") - 1) &amp; "]",
   IF( OR(ISNUMBER(SEARCH("TT",B30)), AND(ISNUMBER(SEARCH("C",B30)), NOT(ISNUMBER(SEARCH("CT",B30)))) ),
      "ConveyorStation[" &amp; (Q$2 + COUNTIFS($B$2:B30,"*C*",$B$2:B30,"&lt;&gt;*CT*") + COUNTIF($B$2:B30,"*TT*") - 1) &amp; "]",
      ""))</f>
        <v>ConveyorStation[509]</v>
      </c>
      <c r="F30" s="9"/>
      <c r="G30" s="9"/>
      <c r="H30" s="9"/>
      <c r="I30" s="9"/>
      <c r="J30" s="9" t="s">
        <v>1658</v>
      </c>
      <c r="K30" s="9"/>
      <c r="L30" s="47" t="s">
        <v>350</v>
      </c>
      <c r="M30" s="47" t="s">
        <v>350</v>
      </c>
      <c r="N30" s="11"/>
    </row>
    <row r="31" spans="1:21" ht="13" x14ac:dyDescent="0.3">
      <c r="A31" s="7" t="str">
        <f t="shared" si="4"/>
        <v>1129</v>
      </c>
      <c r="B31" s="48" t="s">
        <v>1659</v>
      </c>
      <c r="C31" s="45" t="s">
        <v>321</v>
      </c>
      <c r="D31" s="45">
        <v>1</v>
      </c>
      <c r="E31" s="46" t="str">
        <f>IF(ISNUMBER(SEARCH("CT",B31)),
   "CrossTransferStation[" &amp; (Q$3 + COUNTIF($B$2:B31,"*CT*") - 1) &amp; "]",
   IF( OR(ISNUMBER(SEARCH("TT",B31)), AND(ISNUMBER(SEARCH("C",B31)), NOT(ISNUMBER(SEARCH("CT",B31)))) ),
      "ConveyorStation[" &amp; (Q$2 + COUNTIFS($B$2:B31,"*C*",$B$2:B31,"&lt;&gt;*CT*") + COUNTIF($B$2:B31,"*TT*") - 1) &amp; "]",
      ""))</f>
        <v>ConveyorStation[510]</v>
      </c>
      <c r="F31" s="9"/>
      <c r="G31" s="9"/>
      <c r="H31" s="9"/>
      <c r="I31" s="9"/>
      <c r="J31" s="9" t="s">
        <v>1660</v>
      </c>
      <c r="K31" s="9"/>
      <c r="L31" s="47" t="s">
        <v>350</v>
      </c>
      <c r="M31" s="47" t="s">
        <v>350</v>
      </c>
      <c r="N31" s="11"/>
    </row>
    <row r="32" spans="1:21" ht="13" x14ac:dyDescent="0.3">
      <c r="A32" s="7" t="str">
        <f t="shared" si="4"/>
        <v>1120</v>
      </c>
      <c r="B32" s="48" t="s">
        <v>1661</v>
      </c>
      <c r="C32" s="45" t="s">
        <v>321</v>
      </c>
      <c r="D32" s="45">
        <v>1</v>
      </c>
      <c r="E32" s="46" t="str">
        <f>IF(ISNUMBER(SEARCH("CT",B32)),
   "CrossTransferStation[" &amp; (Q$3 + COUNTIF($B$2:B32,"*CT*") - 1) &amp; "]",
   IF( OR(ISNUMBER(SEARCH("TT",B32)), AND(ISNUMBER(SEARCH("C",B32)), NOT(ISNUMBER(SEARCH("CT",B32)))) ),
      "ConveyorStation[" &amp; (Q$2 + COUNTIFS($B$2:B32,"*C*",$B$2:B32,"&lt;&gt;*CT*") + COUNTIF($B$2:B32,"*TT*") - 1) &amp; "]",
      ""))</f>
        <v>ConveyorStation[511]</v>
      </c>
      <c r="F32" s="9"/>
      <c r="G32" s="9"/>
      <c r="H32" s="9"/>
      <c r="I32" s="9"/>
      <c r="J32" s="9" t="s">
        <v>1662</v>
      </c>
      <c r="K32" s="9"/>
      <c r="L32" s="47" t="s">
        <v>350</v>
      </c>
      <c r="M32" s="47" t="s">
        <v>350</v>
      </c>
      <c r="N32" s="11"/>
    </row>
    <row r="33" spans="1:14" ht="52" x14ac:dyDescent="0.3">
      <c r="A33" s="7" t="str">
        <f t="shared" si="4"/>
        <v>1121</v>
      </c>
      <c r="B33" s="48" t="s">
        <v>1663</v>
      </c>
      <c r="C33" s="45" t="s">
        <v>321</v>
      </c>
      <c r="D33" s="45">
        <v>1</v>
      </c>
      <c r="E33" s="46" t="str">
        <f>IF(ISNUMBER(SEARCH("CT",B33)),
   "CrossTransferStation[" &amp; (Q$3 + COUNTIF($B$2:B33,"*CT*") - 1) &amp; "]",
   IF( OR(ISNUMBER(SEARCH("TT",B33)), AND(ISNUMBER(SEARCH("C",B33)), NOT(ISNUMBER(SEARCH("CT",B33)))) ),
      "ConveyorStation[" &amp; (Q$2 + COUNTIFS($B$2:B33,"*C*",$B$2:B33,"&lt;&gt;*CT*") + COUNTIF($B$2:B33,"*TT*") - 1) &amp; "]",
      ""))</f>
        <v>ConveyorStation[512]</v>
      </c>
      <c r="F33" s="86" t="s">
        <v>1664</v>
      </c>
      <c r="G33" s="9"/>
      <c r="H33" s="9"/>
      <c r="I33" s="9"/>
      <c r="J33" s="9" t="s">
        <v>1665</v>
      </c>
      <c r="K33" s="9"/>
      <c r="L33" s="10" t="s">
        <v>351</v>
      </c>
      <c r="M33" s="10" t="s">
        <v>351</v>
      </c>
      <c r="N33" s="11"/>
    </row>
    <row r="34" spans="1:14" ht="13" x14ac:dyDescent="0.3">
      <c r="A34" s="7" t="str">
        <f t="shared" si="4"/>
        <v>1122</v>
      </c>
      <c r="B34" s="48" t="s">
        <v>1666</v>
      </c>
      <c r="C34" s="45" t="s">
        <v>321</v>
      </c>
      <c r="D34" s="45">
        <v>1</v>
      </c>
      <c r="E34" s="46" t="str">
        <f>IF(ISNUMBER(SEARCH("CT",B34)),
   "CrossTransferStation[" &amp; (Q$3 + COUNTIF($B$2:B34,"*CT*") - 1) &amp; "]",
   IF( OR(ISNUMBER(SEARCH("TT",B34)), AND(ISNUMBER(SEARCH("C",B34)), NOT(ISNUMBER(SEARCH("CT",B34)))) ),
      "ConveyorStation[" &amp; (Q$2 + COUNTIFS($B$2:B34,"*C*",$B$2:B34,"&lt;&gt;*CT*") + COUNTIF($B$2:B34,"*TT*") - 1) &amp; "]",
      ""))</f>
        <v>ConveyorStation[513]</v>
      </c>
      <c r="F34" s="9"/>
      <c r="G34" s="9"/>
      <c r="H34" s="9"/>
      <c r="I34" s="9"/>
      <c r="J34" s="9" t="s">
        <v>1667</v>
      </c>
      <c r="K34" s="9"/>
      <c r="L34" s="10" t="s">
        <v>350</v>
      </c>
      <c r="M34" s="10" t="s">
        <v>350</v>
      </c>
      <c r="N34" s="11"/>
    </row>
    <row r="35" spans="1:14" ht="26" x14ac:dyDescent="0.3">
      <c r="A35" s="7" t="str">
        <f>IF(ISNUMBER(SEARCH("CT",B35)),"1"&amp;MID(B35,2,FIND("CT",B35)-2)&amp;RIGHT(B35,1),MID(B35,2,FIND("C",B35)-2)&amp;RIGHT(B35,1))</f>
        <v>11121</v>
      </c>
      <c r="B35" s="48" t="s">
        <v>1668</v>
      </c>
      <c r="C35" s="45" t="s">
        <v>321</v>
      </c>
      <c r="D35" s="45">
        <v>1</v>
      </c>
      <c r="E35" s="46" t="str">
        <f>IF(ISNUMBER(SEARCH("CT",B35)),
   "CrossTransferStation[" &amp; (Q$3 + COUNTIF($B$2:B35,"*CT*") - 1) &amp; "]",
   IF( OR(ISNUMBER(SEARCH("TT",B35)), AND(ISNUMBER(SEARCH("C",B35)), NOT(ISNUMBER(SEARCH("CT",B35)))) ),
      "ConveyorStation[" &amp; (Q$2 + COUNTIFS($B$2:B35,"*C*",$B$2:B35,"&lt;&gt;*CT*") + COUNTIF($B$2:B35,"*TT*") - 1) &amp; "]",
      ""))</f>
        <v>CrossTransferStation[224]</v>
      </c>
      <c r="F35" s="9"/>
      <c r="G35" s="9"/>
      <c r="H35" s="9"/>
      <c r="I35" s="9"/>
      <c r="J35" s="27" t="s">
        <v>1669</v>
      </c>
      <c r="K35" s="9"/>
      <c r="L35" s="10" t="s">
        <v>350</v>
      </c>
      <c r="M35" s="10" t="s">
        <v>350</v>
      </c>
      <c r="N35" s="11"/>
    </row>
    <row r="36" spans="1:14" ht="26" x14ac:dyDescent="0.3">
      <c r="A36" s="7" t="str">
        <f t="shared" ref="A36:A42" si="5">IF(ISNUMBER(SEARCH("CT",B36)),"1"&amp;MID(B36,2,FIND("CT",B36)-2)&amp;RIGHT(B36,1),MID(B36,2,FIND("C",B36)-2)&amp;RIGHT(B36,1))</f>
        <v>11122</v>
      </c>
      <c r="B36" s="48" t="s">
        <v>1670</v>
      </c>
      <c r="C36" s="45" t="s">
        <v>321</v>
      </c>
      <c r="D36" s="45">
        <v>1</v>
      </c>
      <c r="E36" s="46" t="str">
        <f>IF(ISNUMBER(SEARCH("CT",B36)),
   "CrossTransferStation[" &amp; (Q$3 + COUNTIF($B$2:B36,"*CT*") - 1) &amp; "]",
   IF( OR(ISNUMBER(SEARCH("TT",B36)), AND(ISNUMBER(SEARCH("C",B36)), NOT(ISNUMBER(SEARCH("CT",B36)))) ),
      "ConveyorStation[" &amp; (Q$2 + COUNTIFS($B$2:B36,"*C*",$B$2:B36,"&lt;&gt;*CT*") + COUNTIF($B$2:B36,"*TT*") - 1) &amp; "]",
      ""))</f>
        <v>CrossTransferStation[225]</v>
      </c>
      <c r="F36" s="9" t="s">
        <v>1671</v>
      </c>
      <c r="G36" s="9"/>
      <c r="H36" s="9"/>
      <c r="I36" s="9"/>
      <c r="J36" s="27" t="s">
        <v>1672</v>
      </c>
      <c r="K36" s="9"/>
      <c r="L36" s="10" t="s">
        <v>351</v>
      </c>
      <c r="M36" s="10" t="s">
        <v>351</v>
      </c>
      <c r="N36" s="11"/>
    </row>
    <row r="37" spans="1:14" ht="39" x14ac:dyDescent="0.3">
      <c r="A37" s="7" t="str">
        <f t="shared" si="5"/>
        <v>11131</v>
      </c>
      <c r="B37" s="8" t="s">
        <v>1673</v>
      </c>
      <c r="C37" s="45" t="s">
        <v>321</v>
      </c>
      <c r="D37" s="45">
        <v>1</v>
      </c>
      <c r="E37" s="46" t="str">
        <f>IF(ISNUMBER(SEARCH("CT",B37)),
   "CrossTransferStation[" &amp; (Q$3 + COUNTIF($B$2:B37,"*CT*") - 1) &amp; "]",
   IF( OR(ISNUMBER(SEARCH("TT",B37)), AND(ISNUMBER(SEARCH("C",B37)), NOT(ISNUMBER(SEARCH("CT",B37)))) ),
      "ConveyorStation[" &amp; (Q$2 + COUNTIFS($B$2:B37,"*C*",$B$2:B37,"&lt;&gt;*CT*") + COUNTIF($B$2:B37,"*TT*") - 1) &amp; "]",
      ""))</f>
        <v>CrossTransferStation[226]</v>
      </c>
      <c r="F37" s="9" t="s">
        <v>1674</v>
      </c>
      <c r="G37" s="9"/>
      <c r="H37" s="9"/>
      <c r="I37" s="9"/>
      <c r="J37" s="9" t="s">
        <v>1675</v>
      </c>
      <c r="K37" s="10" t="s">
        <v>470</v>
      </c>
      <c r="L37" s="10" t="s">
        <v>350</v>
      </c>
      <c r="M37" s="10" t="s">
        <v>351</v>
      </c>
      <c r="N37" s="11"/>
    </row>
    <row r="38" spans="1:14" ht="13" x14ac:dyDescent="0.3">
      <c r="A38" s="7" t="str">
        <f t="shared" si="5"/>
        <v>1141</v>
      </c>
      <c r="B38" s="8" t="s">
        <v>1676</v>
      </c>
      <c r="C38" s="45" t="s">
        <v>321</v>
      </c>
      <c r="D38" s="45">
        <v>1</v>
      </c>
      <c r="E38" s="46" t="str">
        <f>IF(ISNUMBER(SEARCH("CT",B38)),
   "CrossTransferStation[" &amp; (Q$3 + COUNTIF($B$2:B38,"*CT*") - 1) &amp; "]",
   IF( OR(ISNUMBER(SEARCH("TT",B38)), AND(ISNUMBER(SEARCH("C",B38)), NOT(ISNUMBER(SEARCH("CT",B38)))) ),
      "ConveyorStation[" &amp; (Q$2 + COUNTIFS($B$2:B38,"*C*",$B$2:B38,"&lt;&gt;*CT*") + COUNTIF($B$2:B38,"*TT*") - 1) &amp; "]",
      ""))</f>
        <v>ConveyorStation[514]</v>
      </c>
      <c r="F38" s="9"/>
      <c r="G38" s="9"/>
      <c r="H38" s="9"/>
      <c r="I38" s="9"/>
      <c r="J38" s="9" t="s">
        <v>1677</v>
      </c>
      <c r="K38" s="9"/>
      <c r="L38" s="10" t="s">
        <v>350</v>
      </c>
      <c r="M38" s="10" t="s">
        <v>350</v>
      </c>
      <c r="N38" s="11"/>
    </row>
    <row r="39" spans="1:14" ht="13" x14ac:dyDescent="0.3">
      <c r="A39" s="7" t="str">
        <f t="shared" si="5"/>
        <v>1142</v>
      </c>
      <c r="B39" s="8" t="s">
        <v>1678</v>
      </c>
      <c r="C39" s="45" t="s">
        <v>321</v>
      </c>
      <c r="D39" s="45">
        <v>1</v>
      </c>
      <c r="E39" s="46" t="str">
        <f>IF(ISNUMBER(SEARCH("CT",B39)),
   "CrossTransferStation[" &amp; (Q$3 + COUNTIF($B$2:B39,"*CT*") - 1) &amp; "]",
   IF( OR(ISNUMBER(SEARCH("TT",B39)), AND(ISNUMBER(SEARCH("C",B39)), NOT(ISNUMBER(SEARCH("CT",B39)))) ),
      "ConveyorStation[" &amp; (Q$2 + COUNTIFS($B$2:B39,"*C*",$B$2:B39,"&lt;&gt;*CT*") + COUNTIF($B$2:B39,"*TT*") - 1) &amp; "]",
      ""))</f>
        <v>ConveyorStation[515]</v>
      </c>
      <c r="F39" s="9"/>
      <c r="G39" s="9"/>
      <c r="H39" s="9"/>
      <c r="I39" s="9"/>
      <c r="J39" s="9" t="s">
        <v>1679</v>
      </c>
      <c r="K39" s="9"/>
      <c r="L39" s="10" t="s">
        <v>350</v>
      </c>
      <c r="M39" s="10" t="s">
        <v>350</v>
      </c>
      <c r="N39" s="11"/>
    </row>
    <row r="40" spans="1:14" ht="13" x14ac:dyDescent="0.3">
      <c r="A40" s="7" t="str">
        <f t="shared" si="5"/>
        <v>1143</v>
      </c>
      <c r="B40" s="8" t="s">
        <v>1680</v>
      </c>
      <c r="C40" s="45" t="s">
        <v>321</v>
      </c>
      <c r="D40" s="45">
        <v>1</v>
      </c>
      <c r="E40" s="46" t="str">
        <f>IF(ISNUMBER(SEARCH("CT",B40)),
   "CrossTransferStation[" &amp; (Q$3 + COUNTIF($B$2:B40,"*CT*") - 1) &amp; "]",
   IF( OR(ISNUMBER(SEARCH("TT",B40)), AND(ISNUMBER(SEARCH("C",B40)), NOT(ISNUMBER(SEARCH("CT",B40)))) ),
      "ConveyorStation[" &amp; (Q$2 + COUNTIFS($B$2:B40,"*C*",$B$2:B40,"&lt;&gt;*CT*") + COUNTIF($B$2:B40,"*TT*") - 1) &amp; "]",
      ""))</f>
        <v>ConveyorStation[516]</v>
      </c>
      <c r="F40" s="9"/>
      <c r="G40" s="9"/>
      <c r="H40" s="9"/>
      <c r="I40" s="9"/>
      <c r="J40" s="9" t="s">
        <v>1681</v>
      </c>
      <c r="K40" s="9"/>
      <c r="L40" s="10" t="s">
        <v>350</v>
      </c>
      <c r="M40" s="10" t="s">
        <v>350</v>
      </c>
      <c r="N40" s="11"/>
    </row>
    <row r="41" spans="1:14" ht="13" x14ac:dyDescent="0.3">
      <c r="A41" s="7" t="str">
        <f t="shared" si="5"/>
        <v>1144</v>
      </c>
      <c r="B41" s="8" t="s">
        <v>1682</v>
      </c>
      <c r="C41" s="45" t="s">
        <v>321</v>
      </c>
      <c r="D41" s="45">
        <v>1</v>
      </c>
      <c r="E41" s="46" t="str">
        <f>IF(ISNUMBER(SEARCH("CT",B41)),
   "CrossTransferStation[" &amp; (Q$3 + COUNTIF($B$2:B41,"*CT*") - 1) &amp; "]",
   IF( OR(ISNUMBER(SEARCH("TT",B41)), AND(ISNUMBER(SEARCH("C",B41)), NOT(ISNUMBER(SEARCH("CT",B41)))) ),
      "ConveyorStation[" &amp; (Q$2 + COUNTIFS($B$2:B41,"*C*",$B$2:B41,"&lt;&gt;*CT*") + COUNTIF($B$2:B41,"*TT*") - 1) &amp; "]",
      ""))</f>
        <v>ConveyorStation[517]</v>
      </c>
      <c r="F41" s="9"/>
      <c r="G41" s="9"/>
      <c r="H41" s="9"/>
      <c r="I41" s="9"/>
      <c r="J41" s="9" t="s">
        <v>1683</v>
      </c>
      <c r="K41" s="9"/>
      <c r="L41" s="10" t="s">
        <v>350</v>
      </c>
      <c r="M41" s="10" t="s">
        <v>350</v>
      </c>
      <c r="N41" s="11"/>
    </row>
    <row r="42" spans="1:14" ht="13" x14ac:dyDescent="0.3">
      <c r="A42" s="7" t="str">
        <f t="shared" si="5"/>
        <v>1145</v>
      </c>
      <c r="B42" s="8" t="s">
        <v>1684</v>
      </c>
      <c r="C42" s="45" t="s">
        <v>321</v>
      </c>
      <c r="D42" s="45">
        <v>1</v>
      </c>
      <c r="E42" s="46" t="str">
        <f>IF(ISNUMBER(SEARCH("CT",B42)),
   "CrossTransferStation[" &amp; (Q$3 + COUNTIF($B$2:B42,"*CT*") - 1) &amp; "]",
   IF( OR(ISNUMBER(SEARCH("TT",B42)), AND(ISNUMBER(SEARCH("C",B42)), NOT(ISNUMBER(SEARCH("CT",B42)))) ),
      "ConveyorStation[" &amp; (Q$2 + COUNTIFS($B$2:B42,"*C*",$B$2:B42,"&lt;&gt;*CT*") + COUNTIF($B$2:B42,"*TT*") - 1) &amp; "]",
      ""))</f>
        <v>ConveyorStation[518]</v>
      </c>
      <c r="F42" s="9"/>
      <c r="G42" s="9"/>
      <c r="H42" s="9"/>
      <c r="I42" s="9"/>
      <c r="J42" s="9" t="s">
        <v>1685</v>
      </c>
      <c r="K42" s="9"/>
      <c r="L42" s="10" t="s">
        <v>350</v>
      </c>
      <c r="M42" s="10" t="s">
        <v>350</v>
      </c>
      <c r="N42" s="11"/>
    </row>
    <row r="43" spans="1:14" ht="26" x14ac:dyDescent="0.3">
      <c r="A43" s="7">
        <v>21141</v>
      </c>
      <c r="B43" s="8" t="s">
        <v>1686</v>
      </c>
      <c r="C43" s="45" t="s">
        <v>321</v>
      </c>
      <c r="D43" s="45">
        <v>1</v>
      </c>
      <c r="E43" s="46" t="str">
        <f>IF(ISNUMBER(SEARCH("CT",B43)),
   "CrossTransferStation[" &amp; (Q$3 + COUNTIF($B$2:B43,"*CT*") - 1) &amp; "]",
   IF( OR(ISNUMBER(SEARCH("TT",B43)), AND(ISNUMBER(SEARCH("C",B43)), NOT(ISNUMBER(SEARCH("CT",B43)))) ),
      "ConveyorStation[" &amp; (Q$2 + COUNTIFS($B$2:B43,"*C*",$B$2:B43,"&lt;&gt;*CT*") + COUNTIF($B$2:B43,"*TT*") - 1) &amp; "]",
      ""))</f>
        <v>ConveyorStation[519]</v>
      </c>
      <c r="F43" s="87" t="s">
        <v>1687</v>
      </c>
      <c r="G43" s="9" t="s">
        <v>1689</v>
      </c>
      <c r="H43" s="9"/>
      <c r="I43" s="9"/>
      <c r="J43" s="9" t="s">
        <v>1688</v>
      </c>
      <c r="K43" s="9"/>
      <c r="L43" s="10" t="s">
        <v>351</v>
      </c>
      <c r="M43" s="10" t="s">
        <v>351</v>
      </c>
      <c r="N43" s="11"/>
    </row>
  </sheetData>
  <phoneticPr fontId="10" type="noConversion"/>
  <pageMargins left="0.7" right="0.7" top="0.75" bottom="0.75" header="0.3" footer="0.3"/>
  <pageSetup paperSize="9" orientation="portrait" verticalDpi="0" r:id="rId1"/>
  <ignoredErrors>
    <ignoredError sqref="T15" formula="1"/>
  </ignoredErrors>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5D530-848B-4D3F-A0CC-E20C4DAA603A}">
  <dimension ref="A1"/>
  <sheetViews>
    <sheetView zoomScale="85" zoomScaleNormal="85" workbookViewId="0">
      <selection activeCell="U56" sqref="U56"/>
    </sheetView>
  </sheetViews>
  <sheetFormatPr defaultRowHeight="14.5" x14ac:dyDescent="0.35"/>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2048A-D12B-4BF3-A459-9BC15063E251}">
  <dimension ref="A1:L2"/>
  <sheetViews>
    <sheetView workbookViewId="0">
      <selection activeCell="D10" sqref="D10"/>
    </sheetView>
  </sheetViews>
  <sheetFormatPr defaultColWidth="9.1796875" defaultRowHeight="14.5" x14ac:dyDescent="0.35"/>
  <cols>
    <col min="1" max="1" width="7.26953125" style="33" bestFit="1" customWidth="1"/>
    <col min="2" max="2" width="14" style="33" customWidth="1"/>
    <col min="3" max="3" width="14.81640625" style="33" bestFit="1" customWidth="1"/>
    <col min="4" max="4" width="15.7265625" style="37" bestFit="1" customWidth="1"/>
    <col min="5" max="5" width="10.81640625" style="37" bestFit="1" customWidth="1"/>
    <col min="6" max="6" width="10.54296875" style="37" bestFit="1" customWidth="1"/>
    <col min="7" max="7" width="15.26953125" style="37" bestFit="1" customWidth="1"/>
    <col min="8" max="8" width="15.54296875" style="37" bestFit="1" customWidth="1"/>
    <col min="9" max="9" width="13.7265625" style="37" bestFit="1" customWidth="1"/>
    <col min="10" max="16384" width="9.1796875" style="33"/>
  </cols>
  <sheetData>
    <row r="1" spans="1:12" x14ac:dyDescent="0.35">
      <c r="A1" s="32" t="s">
        <v>334</v>
      </c>
      <c r="B1" s="32" t="s">
        <v>308</v>
      </c>
      <c r="C1" s="32" t="s">
        <v>3</v>
      </c>
      <c r="D1" s="32" t="s">
        <v>1690</v>
      </c>
      <c r="E1" s="32" t="s">
        <v>1691</v>
      </c>
      <c r="F1" s="32" t="s">
        <v>1692</v>
      </c>
      <c r="G1" s="32" t="s">
        <v>1693</v>
      </c>
      <c r="H1" s="32" t="s">
        <v>1694</v>
      </c>
      <c r="I1" s="32" t="s">
        <v>1695</v>
      </c>
    </row>
    <row r="2" spans="1:12" x14ac:dyDescent="0.35">
      <c r="A2" s="34">
        <v>1</v>
      </c>
      <c r="B2" s="35" t="s">
        <v>1696</v>
      </c>
      <c r="C2" s="35" t="s">
        <v>1696</v>
      </c>
      <c r="D2" s="36">
        <v>0</v>
      </c>
      <c r="E2" s="36">
        <v>0</v>
      </c>
      <c r="F2" s="36">
        <v>0</v>
      </c>
      <c r="G2" s="36">
        <v>0</v>
      </c>
      <c r="H2" s="36">
        <v>0</v>
      </c>
      <c r="I2" s="36">
        <v>0</v>
      </c>
      <c r="L2" s="67" t="s">
        <v>1697</v>
      </c>
    </row>
  </sheetData>
  <hyperlinks>
    <hyperlink ref="L2" r:id="rId1" display="https://parirobotics-my.sharepoint.com/:x:/g/personal/anant_g_wipropari_com/EXlJ0mX2GINNpwW9O6gmseEBUqFsm6bu5pSelThXB2W_4w?e=20FEda&amp;xsdata=MDV8MDJ8Z2FuZXNodGtAd2lwcm9wYXJpLmNvbXxlZmRmNTI5MWY0Yjc0ZWMwZTdjODA4ZGRmMTJkN2YxOXxkZmM0ZmE4YmZjYWQ0ZmJiYjY1OWUxNTU0OWY0M2RhNXwwfDB8NjM4OTMxODk5ODk2ODA5MjAxfFVua25vd258VFdGcGJHWnNiM2Q4ZXlKRmJYQjBlVTFoY0draU9uUnlkV1VzSWxZaU9pSXdMakF1TURBd01DSXNJbEFpT2lKWGFXNHpNaUlzSWtGT0lqb2lUV0ZwYkNJc0lsZFVJam95ZlE9PXwwfHx8&amp;sdata=T3cyNnpPRUU5a2RGdjFKS05PTnI5c0NaRmpGYTlXeERkVW10VThUdHppcz0%3d" xr:uid="{C3AEBA1A-DC65-4C10-B14C-B418A3FB42A7}"/>
  </hyperlinks>
  <pageMargins left="0.7" right="0.7" top="0.75" bottom="0.75" header="0.3" footer="0.3"/>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B30-AC11-4DF3-B88F-F90ECDCD12E8}">
  <dimension ref="A1:D10"/>
  <sheetViews>
    <sheetView workbookViewId="0">
      <selection activeCell="H31" sqref="H31"/>
    </sheetView>
  </sheetViews>
  <sheetFormatPr defaultColWidth="9.1796875" defaultRowHeight="14.5" x14ac:dyDescent="0.35"/>
  <cols>
    <col min="1" max="1" width="11" style="33" bestFit="1" customWidth="1"/>
    <col min="2" max="2" width="24.7265625" style="33" bestFit="1" customWidth="1"/>
    <col min="3" max="3" width="14.81640625" style="33" bestFit="1" customWidth="1"/>
    <col min="4" max="4" width="26.54296875" style="40" bestFit="1" customWidth="1"/>
    <col min="5" max="5" width="22.453125" style="33" customWidth="1"/>
    <col min="6" max="16384" width="9.1796875" style="33"/>
  </cols>
  <sheetData>
    <row r="1" spans="1:4" x14ac:dyDescent="0.35">
      <c r="A1" s="32" t="s">
        <v>0</v>
      </c>
      <c r="B1" s="32" t="s">
        <v>308</v>
      </c>
      <c r="C1" s="32" t="s">
        <v>1698</v>
      </c>
      <c r="D1" s="38" t="s">
        <v>1699</v>
      </c>
    </row>
    <row r="2" spans="1:4" x14ac:dyDescent="0.35">
      <c r="A2" s="34">
        <f>ROW()-1</f>
        <v>1</v>
      </c>
      <c r="B2" s="35" t="s">
        <v>32</v>
      </c>
      <c r="C2" s="35" t="s">
        <v>1700</v>
      </c>
      <c r="D2" s="35" t="s">
        <v>1701</v>
      </c>
    </row>
    <row r="3" spans="1:4" x14ac:dyDescent="0.35">
      <c r="A3" s="34">
        <f>ROW()-1</f>
        <v>2</v>
      </c>
      <c r="B3" s="35" t="s">
        <v>309</v>
      </c>
      <c r="C3" s="39" t="s">
        <v>1700</v>
      </c>
      <c r="D3" s="40" t="s">
        <v>1702</v>
      </c>
    </row>
    <row r="4" spans="1:4" x14ac:dyDescent="0.35">
      <c r="A4" s="34">
        <f>ROW()-1</f>
        <v>3</v>
      </c>
      <c r="B4" s="35" t="s">
        <v>310</v>
      </c>
      <c r="C4" s="39" t="s">
        <v>1700</v>
      </c>
      <c r="D4" s="40" t="s">
        <v>1702</v>
      </c>
    </row>
    <row r="5" spans="1:4" x14ac:dyDescent="0.35">
      <c r="A5" s="34">
        <f t="shared" ref="A5:A8" si="0">ROW()-1</f>
        <v>4</v>
      </c>
      <c r="B5" s="35" t="s">
        <v>583</v>
      </c>
      <c r="C5" s="39" t="s">
        <v>1700</v>
      </c>
      <c r="D5" s="40" t="s">
        <v>1702</v>
      </c>
    </row>
    <row r="6" spans="1:4" x14ac:dyDescent="0.35">
      <c r="A6" s="34">
        <f t="shared" si="0"/>
        <v>5</v>
      </c>
      <c r="B6" s="35" t="s">
        <v>312</v>
      </c>
      <c r="C6" s="39" t="s">
        <v>1700</v>
      </c>
      <c r="D6" s="40" t="s">
        <v>1702</v>
      </c>
    </row>
    <row r="7" spans="1:4" x14ac:dyDescent="0.35">
      <c r="A7" s="34">
        <f t="shared" si="0"/>
        <v>6</v>
      </c>
      <c r="B7" s="35" t="s">
        <v>313</v>
      </c>
      <c r="C7" s="39" t="s">
        <v>1700</v>
      </c>
      <c r="D7" s="40" t="s">
        <v>1702</v>
      </c>
    </row>
    <row r="8" spans="1:4" x14ac:dyDescent="0.35">
      <c r="A8" s="34">
        <f t="shared" si="0"/>
        <v>7</v>
      </c>
      <c r="B8" s="35" t="s">
        <v>314</v>
      </c>
      <c r="C8" s="39" t="s">
        <v>1700</v>
      </c>
      <c r="D8" s="40" t="s">
        <v>1702</v>
      </c>
    </row>
    <row r="9" spans="1:4" x14ac:dyDescent="0.35">
      <c r="A9" s="34">
        <v>8</v>
      </c>
      <c r="B9" s="35" t="s">
        <v>315</v>
      </c>
      <c r="C9" s="39" t="s">
        <v>1700</v>
      </c>
      <c r="D9" s="40" t="s">
        <v>1702</v>
      </c>
    </row>
    <row r="10" spans="1:4" x14ac:dyDescent="0.35">
      <c r="A10" s="34">
        <f>ROW()-1</f>
        <v>9</v>
      </c>
      <c r="B10" s="35" t="s">
        <v>316</v>
      </c>
      <c r="C10" s="39" t="s">
        <v>1700</v>
      </c>
      <c r="D10" s="40" t="s">
        <v>1702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Pivot</vt:lpstr>
      <vt:lpstr>Revision</vt:lpstr>
      <vt:lpstr>Redundancy</vt:lpstr>
      <vt:lpstr>Note</vt:lpstr>
      <vt:lpstr>PLC ↔ WCS ICD</vt:lpstr>
      <vt:lpstr>Station Details</vt:lpstr>
      <vt:lpstr>EZ1 Inbound</vt:lpstr>
      <vt:lpstr>EZ2 ASRS</vt:lpstr>
      <vt:lpstr>EZ17 OB to Man Unwrapping</vt:lpstr>
      <vt:lpstr>EZ10 GTP</vt:lpstr>
      <vt:lpstr>EZ3 Outbound</vt:lpstr>
      <vt:lpstr>EZ4 Flammable</vt:lpstr>
      <vt:lpstr>EZ5 Prod G AMB</vt:lpstr>
      <vt:lpstr>EZ7 Prod G Cold</vt:lpstr>
      <vt:lpstr>EZ6 Prod G floor</vt:lpstr>
      <vt:lpstr>EZ8 Prod G+1&amp;2 AMB</vt:lpstr>
      <vt:lpstr>EZ9 Prod G+1&amp;2 Cold</vt:lpstr>
      <vt:lpstr>EZ15 Prod G 10M AMB</vt:lpstr>
      <vt:lpstr>EZ16 Prod G+1 10M AMB</vt:lpstr>
      <vt:lpstr>E mail Comm. for ICD Queries</vt:lpstr>
      <vt:lpstr>Pallet Type</vt:lpstr>
      <vt:lpstr>PLC PC IP 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Ganesh T. Kamble</dc:creator>
  <cp:keywords/>
  <dc:description/>
  <cp:lastModifiedBy>Raja Dasari</cp:lastModifiedBy>
  <cp:revision/>
  <dcterms:created xsi:type="dcterms:W3CDTF">2015-06-05T18:17:20Z</dcterms:created>
  <dcterms:modified xsi:type="dcterms:W3CDTF">2026-09-30T06:46:37Z</dcterms:modified>
  <cp:category/>
  <cp:contentStatus/>
</cp:coreProperties>
</file>